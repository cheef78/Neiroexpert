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13830" yWindow="15" windowWidth="20955" windowHeight="12000" tabRatio="836" activeTab="9"/>
  </bookViews>
  <sheets>
    <sheet name="Диаграмма1" sheetId="11" r:id="rId1"/>
    <sheet name="Выход рельсов" sheetId="12" r:id="rId2"/>
    <sheet name="выход Шпал_Скреплений, шт_км" sheetId="13" r:id="rId3"/>
    <sheet name="Пр,П,Ур" sheetId="15" r:id="rId4"/>
    <sheet name="Ширина колеи" sheetId="14" r:id="rId5"/>
    <sheet name="Индекс предотказа" sheetId="16" r:id="rId6"/>
    <sheet name="типовая конструкция" sheetId="1" r:id="rId7"/>
    <sheet name="облегченная конструкция" sheetId="10" state="hidden" r:id="rId8"/>
    <sheet name="Неисправности Колеи(КБ-65)" sheetId="3" r:id="rId9"/>
    <sheet name="рельсы" sheetId="4" r:id="rId10"/>
    <sheet name="Шпалы (2)" sheetId="17" r:id="rId11"/>
    <sheet name="Шпалы" sheetId="5" r:id="rId12"/>
    <sheet name="скрепления" sheetId="7" r:id="rId13"/>
    <sheet name="балласт" sheetId="9" r:id="rId14"/>
    <sheet name="Единичные ставки+критерии" sheetId="8" r:id="rId15"/>
  </sheets>
  <calcPr calcId="145621"/>
</workbook>
</file>

<file path=xl/calcChain.xml><?xml version="1.0" encoding="utf-8"?>
<calcChain xmlns="http://schemas.openxmlformats.org/spreadsheetml/2006/main">
  <c r="U40" i="4" l="1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6" i="17" l="1"/>
  <c r="V4" i="17"/>
  <c r="V6" i="17" s="1"/>
  <c r="U4" i="17"/>
  <c r="U6" i="17" s="1"/>
  <c r="T4" i="17"/>
  <c r="T6" i="17" s="1"/>
  <c r="S4" i="17"/>
  <c r="S6" i="17" s="1"/>
  <c r="R4" i="17"/>
  <c r="R6" i="17" s="1"/>
  <c r="Q4" i="17"/>
  <c r="Q6" i="17" s="1"/>
  <c r="P4" i="17"/>
  <c r="P6" i="17" s="1"/>
  <c r="O4" i="17"/>
  <c r="O6" i="17" s="1"/>
  <c r="N4" i="17"/>
  <c r="N6" i="17" s="1"/>
  <c r="M4" i="17"/>
  <c r="M6" i="17" s="1"/>
  <c r="L4" i="17"/>
  <c r="L6" i="17" s="1"/>
  <c r="K4" i="17"/>
  <c r="K6" i="17" s="1"/>
  <c r="J4" i="17"/>
  <c r="J6" i="17" s="1"/>
  <c r="I4" i="17"/>
  <c r="I6" i="17" s="1"/>
  <c r="H4" i="17"/>
  <c r="H6" i="17" s="1"/>
  <c r="G4" i="17"/>
  <c r="G6" i="17" s="1"/>
  <c r="F4" i="17"/>
  <c r="F6" i="17" s="1"/>
  <c r="E4" i="17"/>
  <c r="E6" i="17" s="1"/>
  <c r="D4" i="17"/>
  <c r="D6" i="17" s="1"/>
  <c r="C4" i="17"/>
  <c r="C6" i="17" s="1"/>
  <c r="U6" i="5" l="1"/>
  <c r="U4" i="5"/>
  <c r="V4" i="5"/>
  <c r="V6" i="5" s="1"/>
  <c r="AI16" i="4" l="1"/>
  <c r="AI17" i="4"/>
  <c r="AI18" i="4"/>
  <c r="AI19" i="4"/>
  <c r="AI20" i="4"/>
  <c r="AI15" i="4"/>
  <c r="AJ16" i="4"/>
  <c r="AJ17" i="4"/>
  <c r="AJ18" i="4"/>
  <c r="AJ19" i="4"/>
  <c r="AJ20" i="4"/>
  <c r="AJ15" i="4"/>
  <c r="B1" i="8" l="1"/>
  <c r="B113" i="8" s="1"/>
  <c r="C113" i="8" s="1"/>
  <c r="I124" i="1" s="1"/>
  <c r="E3" i="8"/>
  <c r="B114" i="8" l="1"/>
  <c r="C114" i="8" s="1"/>
  <c r="V21" i="3"/>
  <c r="AA20" i="3"/>
  <c r="AA21" i="3" s="1"/>
  <c r="Z20" i="3"/>
  <c r="Z21" i="3" s="1"/>
  <c r="Y20" i="3"/>
  <c r="Y21" i="3" s="1"/>
  <c r="X20" i="3"/>
  <c r="X21" i="3" s="1"/>
  <c r="W20" i="3"/>
  <c r="W21" i="3" s="1"/>
  <c r="V20" i="3"/>
  <c r="AA19" i="3"/>
  <c r="Z19" i="3"/>
  <c r="Y19" i="3"/>
  <c r="X19" i="3"/>
  <c r="W19" i="3"/>
  <c r="V19" i="3"/>
  <c r="T4" i="7" l="1"/>
  <c r="T6" i="7" s="1"/>
  <c r="S4" i="7"/>
  <c r="S6" i="7" s="1"/>
  <c r="R4" i="7"/>
  <c r="R6" i="7" s="1"/>
  <c r="Q4" i="7"/>
  <c r="Q6" i="7" s="1"/>
  <c r="P4" i="7"/>
  <c r="P6" i="7" s="1"/>
  <c r="O4" i="7"/>
  <c r="O6" i="7" s="1"/>
  <c r="Q6" i="5"/>
  <c r="R6" i="5"/>
  <c r="S6" i="5"/>
  <c r="T6" i="5"/>
  <c r="O4" i="5"/>
  <c r="O6" i="5" s="1"/>
  <c r="P4" i="5"/>
  <c r="P6" i="5" s="1"/>
  <c r="Q4" i="5"/>
  <c r="R4" i="5"/>
  <c r="S4" i="5"/>
  <c r="T4" i="5"/>
  <c r="D10" i="3"/>
  <c r="E10" i="3"/>
  <c r="F10" i="3"/>
  <c r="G10" i="3"/>
  <c r="H10" i="3"/>
  <c r="I10" i="3"/>
  <c r="J10" i="3"/>
  <c r="K10" i="3"/>
  <c r="L10" i="3"/>
  <c r="M10" i="3"/>
  <c r="N10" i="3"/>
  <c r="C10" i="3"/>
  <c r="D9" i="3"/>
  <c r="C9" i="3"/>
  <c r="N4" i="7" l="1"/>
  <c r="M4" i="7"/>
  <c r="L4" i="7"/>
  <c r="K4" i="7"/>
  <c r="J4" i="7"/>
  <c r="I4" i="7"/>
  <c r="H4" i="7"/>
  <c r="G4" i="7"/>
  <c r="F4" i="7"/>
  <c r="E4" i="7"/>
  <c r="D4" i="7"/>
  <c r="C4" i="7"/>
  <c r="H134" i="1" l="1"/>
  <c r="G134" i="1"/>
  <c r="F134" i="1"/>
  <c r="E134" i="1"/>
  <c r="D134" i="1"/>
  <c r="C134" i="1"/>
  <c r="H133" i="1"/>
  <c r="G133" i="1"/>
  <c r="F133" i="1"/>
  <c r="E133" i="1"/>
  <c r="D133" i="1"/>
  <c r="C133" i="1"/>
  <c r="B175" i="1" l="1"/>
  <c r="B176" i="1"/>
  <c r="B177" i="1"/>
  <c r="B173" i="1" l="1"/>
  <c r="B174" i="1"/>
  <c r="B172" i="1"/>
  <c r="B171" i="1"/>
  <c r="B204" i="1" s="1"/>
  <c r="C169" i="1"/>
  <c r="D169" i="1" s="1"/>
  <c r="E169" i="1" l="1"/>
  <c r="W1" i="8"/>
  <c r="W2" i="8" s="1"/>
  <c r="F169" i="1" l="1"/>
  <c r="O19" i="4"/>
  <c r="O18" i="4"/>
  <c r="G121" i="1" s="1"/>
  <c r="O17" i="4"/>
  <c r="O16" i="4"/>
  <c r="E121" i="1" s="1"/>
  <c r="O15" i="4"/>
  <c r="D121" i="1" s="1"/>
  <c r="O14" i="4"/>
  <c r="C121" i="1" s="1"/>
  <c r="F121" i="1"/>
  <c r="G169" i="1" l="1"/>
  <c r="C120" i="1"/>
  <c r="H169" i="1" l="1"/>
  <c r="B47" i="10"/>
  <c r="B44" i="10"/>
  <c r="B41" i="10"/>
  <c r="B40" i="10"/>
  <c r="B34" i="10"/>
  <c r="B31" i="10"/>
  <c r="B30" i="10"/>
  <c r="B27" i="10"/>
  <c r="B26" i="10"/>
  <c r="B23" i="10"/>
  <c r="B22" i="10"/>
  <c r="I110" i="10"/>
  <c r="J110" i="10"/>
  <c r="K110" i="10"/>
  <c r="I111" i="10"/>
  <c r="J111" i="10"/>
  <c r="K111" i="10"/>
  <c r="I112" i="10"/>
  <c r="J112" i="10"/>
  <c r="K112" i="10"/>
  <c r="I113" i="10"/>
  <c r="J113" i="10"/>
  <c r="K113" i="10"/>
  <c r="I114" i="10"/>
  <c r="J114" i="10"/>
  <c r="K114" i="10"/>
  <c r="I115" i="10"/>
  <c r="J115" i="10"/>
  <c r="K115" i="10"/>
  <c r="H115" i="10"/>
  <c r="H114" i="10"/>
  <c r="H113" i="10"/>
  <c r="H112" i="10"/>
  <c r="H111" i="10"/>
  <c r="H110" i="10"/>
  <c r="C110" i="10"/>
  <c r="D110" i="10"/>
  <c r="E110" i="10"/>
  <c r="F110" i="10"/>
  <c r="C111" i="10"/>
  <c r="D111" i="10"/>
  <c r="E111" i="10"/>
  <c r="F111" i="10"/>
  <c r="C112" i="10"/>
  <c r="D112" i="10"/>
  <c r="E112" i="10"/>
  <c r="F112" i="10"/>
  <c r="C113" i="10"/>
  <c r="D113" i="10"/>
  <c r="E113" i="10"/>
  <c r="F113" i="10"/>
  <c r="C114" i="10"/>
  <c r="D114" i="10"/>
  <c r="E114" i="10"/>
  <c r="F114" i="10"/>
  <c r="C115" i="10"/>
  <c r="D115" i="10"/>
  <c r="E115" i="10"/>
  <c r="F115" i="10"/>
  <c r="B111" i="10"/>
  <c r="B112" i="10"/>
  <c r="B113" i="10"/>
  <c r="B114" i="10"/>
  <c r="B115" i="10"/>
  <c r="B110" i="10"/>
  <c r="B103" i="10"/>
  <c r="B104" i="10"/>
  <c r="B105" i="10"/>
  <c r="B106" i="10"/>
  <c r="B107" i="10"/>
  <c r="B102" i="10"/>
  <c r="I169" i="1" l="1"/>
  <c r="EI16" i="10"/>
  <c r="EG16" i="10"/>
  <c r="EE16" i="10"/>
  <c r="DM16" i="10"/>
  <c r="DL16" i="10"/>
  <c r="DG16" i="10"/>
  <c r="DF16" i="10"/>
  <c r="CY16" i="10"/>
  <c r="CW16" i="10"/>
  <c r="CU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O16" i="10"/>
  <c r="BM16" i="10"/>
  <c r="BK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E16" i="10"/>
  <c r="AC16" i="10"/>
  <c r="AA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EI15" i="10"/>
  <c r="EG15" i="10"/>
  <c r="EE15" i="10"/>
  <c r="DM15" i="10"/>
  <c r="DL15" i="10"/>
  <c r="DG15" i="10"/>
  <c r="DF15" i="10"/>
  <c r="CY15" i="10"/>
  <c r="CW15" i="10"/>
  <c r="CU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O15" i="10"/>
  <c r="BM15" i="10"/>
  <c r="BK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E15" i="10"/>
  <c r="AC15" i="10"/>
  <c r="AA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EI16" i="1"/>
  <c r="EG16" i="1"/>
  <c r="EE16" i="1"/>
  <c r="EI15" i="1"/>
  <c r="EG15" i="1"/>
  <c r="EE15" i="1"/>
  <c r="CY16" i="1"/>
  <c r="CW16" i="1"/>
  <c r="CU16" i="1"/>
  <c r="CY15" i="1"/>
  <c r="CW15" i="1"/>
  <c r="CU15" i="1"/>
  <c r="BO16" i="1"/>
  <c r="BM16" i="1"/>
  <c r="BK16" i="1"/>
  <c r="BO15" i="1"/>
  <c r="BM15" i="1"/>
  <c r="BK15" i="1"/>
  <c r="AE15" i="1"/>
  <c r="AE16" i="1"/>
  <c r="AC15" i="1"/>
  <c r="AC16" i="1"/>
  <c r="AA15" i="1"/>
  <c r="AA16" i="1"/>
  <c r="DM16" i="1"/>
  <c r="DL16" i="1"/>
  <c r="DM15" i="1"/>
  <c r="DL15" i="1"/>
  <c r="DG16" i="1"/>
  <c r="DF16" i="1"/>
  <c r="DG15" i="1"/>
  <c r="DF15" i="1"/>
  <c r="CQ16" i="1"/>
  <c r="CP16" i="1"/>
  <c r="CO16" i="1"/>
  <c r="CN16" i="1"/>
  <c r="CQ15" i="1"/>
  <c r="CP15" i="1"/>
  <c r="CO15" i="1"/>
  <c r="CN15" i="1"/>
  <c r="CM16" i="1"/>
  <c r="CL16" i="1"/>
  <c r="CK16" i="1"/>
  <c r="CJ16" i="1"/>
  <c r="CI16" i="1"/>
  <c r="CH16" i="1"/>
  <c r="CM15" i="1"/>
  <c r="CL15" i="1"/>
  <c r="CK15" i="1"/>
  <c r="CJ15" i="1"/>
  <c r="CI15" i="1"/>
  <c r="CH15" i="1"/>
  <c r="CG16" i="1"/>
  <c r="CF16" i="1"/>
  <c r="CE16" i="1"/>
  <c r="CD16" i="1"/>
  <c r="CC16" i="1"/>
  <c r="CB16" i="1"/>
  <c r="CG15" i="1"/>
  <c r="CF15" i="1"/>
  <c r="CE15" i="1"/>
  <c r="CD15" i="1"/>
  <c r="CC15" i="1"/>
  <c r="CB15" i="1"/>
  <c r="CA16" i="1"/>
  <c r="BZ16" i="1"/>
  <c r="BY16" i="1"/>
  <c r="BX16" i="1"/>
  <c r="BW16" i="1"/>
  <c r="BV16" i="1"/>
  <c r="CA15" i="1"/>
  <c r="BZ15" i="1"/>
  <c r="BY15" i="1"/>
  <c r="BX15" i="1"/>
  <c r="BW15" i="1"/>
  <c r="BV15" i="1"/>
  <c r="BI16" i="1"/>
  <c r="BH16" i="1"/>
  <c r="BG16" i="1"/>
  <c r="BF16" i="1"/>
  <c r="BE16" i="1"/>
  <c r="BD16" i="1"/>
  <c r="BI15" i="1"/>
  <c r="BH15" i="1"/>
  <c r="BG15" i="1"/>
  <c r="BF15" i="1"/>
  <c r="BE15" i="1"/>
  <c r="BD15" i="1"/>
  <c r="BC16" i="1"/>
  <c r="BB16" i="1"/>
  <c r="BA16" i="1"/>
  <c r="AZ16" i="1"/>
  <c r="AY16" i="1"/>
  <c r="AX16" i="1"/>
  <c r="BC15" i="1"/>
  <c r="BB15" i="1"/>
  <c r="BA15" i="1"/>
  <c r="AZ15" i="1"/>
  <c r="AY15" i="1"/>
  <c r="AX15" i="1"/>
  <c r="AW16" i="1"/>
  <c r="AV16" i="1"/>
  <c r="AU16" i="1"/>
  <c r="AT16" i="1"/>
  <c r="AS16" i="1"/>
  <c r="AR16" i="1"/>
  <c r="AW15" i="1"/>
  <c r="AV15" i="1"/>
  <c r="AU15" i="1"/>
  <c r="AT15" i="1"/>
  <c r="AS15" i="1"/>
  <c r="AR15" i="1"/>
  <c r="AQ16" i="1"/>
  <c r="AP16" i="1"/>
  <c r="AO16" i="1"/>
  <c r="AN16" i="1"/>
  <c r="AM16" i="1"/>
  <c r="AL16" i="1"/>
  <c r="AQ15" i="1"/>
  <c r="AP15" i="1"/>
  <c r="AO15" i="1"/>
  <c r="AN15" i="1"/>
  <c r="AM15" i="1"/>
  <c r="AL15" i="1"/>
  <c r="Y16" i="1"/>
  <c r="X16" i="1"/>
  <c r="W16" i="1"/>
  <c r="V16" i="1"/>
  <c r="U16" i="1"/>
  <c r="T16" i="1"/>
  <c r="Y15" i="1"/>
  <c r="X15" i="1"/>
  <c r="W15" i="1"/>
  <c r="V15" i="1"/>
  <c r="U15" i="1"/>
  <c r="T15" i="1"/>
  <c r="S16" i="1"/>
  <c r="R16" i="1"/>
  <c r="Q16" i="1"/>
  <c r="P16" i="1"/>
  <c r="O16" i="1"/>
  <c r="N16" i="1"/>
  <c r="S15" i="1"/>
  <c r="R15" i="1"/>
  <c r="Q15" i="1"/>
  <c r="P15" i="1"/>
  <c r="O15" i="1"/>
  <c r="N15" i="1"/>
  <c r="M16" i="1"/>
  <c r="L16" i="1"/>
  <c r="K16" i="1"/>
  <c r="J16" i="1"/>
  <c r="I16" i="1"/>
  <c r="H16" i="1"/>
  <c r="M15" i="1"/>
  <c r="L15" i="1"/>
  <c r="K15" i="1"/>
  <c r="J15" i="1"/>
  <c r="I15" i="1"/>
  <c r="H15" i="1"/>
  <c r="G15" i="1"/>
  <c r="G16" i="1"/>
  <c r="F16" i="1"/>
  <c r="F15" i="1"/>
  <c r="E15" i="1"/>
  <c r="E16" i="1"/>
  <c r="D16" i="1"/>
  <c r="D15" i="1"/>
  <c r="C15" i="1"/>
  <c r="C16" i="1"/>
  <c r="B16" i="1"/>
  <c r="B15" i="1"/>
  <c r="J169" i="1" l="1"/>
  <c r="C156" i="10"/>
  <c r="D156" i="10" s="1"/>
  <c r="E156" i="10" s="1"/>
  <c r="F156" i="10" s="1"/>
  <c r="G156" i="10" s="1"/>
  <c r="H156" i="10" s="1"/>
  <c r="I156" i="10" s="1"/>
  <c r="J156" i="10" s="1"/>
  <c r="K156" i="10" s="1"/>
  <c r="L156" i="10" s="1"/>
  <c r="M156" i="10" s="1"/>
  <c r="N156" i="10" s="1"/>
  <c r="O156" i="10" s="1"/>
  <c r="P156" i="10" s="1"/>
  <c r="Q156" i="10" s="1"/>
  <c r="R156" i="10" s="1"/>
  <c r="S156" i="10" s="1"/>
  <c r="T156" i="10" s="1"/>
  <c r="U156" i="10" s="1"/>
  <c r="V156" i="10" s="1"/>
  <c r="W156" i="10" s="1"/>
  <c r="X156" i="10" s="1"/>
  <c r="Y156" i="10" s="1"/>
  <c r="Z156" i="10" s="1"/>
  <c r="AA156" i="10" s="1"/>
  <c r="AB156" i="10" s="1"/>
  <c r="AC156" i="10" s="1"/>
  <c r="AD156" i="10" s="1"/>
  <c r="AE156" i="10" s="1"/>
  <c r="AF156" i="10" s="1"/>
  <c r="AG156" i="10" s="1"/>
  <c r="AH156" i="10" s="1"/>
  <c r="AI156" i="10" s="1"/>
  <c r="AJ156" i="10" s="1"/>
  <c r="AK156" i="10" s="1"/>
  <c r="AL156" i="10" s="1"/>
  <c r="AM156" i="10" s="1"/>
  <c r="AN156" i="10" s="1"/>
  <c r="AO156" i="10" s="1"/>
  <c r="AP156" i="10" s="1"/>
  <c r="B136" i="10"/>
  <c r="B157" i="10" s="1"/>
  <c r="C135" i="10"/>
  <c r="C136" i="10" s="1"/>
  <c r="C157" i="10" s="1"/>
  <c r="H133" i="10"/>
  <c r="G133" i="10"/>
  <c r="F133" i="10"/>
  <c r="E133" i="10"/>
  <c r="D133" i="10"/>
  <c r="C133" i="10"/>
  <c r="H132" i="10"/>
  <c r="G132" i="10"/>
  <c r="F132" i="10"/>
  <c r="E132" i="10"/>
  <c r="D132" i="10"/>
  <c r="C132" i="10"/>
  <c r="H131" i="10"/>
  <c r="G131" i="10"/>
  <c r="F131" i="10"/>
  <c r="E131" i="10"/>
  <c r="D131" i="10"/>
  <c r="C131" i="10"/>
  <c r="H130" i="10"/>
  <c r="G130" i="10"/>
  <c r="F130" i="10"/>
  <c r="E130" i="10"/>
  <c r="D130" i="10"/>
  <c r="C130" i="10"/>
  <c r="H129" i="10"/>
  <c r="G129" i="10"/>
  <c r="F129" i="10"/>
  <c r="E129" i="10"/>
  <c r="D129" i="10"/>
  <c r="C129" i="10"/>
  <c r="H128" i="10"/>
  <c r="G128" i="10"/>
  <c r="F128" i="10"/>
  <c r="E128" i="10"/>
  <c r="D128" i="10"/>
  <c r="C128" i="10"/>
  <c r="H127" i="10"/>
  <c r="G127" i="10"/>
  <c r="F127" i="10"/>
  <c r="E127" i="10"/>
  <c r="D127" i="10"/>
  <c r="C127" i="10"/>
  <c r="H126" i="10"/>
  <c r="G126" i="10"/>
  <c r="F126" i="10"/>
  <c r="E126" i="10"/>
  <c r="D126" i="10"/>
  <c r="C126" i="10"/>
  <c r="H125" i="10"/>
  <c r="G125" i="10"/>
  <c r="F125" i="10"/>
  <c r="E125" i="10"/>
  <c r="D125" i="10"/>
  <c r="C125" i="10"/>
  <c r="H123" i="10"/>
  <c r="G123" i="10"/>
  <c r="F123" i="10"/>
  <c r="E123" i="10"/>
  <c r="D123" i="10"/>
  <c r="C123" i="10"/>
  <c r="H122" i="10"/>
  <c r="G122" i="10"/>
  <c r="F122" i="10"/>
  <c r="E122" i="10"/>
  <c r="D122" i="10"/>
  <c r="C122" i="10"/>
  <c r="G121" i="10"/>
  <c r="F121" i="10"/>
  <c r="E121" i="10"/>
  <c r="D121" i="10"/>
  <c r="C121" i="10"/>
  <c r="H120" i="10"/>
  <c r="G120" i="10"/>
  <c r="F120" i="10"/>
  <c r="E120" i="10"/>
  <c r="D120" i="10"/>
  <c r="C120" i="10"/>
  <c r="B117" i="10"/>
  <c r="AF137" i="10" s="1"/>
  <c r="B116" i="10"/>
  <c r="G115" i="10"/>
  <c r="G114" i="10"/>
  <c r="G113" i="10"/>
  <c r="G112" i="10"/>
  <c r="G111" i="10"/>
  <c r="G110" i="10"/>
  <c r="C105" i="10"/>
  <c r="D47" i="10"/>
  <c r="F47" i="10" s="1"/>
  <c r="H47" i="10" s="1"/>
  <c r="J47" i="10" s="1"/>
  <c r="L47" i="10" s="1"/>
  <c r="N47" i="10" s="1"/>
  <c r="P47" i="10" s="1"/>
  <c r="R47" i="10" s="1"/>
  <c r="T47" i="10" s="1"/>
  <c r="V47" i="10" s="1"/>
  <c r="X47" i="10" s="1"/>
  <c r="Z47" i="10" s="1"/>
  <c r="AB47" i="10" s="1"/>
  <c r="AD47" i="10" s="1"/>
  <c r="AF47" i="10" s="1"/>
  <c r="AH47" i="10" s="1"/>
  <c r="AJ47" i="10" s="1"/>
  <c r="AL47" i="10" s="1"/>
  <c r="AN47" i="10" s="1"/>
  <c r="AP47" i="10" s="1"/>
  <c r="AR47" i="10" s="1"/>
  <c r="AT47" i="10" s="1"/>
  <c r="AV47" i="10" s="1"/>
  <c r="AX47" i="10" s="1"/>
  <c r="AZ47" i="10" s="1"/>
  <c r="BB47" i="10" s="1"/>
  <c r="BD47" i="10" s="1"/>
  <c r="BF47" i="10" s="1"/>
  <c r="BH47" i="10" s="1"/>
  <c r="BJ47" i="10" s="1"/>
  <c r="BL47" i="10" s="1"/>
  <c r="BN47" i="10" s="1"/>
  <c r="BP47" i="10" s="1"/>
  <c r="BR47" i="10" s="1"/>
  <c r="BT47" i="10" s="1"/>
  <c r="BV47" i="10" s="1"/>
  <c r="BX47" i="10" s="1"/>
  <c r="BZ47" i="10" s="1"/>
  <c r="CB47" i="10" s="1"/>
  <c r="CD47" i="10" s="1"/>
  <c r="CF47" i="10" s="1"/>
  <c r="CH47" i="10" s="1"/>
  <c r="CJ47" i="10" s="1"/>
  <c r="CL47" i="10" s="1"/>
  <c r="CN47" i="10" s="1"/>
  <c r="CP47" i="10" s="1"/>
  <c r="CR47" i="10" s="1"/>
  <c r="CT47" i="10" s="1"/>
  <c r="CV47" i="10" s="1"/>
  <c r="CX47" i="10" s="1"/>
  <c r="CZ47" i="10" s="1"/>
  <c r="DB47" i="10" s="1"/>
  <c r="DD47" i="10" s="1"/>
  <c r="DF47" i="10" s="1"/>
  <c r="DH47" i="10" s="1"/>
  <c r="DJ47" i="10" s="1"/>
  <c r="DL47" i="10" s="1"/>
  <c r="DN47" i="10" s="1"/>
  <c r="DP47" i="10" s="1"/>
  <c r="DR47" i="10" s="1"/>
  <c r="DT47" i="10" s="1"/>
  <c r="DV47" i="10" s="1"/>
  <c r="DX47" i="10" s="1"/>
  <c r="DZ47" i="10" s="1"/>
  <c r="EB47" i="10" s="1"/>
  <c r="ED47" i="10" s="1"/>
  <c r="EF47" i="10" s="1"/>
  <c r="EH47" i="10" s="1"/>
  <c r="EJ47" i="10" s="1"/>
  <c r="EL47" i="10" s="1"/>
  <c r="EN47" i="10" s="1"/>
  <c r="D44" i="10"/>
  <c r="F44" i="10" s="1"/>
  <c r="H44" i="10" s="1"/>
  <c r="J44" i="10" s="1"/>
  <c r="L44" i="10" s="1"/>
  <c r="N44" i="10" s="1"/>
  <c r="P44" i="10" s="1"/>
  <c r="R44" i="10" s="1"/>
  <c r="T44" i="10" s="1"/>
  <c r="V44" i="10" s="1"/>
  <c r="X44" i="10" s="1"/>
  <c r="Z44" i="10" s="1"/>
  <c r="AB44" i="10" s="1"/>
  <c r="AD44" i="10" s="1"/>
  <c r="AF44" i="10" s="1"/>
  <c r="AH44" i="10" s="1"/>
  <c r="AJ44" i="10" s="1"/>
  <c r="AL44" i="10" s="1"/>
  <c r="AN44" i="10" s="1"/>
  <c r="AP44" i="10" s="1"/>
  <c r="AR44" i="10" s="1"/>
  <c r="AT44" i="10" s="1"/>
  <c r="AV44" i="10" s="1"/>
  <c r="AX44" i="10" s="1"/>
  <c r="AZ44" i="10" s="1"/>
  <c r="BB44" i="10" s="1"/>
  <c r="BD44" i="10" s="1"/>
  <c r="BF44" i="10" s="1"/>
  <c r="BH44" i="10" s="1"/>
  <c r="BJ44" i="10" s="1"/>
  <c r="BL44" i="10" s="1"/>
  <c r="BN44" i="10" s="1"/>
  <c r="BP44" i="10" s="1"/>
  <c r="BR44" i="10" s="1"/>
  <c r="BT44" i="10" s="1"/>
  <c r="BV44" i="10" s="1"/>
  <c r="BX44" i="10" s="1"/>
  <c r="BZ44" i="10" s="1"/>
  <c r="CB44" i="10" s="1"/>
  <c r="CD44" i="10" s="1"/>
  <c r="CF44" i="10" s="1"/>
  <c r="CH44" i="10" s="1"/>
  <c r="CJ44" i="10" s="1"/>
  <c r="CL44" i="10" s="1"/>
  <c r="CN44" i="10" s="1"/>
  <c r="CP44" i="10" s="1"/>
  <c r="CR44" i="10" s="1"/>
  <c r="CT44" i="10" s="1"/>
  <c r="CV44" i="10" s="1"/>
  <c r="CX44" i="10" s="1"/>
  <c r="CZ44" i="10" s="1"/>
  <c r="DB44" i="10" s="1"/>
  <c r="DD44" i="10" s="1"/>
  <c r="DF44" i="10" s="1"/>
  <c r="DH44" i="10" s="1"/>
  <c r="DJ44" i="10" s="1"/>
  <c r="DL44" i="10" s="1"/>
  <c r="DN44" i="10" s="1"/>
  <c r="DP44" i="10" s="1"/>
  <c r="DR44" i="10" s="1"/>
  <c r="DT44" i="10" s="1"/>
  <c r="DV44" i="10" s="1"/>
  <c r="DX44" i="10" s="1"/>
  <c r="DZ44" i="10" s="1"/>
  <c r="EB44" i="10" s="1"/>
  <c r="ED44" i="10" s="1"/>
  <c r="EF44" i="10" s="1"/>
  <c r="EH44" i="10" s="1"/>
  <c r="EJ44" i="10" s="1"/>
  <c r="EL44" i="10" s="1"/>
  <c r="EN44" i="10" s="1"/>
  <c r="D41" i="10"/>
  <c r="F41" i="10" s="1"/>
  <c r="H41" i="10" s="1"/>
  <c r="J41" i="10" s="1"/>
  <c r="L41" i="10" s="1"/>
  <c r="N41" i="10" s="1"/>
  <c r="P41" i="10" s="1"/>
  <c r="R41" i="10" s="1"/>
  <c r="T41" i="10" s="1"/>
  <c r="V41" i="10" s="1"/>
  <c r="X41" i="10" s="1"/>
  <c r="Z41" i="10" s="1"/>
  <c r="AB41" i="10" s="1"/>
  <c r="AD41" i="10" s="1"/>
  <c r="AF41" i="10" s="1"/>
  <c r="AH41" i="10" s="1"/>
  <c r="AJ41" i="10" s="1"/>
  <c r="AL41" i="10" s="1"/>
  <c r="AN41" i="10" s="1"/>
  <c r="AP41" i="10" s="1"/>
  <c r="AR41" i="10" s="1"/>
  <c r="AT41" i="10" s="1"/>
  <c r="AV41" i="10" s="1"/>
  <c r="AX41" i="10" s="1"/>
  <c r="AZ41" i="10" s="1"/>
  <c r="BB41" i="10" s="1"/>
  <c r="BD41" i="10" s="1"/>
  <c r="BF41" i="10" s="1"/>
  <c r="BH41" i="10" s="1"/>
  <c r="BJ41" i="10" s="1"/>
  <c r="BL41" i="10" s="1"/>
  <c r="BN41" i="10" s="1"/>
  <c r="BP41" i="10" s="1"/>
  <c r="BR41" i="10" s="1"/>
  <c r="BT41" i="10" s="1"/>
  <c r="BV41" i="10" s="1"/>
  <c r="BX41" i="10" s="1"/>
  <c r="BZ41" i="10" s="1"/>
  <c r="CB41" i="10" s="1"/>
  <c r="CD41" i="10" s="1"/>
  <c r="CF41" i="10" s="1"/>
  <c r="CH41" i="10" s="1"/>
  <c r="CJ41" i="10" s="1"/>
  <c r="CL41" i="10" s="1"/>
  <c r="CN41" i="10" s="1"/>
  <c r="CP41" i="10" s="1"/>
  <c r="CR41" i="10" s="1"/>
  <c r="CT41" i="10" s="1"/>
  <c r="CV41" i="10" s="1"/>
  <c r="CX41" i="10" s="1"/>
  <c r="CZ41" i="10" s="1"/>
  <c r="DB41" i="10" s="1"/>
  <c r="DD41" i="10" s="1"/>
  <c r="DF41" i="10" s="1"/>
  <c r="DH41" i="10" s="1"/>
  <c r="DJ41" i="10" s="1"/>
  <c r="DL41" i="10" s="1"/>
  <c r="DN41" i="10" s="1"/>
  <c r="DP41" i="10" s="1"/>
  <c r="DR41" i="10" s="1"/>
  <c r="DT41" i="10" s="1"/>
  <c r="DV41" i="10" s="1"/>
  <c r="DX41" i="10" s="1"/>
  <c r="DZ41" i="10" s="1"/>
  <c r="EB41" i="10" s="1"/>
  <c r="ED41" i="10" s="1"/>
  <c r="EF41" i="10" s="1"/>
  <c r="EH41" i="10" s="1"/>
  <c r="EJ41" i="10" s="1"/>
  <c r="EL41" i="10" s="1"/>
  <c r="EN41" i="10" s="1"/>
  <c r="D40" i="10"/>
  <c r="F40" i="10" s="1"/>
  <c r="H40" i="10" s="1"/>
  <c r="J40" i="10" s="1"/>
  <c r="L40" i="10" s="1"/>
  <c r="N40" i="10" s="1"/>
  <c r="P40" i="10" s="1"/>
  <c r="R40" i="10" s="1"/>
  <c r="T40" i="10" s="1"/>
  <c r="V40" i="10" s="1"/>
  <c r="X40" i="10" s="1"/>
  <c r="Z40" i="10" s="1"/>
  <c r="AB40" i="10" s="1"/>
  <c r="AD40" i="10" s="1"/>
  <c r="AF40" i="10" s="1"/>
  <c r="AH40" i="10" s="1"/>
  <c r="AJ40" i="10" s="1"/>
  <c r="AL40" i="10" s="1"/>
  <c r="AN40" i="10" s="1"/>
  <c r="AP40" i="10" s="1"/>
  <c r="AR40" i="10" s="1"/>
  <c r="AT40" i="10" s="1"/>
  <c r="AV40" i="10" s="1"/>
  <c r="AX40" i="10" s="1"/>
  <c r="AZ40" i="10" s="1"/>
  <c r="BB40" i="10" s="1"/>
  <c r="BD40" i="10" s="1"/>
  <c r="BF40" i="10" s="1"/>
  <c r="BH40" i="10" s="1"/>
  <c r="BJ40" i="10" s="1"/>
  <c r="BL40" i="10" s="1"/>
  <c r="BN40" i="10" s="1"/>
  <c r="BP40" i="10" s="1"/>
  <c r="BR40" i="10" s="1"/>
  <c r="BT40" i="10" s="1"/>
  <c r="BV40" i="10" s="1"/>
  <c r="BX40" i="10" s="1"/>
  <c r="BZ40" i="10" s="1"/>
  <c r="CB40" i="10" s="1"/>
  <c r="CD40" i="10" s="1"/>
  <c r="CF40" i="10" s="1"/>
  <c r="CH40" i="10" s="1"/>
  <c r="CJ40" i="10" s="1"/>
  <c r="CL40" i="10" s="1"/>
  <c r="CN40" i="10" s="1"/>
  <c r="CP40" i="10" s="1"/>
  <c r="CR40" i="10" s="1"/>
  <c r="CT40" i="10" s="1"/>
  <c r="CV40" i="10" s="1"/>
  <c r="CX40" i="10" s="1"/>
  <c r="CZ40" i="10" s="1"/>
  <c r="DB40" i="10" s="1"/>
  <c r="DD40" i="10" s="1"/>
  <c r="DF40" i="10" s="1"/>
  <c r="DH40" i="10" s="1"/>
  <c r="DJ40" i="10" s="1"/>
  <c r="DL40" i="10" s="1"/>
  <c r="DN40" i="10" s="1"/>
  <c r="DP40" i="10" s="1"/>
  <c r="DR40" i="10" s="1"/>
  <c r="DT40" i="10" s="1"/>
  <c r="DV40" i="10" s="1"/>
  <c r="DX40" i="10" s="1"/>
  <c r="DZ40" i="10" s="1"/>
  <c r="EB40" i="10" s="1"/>
  <c r="ED40" i="10" s="1"/>
  <c r="EF40" i="10" s="1"/>
  <c r="EH40" i="10" s="1"/>
  <c r="EJ40" i="10" s="1"/>
  <c r="EL40" i="10" s="1"/>
  <c r="EN40" i="10" s="1"/>
  <c r="D37" i="10"/>
  <c r="F37" i="10" s="1"/>
  <c r="H37" i="10" s="1"/>
  <c r="J37" i="10" s="1"/>
  <c r="L37" i="10" s="1"/>
  <c r="N37" i="10" s="1"/>
  <c r="P37" i="10" s="1"/>
  <c r="R37" i="10" s="1"/>
  <c r="T37" i="10" s="1"/>
  <c r="V37" i="10" s="1"/>
  <c r="X37" i="10" s="1"/>
  <c r="Z37" i="10" s="1"/>
  <c r="AB37" i="10" s="1"/>
  <c r="AD37" i="10" s="1"/>
  <c r="AF37" i="10" s="1"/>
  <c r="AH37" i="10" s="1"/>
  <c r="AJ37" i="10" s="1"/>
  <c r="AL37" i="10" s="1"/>
  <c r="AN37" i="10" s="1"/>
  <c r="AP37" i="10" s="1"/>
  <c r="AR37" i="10" s="1"/>
  <c r="AT37" i="10" s="1"/>
  <c r="AV37" i="10" s="1"/>
  <c r="AX37" i="10" s="1"/>
  <c r="AZ37" i="10" s="1"/>
  <c r="BB37" i="10" s="1"/>
  <c r="BD37" i="10" s="1"/>
  <c r="BF37" i="10" s="1"/>
  <c r="BH37" i="10" s="1"/>
  <c r="BJ37" i="10" s="1"/>
  <c r="BL37" i="10" s="1"/>
  <c r="BN37" i="10" s="1"/>
  <c r="BP37" i="10" s="1"/>
  <c r="BR37" i="10" s="1"/>
  <c r="BT37" i="10" s="1"/>
  <c r="BV37" i="10" s="1"/>
  <c r="BX37" i="10" s="1"/>
  <c r="BZ37" i="10" s="1"/>
  <c r="CB37" i="10" s="1"/>
  <c r="CD37" i="10" s="1"/>
  <c r="CF37" i="10" s="1"/>
  <c r="CH37" i="10" s="1"/>
  <c r="CJ37" i="10" s="1"/>
  <c r="CL37" i="10" s="1"/>
  <c r="CN37" i="10" s="1"/>
  <c r="CP37" i="10" s="1"/>
  <c r="CR37" i="10" s="1"/>
  <c r="CT37" i="10" s="1"/>
  <c r="CV37" i="10" s="1"/>
  <c r="CX37" i="10" s="1"/>
  <c r="CZ37" i="10" s="1"/>
  <c r="DB37" i="10" s="1"/>
  <c r="DD37" i="10" s="1"/>
  <c r="DF37" i="10" s="1"/>
  <c r="DH37" i="10" s="1"/>
  <c r="DJ37" i="10" s="1"/>
  <c r="DL37" i="10" s="1"/>
  <c r="DN37" i="10" s="1"/>
  <c r="DP37" i="10" s="1"/>
  <c r="DR37" i="10" s="1"/>
  <c r="DT37" i="10" s="1"/>
  <c r="DV37" i="10" s="1"/>
  <c r="DX37" i="10" s="1"/>
  <c r="DZ37" i="10" s="1"/>
  <c r="EB37" i="10" s="1"/>
  <c r="ED37" i="10" s="1"/>
  <c r="EF37" i="10" s="1"/>
  <c r="EH37" i="10" s="1"/>
  <c r="EJ37" i="10" s="1"/>
  <c r="EL37" i="10" s="1"/>
  <c r="EN37" i="10" s="1"/>
  <c r="D34" i="10"/>
  <c r="F34" i="10" s="1"/>
  <c r="H34" i="10" s="1"/>
  <c r="J34" i="10" s="1"/>
  <c r="L34" i="10" s="1"/>
  <c r="N34" i="10" s="1"/>
  <c r="P34" i="10" s="1"/>
  <c r="R34" i="10" s="1"/>
  <c r="T34" i="10" s="1"/>
  <c r="V34" i="10" s="1"/>
  <c r="X34" i="10" s="1"/>
  <c r="Z34" i="10" s="1"/>
  <c r="AB34" i="10" s="1"/>
  <c r="AD34" i="10" s="1"/>
  <c r="AF34" i="10" s="1"/>
  <c r="AH34" i="10" s="1"/>
  <c r="AJ34" i="10" s="1"/>
  <c r="AL34" i="10" s="1"/>
  <c r="AN34" i="10" s="1"/>
  <c r="AP34" i="10" s="1"/>
  <c r="AR34" i="10" s="1"/>
  <c r="AT34" i="10" s="1"/>
  <c r="AV34" i="10" s="1"/>
  <c r="AX34" i="10" s="1"/>
  <c r="AZ34" i="10" s="1"/>
  <c r="BB34" i="10" s="1"/>
  <c r="BD34" i="10" s="1"/>
  <c r="BF34" i="10" s="1"/>
  <c r="BH34" i="10" s="1"/>
  <c r="BJ34" i="10" s="1"/>
  <c r="BL34" i="10" s="1"/>
  <c r="BN34" i="10" s="1"/>
  <c r="BP34" i="10" s="1"/>
  <c r="BR34" i="10" s="1"/>
  <c r="BT34" i="10" s="1"/>
  <c r="BV34" i="10" s="1"/>
  <c r="BX34" i="10" s="1"/>
  <c r="BZ34" i="10" s="1"/>
  <c r="CB34" i="10" s="1"/>
  <c r="CD34" i="10" s="1"/>
  <c r="CF34" i="10" s="1"/>
  <c r="CH34" i="10" s="1"/>
  <c r="CJ34" i="10" s="1"/>
  <c r="CL34" i="10" s="1"/>
  <c r="CN34" i="10" s="1"/>
  <c r="CP34" i="10" s="1"/>
  <c r="CR34" i="10" s="1"/>
  <c r="CT34" i="10" s="1"/>
  <c r="CV34" i="10" s="1"/>
  <c r="CX34" i="10" s="1"/>
  <c r="CZ34" i="10" s="1"/>
  <c r="DB34" i="10" s="1"/>
  <c r="DD34" i="10" s="1"/>
  <c r="DF34" i="10" s="1"/>
  <c r="DH34" i="10" s="1"/>
  <c r="DJ34" i="10" s="1"/>
  <c r="DL34" i="10" s="1"/>
  <c r="DN34" i="10" s="1"/>
  <c r="DP34" i="10" s="1"/>
  <c r="DR34" i="10" s="1"/>
  <c r="DT34" i="10" s="1"/>
  <c r="DV34" i="10" s="1"/>
  <c r="DX34" i="10" s="1"/>
  <c r="DZ34" i="10" s="1"/>
  <c r="EB34" i="10" s="1"/>
  <c r="ED34" i="10" s="1"/>
  <c r="EF34" i="10" s="1"/>
  <c r="EH34" i="10" s="1"/>
  <c r="EJ34" i="10" s="1"/>
  <c r="EL34" i="10" s="1"/>
  <c r="EN34" i="10" s="1"/>
  <c r="D31" i="10"/>
  <c r="F31" i="10" s="1"/>
  <c r="H31" i="10" s="1"/>
  <c r="J31" i="10" s="1"/>
  <c r="L31" i="10" s="1"/>
  <c r="N31" i="10" s="1"/>
  <c r="P31" i="10" s="1"/>
  <c r="R31" i="10" s="1"/>
  <c r="T31" i="10" s="1"/>
  <c r="V31" i="10" s="1"/>
  <c r="X31" i="10" s="1"/>
  <c r="Z31" i="10" s="1"/>
  <c r="AB31" i="10" s="1"/>
  <c r="AD31" i="10" s="1"/>
  <c r="AF31" i="10" s="1"/>
  <c r="AH31" i="10" s="1"/>
  <c r="AJ31" i="10" s="1"/>
  <c r="AL31" i="10" s="1"/>
  <c r="AN31" i="10" s="1"/>
  <c r="AP31" i="10" s="1"/>
  <c r="AR31" i="10" s="1"/>
  <c r="AT31" i="10" s="1"/>
  <c r="AV31" i="10" s="1"/>
  <c r="AX31" i="10" s="1"/>
  <c r="AZ31" i="10" s="1"/>
  <c r="BB31" i="10" s="1"/>
  <c r="BD31" i="10" s="1"/>
  <c r="BF31" i="10" s="1"/>
  <c r="BH31" i="10" s="1"/>
  <c r="BJ31" i="10" s="1"/>
  <c r="BL31" i="10" s="1"/>
  <c r="BN31" i="10" s="1"/>
  <c r="BP31" i="10" s="1"/>
  <c r="BR31" i="10" s="1"/>
  <c r="BT31" i="10" s="1"/>
  <c r="BV31" i="10" s="1"/>
  <c r="BX31" i="10" s="1"/>
  <c r="BZ31" i="10" s="1"/>
  <c r="CB31" i="10" s="1"/>
  <c r="CD31" i="10" s="1"/>
  <c r="CF31" i="10" s="1"/>
  <c r="CH31" i="10" s="1"/>
  <c r="CJ31" i="10" s="1"/>
  <c r="CL31" i="10" s="1"/>
  <c r="CN31" i="10" s="1"/>
  <c r="CP31" i="10" s="1"/>
  <c r="CR31" i="10" s="1"/>
  <c r="CT31" i="10" s="1"/>
  <c r="CV31" i="10" s="1"/>
  <c r="CX31" i="10" s="1"/>
  <c r="CZ31" i="10" s="1"/>
  <c r="DB31" i="10" s="1"/>
  <c r="DD31" i="10" s="1"/>
  <c r="DF31" i="10" s="1"/>
  <c r="DH31" i="10" s="1"/>
  <c r="DJ31" i="10" s="1"/>
  <c r="DL31" i="10" s="1"/>
  <c r="DN31" i="10" s="1"/>
  <c r="DP31" i="10" s="1"/>
  <c r="DR31" i="10" s="1"/>
  <c r="DT31" i="10" s="1"/>
  <c r="DV31" i="10" s="1"/>
  <c r="DX31" i="10" s="1"/>
  <c r="DZ31" i="10" s="1"/>
  <c r="EB31" i="10" s="1"/>
  <c r="ED31" i="10" s="1"/>
  <c r="EF31" i="10" s="1"/>
  <c r="EH31" i="10" s="1"/>
  <c r="EJ31" i="10" s="1"/>
  <c r="EL31" i="10" s="1"/>
  <c r="EN31" i="10" s="1"/>
  <c r="D30" i="10"/>
  <c r="F30" i="10" s="1"/>
  <c r="H30" i="10" s="1"/>
  <c r="J30" i="10" s="1"/>
  <c r="L30" i="10" s="1"/>
  <c r="N30" i="10" s="1"/>
  <c r="P30" i="10" s="1"/>
  <c r="R30" i="10" s="1"/>
  <c r="T30" i="10" s="1"/>
  <c r="V30" i="10" s="1"/>
  <c r="X30" i="10" s="1"/>
  <c r="Z30" i="10" s="1"/>
  <c r="AB30" i="10" s="1"/>
  <c r="AD30" i="10" s="1"/>
  <c r="AF30" i="10" s="1"/>
  <c r="AH30" i="10" s="1"/>
  <c r="AJ30" i="10" s="1"/>
  <c r="AL30" i="10" s="1"/>
  <c r="AN30" i="10" s="1"/>
  <c r="AP30" i="10" s="1"/>
  <c r="AR30" i="10" s="1"/>
  <c r="AT30" i="10" s="1"/>
  <c r="AV30" i="10" s="1"/>
  <c r="AX30" i="10" s="1"/>
  <c r="AZ30" i="10" s="1"/>
  <c r="BB30" i="10" s="1"/>
  <c r="BD30" i="10" s="1"/>
  <c r="BF30" i="10" s="1"/>
  <c r="BH30" i="10" s="1"/>
  <c r="BJ30" i="10" s="1"/>
  <c r="BL30" i="10" s="1"/>
  <c r="BN30" i="10" s="1"/>
  <c r="BP30" i="10" s="1"/>
  <c r="BR30" i="10" s="1"/>
  <c r="BT30" i="10" s="1"/>
  <c r="BV30" i="10" s="1"/>
  <c r="BX30" i="10" s="1"/>
  <c r="BZ30" i="10" s="1"/>
  <c r="CB30" i="10" s="1"/>
  <c r="CD30" i="10" s="1"/>
  <c r="CF30" i="10" s="1"/>
  <c r="CH30" i="10" s="1"/>
  <c r="CJ30" i="10" s="1"/>
  <c r="CL30" i="10" s="1"/>
  <c r="CN30" i="10" s="1"/>
  <c r="CP30" i="10" s="1"/>
  <c r="CR30" i="10" s="1"/>
  <c r="CT30" i="10" s="1"/>
  <c r="CV30" i="10" s="1"/>
  <c r="CX30" i="10" s="1"/>
  <c r="CZ30" i="10" s="1"/>
  <c r="DB30" i="10" s="1"/>
  <c r="DD30" i="10" s="1"/>
  <c r="DF30" i="10" s="1"/>
  <c r="DH30" i="10" s="1"/>
  <c r="DJ30" i="10" s="1"/>
  <c r="DL30" i="10" s="1"/>
  <c r="DN30" i="10" s="1"/>
  <c r="DP30" i="10" s="1"/>
  <c r="DR30" i="10" s="1"/>
  <c r="DT30" i="10" s="1"/>
  <c r="DV30" i="10" s="1"/>
  <c r="DX30" i="10" s="1"/>
  <c r="DZ30" i="10" s="1"/>
  <c r="EB30" i="10" s="1"/>
  <c r="ED30" i="10" s="1"/>
  <c r="EF30" i="10" s="1"/>
  <c r="EH30" i="10" s="1"/>
  <c r="EJ30" i="10" s="1"/>
  <c r="EL30" i="10" s="1"/>
  <c r="EN30" i="10" s="1"/>
  <c r="D27" i="10"/>
  <c r="F27" i="10" s="1"/>
  <c r="H27" i="10" s="1"/>
  <c r="J27" i="10" s="1"/>
  <c r="L27" i="10" s="1"/>
  <c r="N27" i="10" s="1"/>
  <c r="P27" i="10" s="1"/>
  <c r="R27" i="10" s="1"/>
  <c r="T27" i="10" s="1"/>
  <c r="V27" i="10" s="1"/>
  <c r="X27" i="10" s="1"/>
  <c r="Z27" i="10" s="1"/>
  <c r="AB27" i="10" s="1"/>
  <c r="AD27" i="10" s="1"/>
  <c r="AF27" i="10" s="1"/>
  <c r="AH27" i="10" s="1"/>
  <c r="AJ27" i="10" s="1"/>
  <c r="AL27" i="10" s="1"/>
  <c r="AN27" i="10" s="1"/>
  <c r="AP27" i="10" s="1"/>
  <c r="AR27" i="10" s="1"/>
  <c r="AT27" i="10" s="1"/>
  <c r="AV27" i="10" s="1"/>
  <c r="AX27" i="10" s="1"/>
  <c r="AZ27" i="10" s="1"/>
  <c r="BB27" i="10" s="1"/>
  <c r="BD27" i="10" s="1"/>
  <c r="BF27" i="10" s="1"/>
  <c r="BH27" i="10" s="1"/>
  <c r="BJ27" i="10" s="1"/>
  <c r="BL27" i="10" s="1"/>
  <c r="BN27" i="10" s="1"/>
  <c r="BP27" i="10" s="1"/>
  <c r="BR27" i="10" s="1"/>
  <c r="BT27" i="10" s="1"/>
  <c r="BV27" i="10" s="1"/>
  <c r="BX27" i="10" s="1"/>
  <c r="BZ27" i="10" s="1"/>
  <c r="CB27" i="10" s="1"/>
  <c r="CD27" i="10" s="1"/>
  <c r="CF27" i="10" s="1"/>
  <c r="CH27" i="10" s="1"/>
  <c r="CJ27" i="10" s="1"/>
  <c r="CL27" i="10" s="1"/>
  <c r="CN27" i="10" s="1"/>
  <c r="CP27" i="10" s="1"/>
  <c r="CR27" i="10" s="1"/>
  <c r="CT27" i="10" s="1"/>
  <c r="CV27" i="10" s="1"/>
  <c r="CX27" i="10" s="1"/>
  <c r="CZ27" i="10" s="1"/>
  <c r="DB27" i="10" s="1"/>
  <c r="DD27" i="10" s="1"/>
  <c r="DF27" i="10" s="1"/>
  <c r="DH27" i="10" s="1"/>
  <c r="DJ27" i="10" s="1"/>
  <c r="DL27" i="10" s="1"/>
  <c r="DN27" i="10" s="1"/>
  <c r="DP27" i="10" s="1"/>
  <c r="DR27" i="10" s="1"/>
  <c r="DT27" i="10" s="1"/>
  <c r="DV27" i="10" s="1"/>
  <c r="DX27" i="10" s="1"/>
  <c r="DZ27" i="10" s="1"/>
  <c r="EB27" i="10" s="1"/>
  <c r="ED27" i="10" s="1"/>
  <c r="EF27" i="10" s="1"/>
  <c r="EH27" i="10" s="1"/>
  <c r="EJ27" i="10" s="1"/>
  <c r="EL27" i="10" s="1"/>
  <c r="EN27" i="10" s="1"/>
  <c r="D26" i="10"/>
  <c r="F26" i="10" s="1"/>
  <c r="H26" i="10" s="1"/>
  <c r="J26" i="10" s="1"/>
  <c r="L26" i="10" s="1"/>
  <c r="N26" i="10" s="1"/>
  <c r="P26" i="10" s="1"/>
  <c r="R26" i="10" s="1"/>
  <c r="T26" i="10" s="1"/>
  <c r="V26" i="10" s="1"/>
  <c r="X26" i="10" s="1"/>
  <c r="Z26" i="10" s="1"/>
  <c r="AB26" i="10" s="1"/>
  <c r="AD26" i="10" s="1"/>
  <c r="AF26" i="10" s="1"/>
  <c r="AH26" i="10" s="1"/>
  <c r="AJ26" i="10" s="1"/>
  <c r="AL26" i="10" s="1"/>
  <c r="AN26" i="10" s="1"/>
  <c r="AP26" i="10" s="1"/>
  <c r="AR26" i="10" s="1"/>
  <c r="AT26" i="10" s="1"/>
  <c r="AV26" i="10" s="1"/>
  <c r="AX26" i="10" s="1"/>
  <c r="AZ26" i="10" s="1"/>
  <c r="BB26" i="10" s="1"/>
  <c r="BD26" i="10" s="1"/>
  <c r="BF26" i="10" s="1"/>
  <c r="BH26" i="10" s="1"/>
  <c r="BJ26" i="10" s="1"/>
  <c r="BL26" i="10" s="1"/>
  <c r="BN26" i="10" s="1"/>
  <c r="BP26" i="10" s="1"/>
  <c r="BR26" i="10" s="1"/>
  <c r="BT26" i="10" s="1"/>
  <c r="BV26" i="10" s="1"/>
  <c r="BX26" i="10" s="1"/>
  <c r="BZ26" i="10" s="1"/>
  <c r="CB26" i="10" s="1"/>
  <c r="CD26" i="10" s="1"/>
  <c r="CF26" i="10" s="1"/>
  <c r="CH26" i="10" s="1"/>
  <c r="CJ26" i="10" s="1"/>
  <c r="CL26" i="10" s="1"/>
  <c r="CN26" i="10" s="1"/>
  <c r="CP26" i="10" s="1"/>
  <c r="B24" i="10"/>
  <c r="D23" i="10"/>
  <c r="F23" i="10" s="1"/>
  <c r="H23" i="10" s="1"/>
  <c r="J23" i="10" s="1"/>
  <c r="L23" i="10" s="1"/>
  <c r="N23" i="10" s="1"/>
  <c r="P23" i="10" s="1"/>
  <c r="R23" i="10" s="1"/>
  <c r="T23" i="10" s="1"/>
  <c r="V23" i="10" s="1"/>
  <c r="X23" i="10" s="1"/>
  <c r="Z23" i="10" s="1"/>
  <c r="AB23" i="10" s="1"/>
  <c r="AD23" i="10" s="1"/>
  <c r="AF23" i="10" s="1"/>
  <c r="AH23" i="10" s="1"/>
  <c r="AJ23" i="10" s="1"/>
  <c r="AL23" i="10" s="1"/>
  <c r="AN23" i="10" s="1"/>
  <c r="AP23" i="10" s="1"/>
  <c r="AR23" i="10" s="1"/>
  <c r="AT23" i="10" s="1"/>
  <c r="AV23" i="10" s="1"/>
  <c r="AX23" i="10" s="1"/>
  <c r="AZ23" i="10" s="1"/>
  <c r="BB23" i="10" s="1"/>
  <c r="BD23" i="10" s="1"/>
  <c r="BF23" i="10" s="1"/>
  <c r="BH23" i="10" s="1"/>
  <c r="BJ23" i="10" s="1"/>
  <c r="BL23" i="10" s="1"/>
  <c r="BN23" i="10" s="1"/>
  <c r="BP23" i="10" s="1"/>
  <c r="BR23" i="10" s="1"/>
  <c r="BT23" i="10" s="1"/>
  <c r="BV23" i="10" s="1"/>
  <c r="BX23" i="10" s="1"/>
  <c r="BZ23" i="10" s="1"/>
  <c r="CB23" i="10" s="1"/>
  <c r="CD23" i="10" s="1"/>
  <c r="CF23" i="10" s="1"/>
  <c r="CH23" i="10" s="1"/>
  <c r="CJ23" i="10" s="1"/>
  <c r="CL23" i="10" s="1"/>
  <c r="CN23" i="10" s="1"/>
  <c r="CP23" i="10" s="1"/>
  <c r="CR23" i="10" s="1"/>
  <c r="CT23" i="10" s="1"/>
  <c r="CV23" i="10" s="1"/>
  <c r="CX23" i="10" s="1"/>
  <c r="CZ23" i="10" s="1"/>
  <c r="DB23" i="10" s="1"/>
  <c r="DD23" i="10" s="1"/>
  <c r="DF23" i="10" s="1"/>
  <c r="DH23" i="10" s="1"/>
  <c r="DJ23" i="10" s="1"/>
  <c r="DL23" i="10" s="1"/>
  <c r="DN23" i="10" s="1"/>
  <c r="DP23" i="10" s="1"/>
  <c r="DR23" i="10" s="1"/>
  <c r="DT23" i="10" s="1"/>
  <c r="DV23" i="10" s="1"/>
  <c r="DX23" i="10" s="1"/>
  <c r="DZ23" i="10" s="1"/>
  <c r="EB23" i="10" s="1"/>
  <c r="ED23" i="10" s="1"/>
  <c r="EF23" i="10" s="1"/>
  <c r="EH23" i="10" s="1"/>
  <c r="EJ23" i="10" s="1"/>
  <c r="EL23" i="10" s="1"/>
  <c r="EN23" i="10" s="1"/>
  <c r="D22" i="10"/>
  <c r="EI17" i="10"/>
  <c r="EI19" i="10" s="1"/>
  <c r="EI20" i="10" s="1"/>
  <c r="EG17" i="10"/>
  <c r="EG19" i="10" s="1"/>
  <c r="EG20" i="10" s="1"/>
  <c r="EE17" i="10"/>
  <c r="EE19" i="10" s="1"/>
  <c r="EE20" i="10" s="1"/>
  <c r="DM17" i="10"/>
  <c r="DM19" i="10" s="1"/>
  <c r="DM20" i="10" s="1"/>
  <c r="DL17" i="10"/>
  <c r="DG17" i="10"/>
  <c r="DG19" i="10" s="1"/>
  <c r="DG20" i="10" s="1"/>
  <c r="DF17" i="10"/>
  <c r="CY17" i="10"/>
  <c r="CY19" i="10" s="1"/>
  <c r="CY20" i="10" s="1"/>
  <c r="CW17" i="10"/>
  <c r="CW19" i="10" s="1"/>
  <c r="CW20" i="10" s="1"/>
  <c r="CU17" i="10"/>
  <c r="CU19" i="10" s="1"/>
  <c r="CU20" i="10" s="1"/>
  <c r="CQ17" i="10"/>
  <c r="CQ19" i="10" s="1"/>
  <c r="CQ20" i="10" s="1"/>
  <c r="CP17" i="10"/>
  <c r="CO17" i="10"/>
  <c r="CO19" i="10" s="1"/>
  <c r="CO20" i="10" s="1"/>
  <c r="CN17" i="10"/>
  <c r="CN19" i="10" s="1"/>
  <c r="CM17" i="10"/>
  <c r="CM19" i="10" s="1"/>
  <c r="CM20" i="10" s="1"/>
  <c r="CL17" i="10"/>
  <c r="CL19" i="10" s="1"/>
  <c r="CK17" i="10"/>
  <c r="CK19" i="10" s="1"/>
  <c r="CK20" i="10" s="1"/>
  <c r="CJ17" i="10"/>
  <c r="CJ19" i="10" s="1"/>
  <c r="CI17" i="10"/>
  <c r="CI19" i="10" s="1"/>
  <c r="CI20" i="10" s="1"/>
  <c r="CH17" i="10"/>
  <c r="CG17" i="10"/>
  <c r="CG19" i="10" s="1"/>
  <c r="CG20" i="10" s="1"/>
  <c r="CF17" i="10"/>
  <c r="CE17" i="10"/>
  <c r="CE19" i="10" s="1"/>
  <c r="CE20" i="10" s="1"/>
  <c r="CD17" i="10"/>
  <c r="CC17" i="10"/>
  <c r="CC19" i="10" s="1"/>
  <c r="CC20" i="10" s="1"/>
  <c r="CB17" i="10"/>
  <c r="CB19" i="10" s="1"/>
  <c r="CA17" i="10"/>
  <c r="CA19" i="10" s="1"/>
  <c r="CA20" i="10" s="1"/>
  <c r="BZ17" i="10"/>
  <c r="BY17" i="10"/>
  <c r="BY19" i="10" s="1"/>
  <c r="BY20" i="10" s="1"/>
  <c r="BX17" i="10"/>
  <c r="BX19" i="10" s="1"/>
  <c r="BW17" i="10"/>
  <c r="BW19" i="10" s="1"/>
  <c r="BW20" i="10" s="1"/>
  <c r="BV17" i="10"/>
  <c r="BV19" i="10" s="1"/>
  <c r="BV20" i="10" s="1"/>
  <c r="BO17" i="10"/>
  <c r="BO19" i="10" s="1"/>
  <c r="BO20" i="10" s="1"/>
  <c r="BM17" i="10"/>
  <c r="BM19" i="10" s="1"/>
  <c r="BM20" i="10" s="1"/>
  <c r="BK17" i="10"/>
  <c r="BK19" i="10" s="1"/>
  <c r="BK20" i="10" s="1"/>
  <c r="BI17" i="10"/>
  <c r="BI19" i="10" s="1"/>
  <c r="BI20" i="10" s="1"/>
  <c r="BH17" i="10"/>
  <c r="BH19" i="10" s="1"/>
  <c r="BG17" i="10"/>
  <c r="BG19" i="10" s="1"/>
  <c r="BG20" i="10" s="1"/>
  <c r="BF17" i="10"/>
  <c r="BF19" i="10" s="1"/>
  <c r="BE17" i="10"/>
  <c r="BE19" i="10" s="1"/>
  <c r="BE20" i="10" s="1"/>
  <c r="BD17" i="10"/>
  <c r="BC17" i="10"/>
  <c r="BC19" i="10" s="1"/>
  <c r="BC20" i="10" s="1"/>
  <c r="BB17" i="10"/>
  <c r="BB19" i="10" s="1"/>
  <c r="BA17" i="10"/>
  <c r="BA19" i="10" s="1"/>
  <c r="BA20" i="10" s="1"/>
  <c r="AZ17" i="10"/>
  <c r="AY17" i="10"/>
  <c r="AY19" i="10" s="1"/>
  <c r="AY20" i="10" s="1"/>
  <c r="AX17" i="10"/>
  <c r="AW17" i="10"/>
  <c r="AW19" i="10" s="1"/>
  <c r="AW20" i="10" s="1"/>
  <c r="AV17" i="10"/>
  <c r="AU17" i="10"/>
  <c r="AU19" i="10" s="1"/>
  <c r="AU20" i="10" s="1"/>
  <c r="AT17" i="10"/>
  <c r="AS17" i="10"/>
  <c r="AS19" i="10" s="1"/>
  <c r="AS20" i="10" s="1"/>
  <c r="AR17" i="10"/>
  <c r="AQ17" i="10"/>
  <c r="AQ19" i="10" s="1"/>
  <c r="AQ20" i="10" s="1"/>
  <c r="AP17" i="10"/>
  <c r="AP19" i="10" s="1"/>
  <c r="AO17" i="10"/>
  <c r="AO19" i="10" s="1"/>
  <c r="AO20" i="10" s="1"/>
  <c r="AN17" i="10"/>
  <c r="AN19" i="10" s="1"/>
  <c r="AM17" i="10"/>
  <c r="AM19" i="10" s="1"/>
  <c r="AM20" i="10" s="1"/>
  <c r="AL17" i="10"/>
  <c r="AE17" i="10"/>
  <c r="AE19" i="10" s="1"/>
  <c r="AE20" i="10" s="1"/>
  <c r="AC17" i="10"/>
  <c r="AC19" i="10" s="1"/>
  <c r="AC20" i="10" s="1"/>
  <c r="AA17" i="10"/>
  <c r="AA19" i="10" s="1"/>
  <c r="AA20" i="10" s="1"/>
  <c r="Y17" i="10"/>
  <c r="Y19" i="10" s="1"/>
  <c r="Y20" i="10" s="1"/>
  <c r="X17" i="10"/>
  <c r="W17" i="10"/>
  <c r="W19" i="10" s="1"/>
  <c r="W20" i="10" s="1"/>
  <c r="V17" i="10"/>
  <c r="V19" i="10" s="1"/>
  <c r="U17" i="10"/>
  <c r="U19" i="10" s="1"/>
  <c r="U20" i="10" s="1"/>
  <c r="T17" i="10"/>
  <c r="S17" i="10"/>
  <c r="S19" i="10" s="1"/>
  <c r="S20" i="10" s="1"/>
  <c r="R17" i="10"/>
  <c r="R19" i="10" s="1"/>
  <c r="Q17" i="10"/>
  <c r="Q19" i="10" s="1"/>
  <c r="Q20" i="10" s="1"/>
  <c r="P17" i="10"/>
  <c r="P19" i="10" s="1"/>
  <c r="O17" i="10"/>
  <c r="O19" i="10" s="1"/>
  <c r="O20" i="10" s="1"/>
  <c r="N17" i="10"/>
  <c r="M17" i="10"/>
  <c r="M19" i="10" s="1"/>
  <c r="M20" i="10" s="1"/>
  <c r="L17" i="10"/>
  <c r="K17" i="10"/>
  <c r="K19" i="10" s="1"/>
  <c r="K20" i="10" s="1"/>
  <c r="J17" i="10"/>
  <c r="J19" i="10" s="1"/>
  <c r="I17" i="10"/>
  <c r="I19" i="10" s="1"/>
  <c r="I20" i="10" s="1"/>
  <c r="H17" i="10"/>
  <c r="G17" i="10"/>
  <c r="G19" i="10" s="1"/>
  <c r="G20" i="10" s="1"/>
  <c r="F17" i="10"/>
  <c r="E17" i="10"/>
  <c r="E19" i="10" s="1"/>
  <c r="E20" i="10" s="1"/>
  <c r="D17" i="10"/>
  <c r="C17" i="10"/>
  <c r="C19" i="10" s="1"/>
  <c r="C20" i="10" s="1"/>
  <c r="B17" i="10"/>
  <c r="B19" i="10" s="1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M18" i="10" s="1"/>
  <c r="DL11" i="10"/>
  <c r="DL18" i="10" s="1"/>
  <c r="DK11" i="10"/>
  <c r="DJ11" i="10"/>
  <c r="DI11" i="10"/>
  <c r="DH11" i="10"/>
  <c r="DG11" i="10"/>
  <c r="DG18" i="10" s="1"/>
  <c r="DF11" i="10"/>
  <c r="DF18" i="10" s="1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Q18" i="10" s="1"/>
  <c r="CP11" i="10"/>
  <c r="CP18" i="10" s="1"/>
  <c r="CO11" i="10"/>
  <c r="CO18" i="10" s="1"/>
  <c r="CN11" i="10"/>
  <c r="CN18" i="10" s="1"/>
  <c r="CM11" i="10"/>
  <c r="CM18" i="10" s="1"/>
  <c r="CL11" i="10"/>
  <c r="CL18" i="10" s="1"/>
  <c r="CK11" i="10"/>
  <c r="CK18" i="10" s="1"/>
  <c r="CJ11" i="10"/>
  <c r="CJ18" i="10" s="1"/>
  <c r="CI11" i="10"/>
  <c r="CI18" i="10" s="1"/>
  <c r="CH11" i="10"/>
  <c r="CH18" i="10" s="1"/>
  <c r="CG11" i="10"/>
  <c r="CG18" i="10" s="1"/>
  <c r="CF11" i="10"/>
  <c r="CF18" i="10" s="1"/>
  <c r="CE11" i="10"/>
  <c r="CE18" i="10" s="1"/>
  <c r="CD11" i="10"/>
  <c r="CD18" i="10" s="1"/>
  <c r="CC11" i="10"/>
  <c r="CC18" i="10" s="1"/>
  <c r="CB11" i="10"/>
  <c r="CB18" i="10" s="1"/>
  <c r="CA11" i="10"/>
  <c r="CA18" i="10" s="1"/>
  <c r="BZ11" i="10"/>
  <c r="BZ18" i="10" s="1"/>
  <c r="BY11" i="10"/>
  <c r="BY18" i="10" s="1"/>
  <c r="BX11" i="10"/>
  <c r="BX18" i="10" s="1"/>
  <c r="BW11" i="10"/>
  <c r="BW18" i="10" s="1"/>
  <c r="BV11" i="10"/>
  <c r="BV18" i="10" s="1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I18" i="10" s="1"/>
  <c r="BH11" i="10"/>
  <c r="BH18" i="10" s="1"/>
  <c r="BG11" i="10"/>
  <c r="BG18" i="10" s="1"/>
  <c r="BF11" i="10"/>
  <c r="BF18" i="10" s="1"/>
  <c r="BE11" i="10"/>
  <c r="BE18" i="10" s="1"/>
  <c r="BD11" i="10"/>
  <c r="BD18" i="10" s="1"/>
  <c r="BC11" i="10"/>
  <c r="BC18" i="10" s="1"/>
  <c r="BB11" i="10"/>
  <c r="BB18" i="10" s="1"/>
  <c r="BA11" i="10"/>
  <c r="BA18" i="10" s="1"/>
  <c r="AZ11" i="10"/>
  <c r="AZ18" i="10" s="1"/>
  <c r="AY11" i="10"/>
  <c r="AY18" i="10" s="1"/>
  <c r="AX11" i="10"/>
  <c r="AX18" i="10" s="1"/>
  <c r="AW11" i="10"/>
  <c r="AW18" i="10" s="1"/>
  <c r="AV11" i="10"/>
  <c r="AV18" i="10" s="1"/>
  <c r="AU11" i="10"/>
  <c r="AU18" i="10" s="1"/>
  <c r="AT11" i="10"/>
  <c r="AT18" i="10" s="1"/>
  <c r="AS11" i="10"/>
  <c r="AS18" i="10" s="1"/>
  <c r="AR11" i="10"/>
  <c r="AR18" i="10" s="1"/>
  <c r="AQ11" i="10"/>
  <c r="AQ18" i="10" s="1"/>
  <c r="AP11" i="10"/>
  <c r="AP18" i="10" s="1"/>
  <c r="AO11" i="10"/>
  <c r="AO18" i="10" s="1"/>
  <c r="AN11" i="10"/>
  <c r="AN18" i="10" s="1"/>
  <c r="AM11" i="10"/>
  <c r="AM18" i="10" s="1"/>
  <c r="AL11" i="10"/>
  <c r="AL18" i="10" s="1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Y18" i="10" s="1"/>
  <c r="X11" i="10"/>
  <c r="X18" i="10" s="1"/>
  <c r="W11" i="10"/>
  <c r="W18" i="10" s="1"/>
  <c r="V11" i="10"/>
  <c r="V18" i="10" s="1"/>
  <c r="U11" i="10"/>
  <c r="U18" i="10" s="1"/>
  <c r="T11" i="10"/>
  <c r="T18" i="10" s="1"/>
  <c r="S11" i="10"/>
  <c r="S18" i="10" s="1"/>
  <c r="R11" i="10"/>
  <c r="R18" i="10" s="1"/>
  <c r="Q11" i="10"/>
  <c r="Q18" i="10" s="1"/>
  <c r="P11" i="10"/>
  <c r="P18" i="10" s="1"/>
  <c r="O11" i="10"/>
  <c r="O18" i="10" s="1"/>
  <c r="N11" i="10"/>
  <c r="N18" i="10" s="1"/>
  <c r="M11" i="10"/>
  <c r="M18" i="10" s="1"/>
  <c r="L11" i="10"/>
  <c r="L18" i="10" s="1"/>
  <c r="K11" i="10"/>
  <c r="K18" i="10" s="1"/>
  <c r="J11" i="10"/>
  <c r="J18" i="10" s="1"/>
  <c r="I11" i="10"/>
  <c r="I18" i="10" s="1"/>
  <c r="H11" i="10"/>
  <c r="H18" i="10" s="1"/>
  <c r="G11" i="10"/>
  <c r="G18" i="10" s="1"/>
  <c r="F11" i="10"/>
  <c r="F18" i="10" s="1"/>
  <c r="E11" i="10"/>
  <c r="E18" i="10" s="1"/>
  <c r="D11" i="10"/>
  <c r="D18" i="10" s="1"/>
  <c r="C11" i="10"/>
  <c r="C18" i="10" s="1"/>
  <c r="B11" i="10"/>
  <c r="B18" i="10" s="1"/>
  <c r="EK6" i="10"/>
  <c r="EK18" i="10" s="1"/>
  <c r="EJ6" i="10"/>
  <c r="EE6" i="10"/>
  <c r="EE18" i="10" s="1"/>
  <c r="ED6" i="10"/>
  <c r="ED18" i="10" s="1"/>
  <c r="EA6" i="10"/>
  <c r="EA18" i="10" s="1"/>
  <c r="DZ6" i="10"/>
  <c r="DY6" i="10"/>
  <c r="DY18" i="10" s="1"/>
  <c r="DX6" i="10"/>
  <c r="DX18" i="10" s="1"/>
  <c r="DW6" i="10"/>
  <c r="DW18" i="10" s="1"/>
  <c r="DV6" i="10"/>
  <c r="DU6" i="10"/>
  <c r="DU18" i="10" s="1"/>
  <c r="DT6" i="10"/>
  <c r="DT18" i="10" s="1"/>
  <c r="DS6" i="10"/>
  <c r="DS18" i="10" s="1"/>
  <c r="DR6" i="10"/>
  <c r="DQ6" i="10"/>
  <c r="DQ18" i="10" s="1"/>
  <c r="DP6" i="10"/>
  <c r="DP18" i="10" s="1"/>
  <c r="DO6" i="10"/>
  <c r="DO18" i="10" s="1"/>
  <c r="DN6" i="10"/>
  <c r="EL6" i="10" s="1"/>
  <c r="DK6" i="10"/>
  <c r="EI6" i="10" s="1"/>
  <c r="EI18" i="10" s="1"/>
  <c r="DJ6" i="10"/>
  <c r="DJ18" i="10" s="1"/>
  <c r="DI6" i="10"/>
  <c r="EG6" i="10" s="1"/>
  <c r="EG18" i="10" s="1"/>
  <c r="DH6" i="10"/>
  <c r="EF6" i="10" s="1"/>
  <c r="EF18" i="10" s="1"/>
  <c r="DE6" i="10"/>
  <c r="DE18" i="10" s="1"/>
  <c r="DD6" i="10"/>
  <c r="DC6" i="10"/>
  <c r="DC18" i="10" s="1"/>
  <c r="DB6" i="10"/>
  <c r="DA6" i="10"/>
  <c r="DA18" i="10" s="1"/>
  <c r="CZ6" i="10"/>
  <c r="CZ18" i="10" s="1"/>
  <c r="CY6" i="10"/>
  <c r="CY18" i="10" s="1"/>
  <c r="CX6" i="10"/>
  <c r="CW6" i="10"/>
  <c r="CV6" i="10"/>
  <c r="CU6" i="10"/>
  <c r="CU18" i="10" s="1"/>
  <c r="CT6" i="10"/>
  <c r="CS6" i="10"/>
  <c r="EC6" i="10" s="1"/>
  <c r="EC18" i="10" s="1"/>
  <c r="CR6" i="10"/>
  <c r="EB6" i="10" s="1"/>
  <c r="EB18" i="10" s="1"/>
  <c r="BU6" i="10"/>
  <c r="BU18" i="10" s="1"/>
  <c r="BT6" i="10"/>
  <c r="BT18" i="10" s="1"/>
  <c r="BS6" i="10"/>
  <c r="BR6" i="10"/>
  <c r="BR18" i="10" s="1"/>
  <c r="BQ6" i="10"/>
  <c r="BQ18" i="10" s="1"/>
  <c r="BP6" i="10"/>
  <c r="BO6" i="10"/>
  <c r="BN6" i="10"/>
  <c r="BN18" i="10" s="1"/>
  <c r="BM6" i="10"/>
  <c r="BM18" i="10" s="1"/>
  <c r="BL6" i="10"/>
  <c r="BL18" i="10" s="1"/>
  <c r="BK6" i="10"/>
  <c r="BJ6" i="10"/>
  <c r="BJ18" i="10" s="1"/>
  <c r="AK6" i="10"/>
  <c r="AK18" i="10" s="1"/>
  <c r="AJ6" i="10"/>
  <c r="AI6" i="10"/>
  <c r="AH6" i="10"/>
  <c r="AH18" i="10" s="1"/>
  <c r="AG6" i="10"/>
  <c r="AG18" i="10" s="1"/>
  <c r="AF6" i="10"/>
  <c r="AF18" i="10" s="1"/>
  <c r="AE6" i="10"/>
  <c r="AD6" i="10"/>
  <c r="AD18" i="10" s="1"/>
  <c r="AC6" i="10"/>
  <c r="AC18" i="10" s="1"/>
  <c r="AB6" i="10"/>
  <c r="AA6" i="10"/>
  <c r="Z6" i="10"/>
  <c r="EK5" i="10"/>
  <c r="EJ5" i="10"/>
  <c r="ED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K5" i="10"/>
  <c r="DJ5" i="10"/>
  <c r="DI5" i="10"/>
  <c r="DH5" i="10"/>
  <c r="DE5" i="10"/>
  <c r="DD5" i="10"/>
  <c r="DC5" i="10"/>
  <c r="DB5" i="10"/>
  <c r="DA5" i="10"/>
  <c r="CZ5" i="10"/>
  <c r="CX5" i="10"/>
  <c r="CV5" i="10"/>
  <c r="CT5" i="10"/>
  <c r="CS5" i="10"/>
  <c r="CR5" i="10"/>
  <c r="BU5" i="10"/>
  <c r="BT5" i="10"/>
  <c r="BS5" i="10"/>
  <c r="BR5" i="10"/>
  <c r="BQ5" i="10"/>
  <c r="BP5" i="10"/>
  <c r="BN5" i="10"/>
  <c r="BL5" i="10"/>
  <c r="BL17" i="10" s="1"/>
  <c r="BJ5" i="10"/>
  <c r="AK5" i="10"/>
  <c r="AJ5" i="10"/>
  <c r="AI5" i="10"/>
  <c r="AH5" i="10"/>
  <c r="AG5" i="10"/>
  <c r="AF5" i="10"/>
  <c r="AD5" i="10"/>
  <c r="AB5" i="10"/>
  <c r="Z5" i="10"/>
  <c r="Z17" i="10" l="1"/>
  <c r="Z16" i="10"/>
  <c r="Z15" i="10"/>
  <c r="AB17" i="10"/>
  <c r="AB16" i="10"/>
  <c r="AB15" i="10"/>
  <c r="BJ17" i="10"/>
  <c r="BJ16" i="10"/>
  <c r="BJ15" i="10"/>
  <c r="CW18" i="10"/>
  <c r="BL16" i="10"/>
  <c r="BL15" i="10"/>
  <c r="D135" i="10"/>
  <c r="D136" i="10" s="1"/>
  <c r="CT17" i="10"/>
  <c r="CT16" i="10"/>
  <c r="CT15" i="10"/>
  <c r="AB18" i="10"/>
  <c r="AJ18" i="10"/>
  <c r="BP18" i="10"/>
  <c r="EJ18" i="10"/>
  <c r="CV17" i="10"/>
  <c r="CV16" i="10"/>
  <c r="CV15" i="10"/>
  <c r="AD17" i="10"/>
  <c r="AD19" i="10" s="1"/>
  <c r="AD16" i="10"/>
  <c r="AD15" i="10"/>
  <c r="CV18" i="10"/>
  <c r="DD18" i="10"/>
  <c r="Z18" i="10"/>
  <c r="BN17" i="10"/>
  <c r="BN16" i="10"/>
  <c r="BN15" i="10"/>
  <c r="CX17" i="10"/>
  <c r="CX16" i="10"/>
  <c r="CX15" i="10"/>
  <c r="ED17" i="10"/>
  <c r="ED48" i="10" s="1"/>
  <c r="ED16" i="10"/>
  <c r="ED15" i="10"/>
  <c r="K169" i="1"/>
  <c r="F48" i="10"/>
  <c r="D24" i="10"/>
  <c r="BB48" i="10"/>
  <c r="AL48" i="10"/>
  <c r="AT48" i="10"/>
  <c r="AX48" i="10"/>
  <c r="BZ48" i="10"/>
  <c r="CH48" i="10"/>
  <c r="D137" i="10"/>
  <c r="D138" i="10" s="1"/>
  <c r="T137" i="10"/>
  <c r="AJ137" i="10"/>
  <c r="AK17" i="10"/>
  <c r="AK19" i="10" s="1"/>
  <c r="AK20" i="10" s="1"/>
  <c r="AK16" i="10"/>
  <c r="AK15" i="10"/>
  <c r="AI17" i="10"/>
  <c r="AI19" i="10" s="1"/>
  <c r="AI20" i="10" s="1"/>
  <c r="AI16" i="10"/>
  <c r="AI15" i="10"/>
  <c r="CR17" i="10"/>
  <c r="CR19" i="10" s="1"/>
  <c r="CR16" i="10"/>
  <c r="CR15" i="10"/>
  <c r="DC17" i="10"/>
  <c r="DC19" i="10" s="1"/>
  <c r="DC20" i="10" s="1"/>
  <c r="DC16" i="10"/>
  <c r="DC15" i="10"/>
  <c r="DI17" i="10"/>
  <c r="DI19" i="10" s="1"/>
  <c r="DI20" i="10" s="1"/>
  <c r="DI16" i="10"/>
  <c r="DI15" i="10"/>
  <c r="DO17" i="10"/>
  <c r="DO19" i="10" s="1"/>
  <c r="DO20" i="10" s="1"/>
  <c r="DO16" i="10"/>
  <c r="DO15" i="10"/>
  <c r="DS17" i="10"/>
  <c r="DS19" i="10" s="1"/>
  <c r="DS20" i="10" s="1"/>
  <c r="DS16" i="10"/>
  <c r="DS15" i="10"/>
  <c r="DW17" i="10"/>
  <c r="DW19" i="10" s="1"/>
  <c r="DW20" i="10" s="1"/>
  <c r="DW16" i="10"/>
  <c r="DW15" i="10"/>
  <c r="EA17" i="10"/>
  <c r="EA19" i="10" s="1"/>
  <c r="EA20" i="10" s="1"/>
  <c r="EA16" i="10"/>
  <c r="EA15" i="10"/>
  <c r="AH17" i="10"/>
  <c r="AH16" i="10"/>
  <c r="AH15" i="10"/>
  <c r="BR17" i="10"/>
  <c r="BR19" i="10" s="1"/>
  <c r="BR16" i="10"/>
  <c r="BR15" i="10"/>
  <c r="AF17" i="10"/>
  <c r="AF19" i="10" s="1"/>
  <c r="AF16" i="10"/>
  <c r="AF15" i="10"/>
  <c r="AJ17" i="10"/>
  <c r="AJ19" i="10" s="1"/>
  <c r="AJ16" i="10"/>
  <c r="AJ15" i="10"/>
  <c r="BS17" i="10"/>
  <c r="BS19" i="10" s="1"/>
  <c r="BS20" i="10" s="1"/>
  <c r="BS16" i="10"/>
  <c r="BS15" i="10"/>
  <c r="EC5" i="10"/>
  <c r="EC17" i="10" s="1"/>
  <c r="EC19" i="10" s="1"/>
  <c r="EC20" i="10" s="1"/>
  <c r="CS16" i="10"/>
  <c r="CS15" i="10"/>
  <c r="CZ17" i="10"/>
  <c r="CZ19" i="10" s="1"/>
  <c r="CZ16" i="10"/>
  <c r="CZ15" i="10"/>
  <c r="DD17" i="10"/>
  <c r="DD19" i="10" s="1"/>
  <c r="DD16" i="10"/>
  <c r="DD15" i="10"/>
  <c r="EH5" i="10"/>
  <c r="DJ16" i="10"/>
  <c r="DJ15" i="10"/>
  <c r="EN5" i="10"/>
  <c r="DP16" i="10"/>
  <c r="DP15" i="10"/>
  <c r="DT17" i="10"/>
  <c r="DT16" i="10"/>
  <c r="DT15" i="10"/>
  <c r="DX16" i="10"/>
  <c r="DX15" i="10"/>
  <c r="BP17" i="10"/>
  <c r="BP19" i="10" s="1"/>
  <c r="BP16" i="10"/>
  <c r="BP15" i="10"/>
  <c r="BT17" i="10"/>
  <c r="BT19" i="10" s="1"/>
  <c r="BT16" i="10"/>
  <c r="BT15" i="10"/>
  <c r="DA17" i="10"/>
  <c r="DA19" i="10" s="1"/>
  <c r="DA20" i="10" s="1"/>
  <c r="DA16" i="10"/>
  <c r="DA15" i="10"/>
  <c r="DE17" i="10"/>
  <c r="DE19" i="10" s="1"/>
  <c r="DE20" i="10" s="1"/>
  <c r="DE16" i="10"/>
  <c r="DE15" i="10"/>
  <c r="DK17" i="10"/>
  <c r="DK19" i="10" s="1"/>
  <c r="DK20" i="10" s="1"/>
  <c r="DK16" i="10"/>
  <c r="DK15" i="10"/>
  <c r="DQ17" i="10"/>
  <c r="DQ19" i="10" s="1"/>
  <c r="DQ20" i="10" s="1"/>
  <c r="DQ16" i="10"/>
  <c r="DQ15" i="10"/>
  <c r="DU17" i="10"/>
  <c r="DU19" i="10" s="1"/>
  <c r="DU20" i="10" s="1"/>
  <c r="DU16" i="10"/>
  <c r="DU15" i="10"/>
  <c r="DY17" i="10"/>
  <c r="DY19" i="10" s="1"/>
  <c r="DY20" i="10" s="1"/>
  <c r="DY16" i="10"/>
  <c r="DY15" i="10"/>
  <c r="EJ17" i="10"/>
  <c r="EJ19" i="10" s="1"/>
  <c r="EJ16" i="10"/>
  <c r="EJ15" i="10"/>
  <c r="AG17" i="10"/>
  <c r="AG19" i="10" s="1"/>
  <c r="AG20" i="10" s="1"/>
  <c r="AG16" i="10"/>
  <c r="AG15" i="10"/>
  <c r="BQ17" i="10"/>
  <c r="BQ19" i="10" s="1"/>
  <c r="BQ20" i="10" s="1"/>
  <c r="BQ16" i="10"/>
  <c r="BQ15" i="10"/>
  <c r="BU17" i="10"/>
  <c r="BU19" i="10" s="1"/>
  <c r="BU20" i="10" s="1"/>
  <c r="BU16" i="10"/>
  <c r="BU15" i="10"/>
  <c r="DB17" i="10"/>
  <c r="DB19" i="10" s="1"/>
  <c r="DB16" i="10"/>
  <c r="DB15" i="10"/>
  <c r="DH17" i="10"/>
  <c r="DH19" i="10" s="1"/>
  <c r="DH16" i="10"/>
  <c r="DH15" i="10"/>
  <c r="DN17" i="10"/>
  <c r="DN19" i="10" s="1"/>
  <c r="DN16" i="10"/>
  <c r="DN15" i="10"/>
  <c r="DR17" i="10"/>
  <c r="DR19" i="10" s="1"/>
  <c r="DR16" i="10"/>
  <c r="DR15" i="10"/>
  <c r="DV17" i="10"/>
  <c r="DV19" i="10" s="1"/>
  <c r="DV16" i="10"/>
  <c r="DV15" i="10"/>
  <c r="DZ16" i="10"/>
  <c r="DZ15" i="10"/>
  <c r="EK17" i="10"/>
  <c r="EK19" i="10" s="1"/>
  <c r="EK20" i="10" s="1"/>
  <c r="EK16" i="10"/>
  <c r="EK15" i="10"/>
  <c r="CT18" i="10"/>
  <c r="CX18" i="10"/>
  <c r="CX42" i="10" s="1"/>
  <c r="DB18" i="10"/>
  <c r="EL18" i="10"/>
  <c r="DR18" i="10"/>
  <c r="DV18" i="10"/>
  <c r="DZ18" i="10"/>
  <c r="D48" i="10"/>
  <c r="AZ48" i="10"/>
  <c r="AX65" i="10" s="1"/>
  <c r="B48" i="10"/>
  <c r="BV38" i="10"/>
  <c r="DL48" i="10"/>
  <c r="DF48" i="10"/>
  <c r="CT48" i="10"/>
  <c r="CP48" i="10"/>
  <c r="CF48" i="10"/>
  <c r="CD48" i="10"/>
  <c r="V48" i="10"/>
  <c r="N48" i="10"/>
  <c r="R48" i="10"/>
  <c r="DP17" i="10"/>
  <c r="DP19" i="10" s="1"/>
  <c r="CR18" i="10"/>
  <c r="EB5" i="10"/>
  <c r="EM5" i="10"/>
  <c r="EH6" i="10"/>
  <c r="EH18" i="10" s="1"/>
  <c r="DJ17" i="10"/>
  <c r="DJ19" i="10" s="1"/>
  <c r="EO5" i="10"/>
  <c r="CS17" i="10"/>
  <c r="CS19" i="10" s="1"/>
  <c r="CS20" i="10" s="1"/>
  <c r="DH18" i="10"/>
  <c r="BN19" i="10"/>
  <c r="CX48" i="10"/>
  <c r="AN45" i="10"/>
  <c r="AN35" i="10"/>
  <c r="AN20" i="10"/>
  <c r="AN38" i="10" s="1"/>
  <c r="BH45" i="10"/>
  <c r="BH35" i="10"/>
  <c r="BH20" i="10"/>
  <c r="BH38" i="10" s="1"/>
  <c r="CX32" i="10"/>
  <c r="CX19" i="10"/>
  <c r="AB48" i="10"/>
  <c r="Z19" i="10"/>
  <c r="CT42" i="10"/>
  <c r="CT32" i="10"/>
  <c r="CT19" i="10"/>
  <c r="ED42" i="10"/>
  <c r="ED32" i="10"/>
  <c r="ED19" i="10"/>
  <c r="BX45" i="10"/>
  <c r="BX35" i="10"/>
  <c r="BX20" i="10"/>
  <c r="BX38" i="10" s="1"/>
  <c r="CJ45" i="10"/>
  <c r="CJ35" i="10"/>
  <c r="CJ20" i="10"/>
  <c r="CJ38" i="10" s="1"/>
  <c r="CN45" i="10"/>
  <c r="CN35" i="10"/>
  <c r="CN20" i="10"/>
  <c r="CN38" i="10" s="1"/>
  <c r="AB42" i="10"/>
  <c r="AB32" i="10"/>
  <c r="AB28" i="10"/>
  <c r="AB19" i="10"/>
  <c r="AH19" i="10"/>
  <c r="BJ19" i="10"/>
  <c r="CV32" i="10"/>
  <c r="CV42" i="10"/>
  <c r="CV19" i="10"/>
  <c r="CV48" i="10"/>
  <c r="H48" i="10"/>
  <c r="L48" i="10"/>
  <c r="T48" i="10"/>
  <c r="T42" i="10"/>
  <c r="X48" i="10"/>
  <c r="AN48" i="10"/>
  <c r="AR48" i="10"/>
  <c r="BD48" i="10"/>
  <c r="BH48" i="10"/>
  <c r="BX48" i="10"/>
  <c r="CJ48" i="10"/>
  <c r="CN48" i="10"/>
  <c r="B45" i="10"/>
  <c r="B20" i="10"/>
  <c r="B38" i="10" s="1"/>
  <c r="F28" i="10"/>
  <c r="N28" i="10"/>
  <c r="R45" i="10"/>
  <c r="R35" i="10"/>
  <c r="R20" i="10"/>
  <c r="R38" i="10" s="1"/>
  <c r="V45" i="10"/>
  <c r="V35" i="10"/>
  <c r="V20" i="10"/>
  <c r="V38" i="10" s="1"/>
  <c r="AL28" i="10"/>
  <c r="BB45" i="10"/>
  <c r="BB35" i="10"/>
  <c r="BB20" i="10"/>
  <c r="BB38" i="10" s="1"/>
  <c r="CR26" i="10"/>
  <c r="CT26" i="10" s="1"/>
  <c r="CV26" i="10" s="1"/>
  <c r="CX26" i="10" s="1"/>
  <c r="CZ26" i="10" s="1"/>
  <c r="DB26" i="10" s="1"/>
  <c r="DD26" i="10" s="1"/>
  <c r="DF26" i="10" s="1"/>
  <c r="DH26" i="10" s="1"/>
  <c r="DJ26" i="10" s="1"/>
  <c r="DL26" i="10" s="1"/>
  <c r="DN26" i="10" s="1"/>
  <c r="DP26" i="10" s="1"/>
  <c r="DR26" i="10" s="1"/>
  <c r="DT26" i="10" s="1"/>
  <c r="DV26" i="10" s="1"/>
  <c r="DX26" i="10" s="1"/>
  <c r="DZ26" i="10" s="1"/>
  <c r="EB26" i="10" s="1"/>
  <c r="ED26" i="10" s="1"/>
  <c r="EF26" i="10" s="1"/>
  <c r="EH26" i="10" s="1"/>
  <c r="EJ26" i="10" s="1"/>
  <c r="EL26" i="10" s="1"/>
  <c r="EN26" i="10" s="1"/>
  <c r="CP28" i="10"/>
  <c r="EM6" i="10"/>
  <c r="EM18" i="10" s="1"/>
  <c r="AR42" i="10"/>
  <c r="AR32" i="10"/>
  <c r="AR28" i="10"/>
  <c r="BD42" i="10"/>
  <c r="BD32" i="10"/>
  <c r="BD28" i="10"/>
  <c r="DF42" i="10"/>
  <c r="DF32" i="10"/>
  <c r="DZ17" i="10"/>
  <c r="J48" i="10"/>
  <c r="AV48" i="10"/>
  <c r="BL48" i="10"/>
  <c r="CL48" i="10"/>
  <c r="J45" i="10"/>
  <c r="J35" i="10"/>
  <c r="AP45" i="10"/>
  <c r="AP35" i="10"/>
  <c r="BF45" i="10"/>
  <c r="BF35" i="10"/>
  <c r="CL45" i="10"/>
  <c r="CL35" i="10"/>
  <c r="J20" i="10"/>
  <c r="J38" i="10" s="1"/>
  <c r="EF5" i="10"/>
  <c r="EL5" i="10"/>
  <c r="EN6" i="10"/>
  <c r="EN18" i="10" s="1"/>
  <c r="D42" i="10"/>
  <c r="D32" i="10"/>
  <c r="D28" i="10"/>
  <c r="H28" i="10"/>
  <c r="H42" i="10"/>
  <c r="L42" i="10"/>
  <c r="L32" i="10"/>
  <c r="L28" i="10"/>
  <c r="P42" i="10"/>
  <c r="P32" i="10"/>
  <c r="P28" i="10"/>
  <c r="T32" i="10"/>
  <c r="T28" i="10"/>
  <c r="X42" i="10"/>
  <c r="X32" i="10"/>
  <c r="X28" i="10"/>
  <c r="BV42" i="10"/>
  <c r="BV32" i="10"/>
  <c r="BV28" i="10"/>
  <c r="BZ32" i="10"/>
  <c r="BZ42" i="10"/>
  <c r="CD42" i="10"/>
  <c r="CD32" i="10"/>
  <c r="CD28" i="10"/>
  <c r="CH42" i="10"/>
  <c r="CH32" i="10"/>
  <c r="CL42" i="10"/>
  <c r="CL32" i="10"/>
  <c r="CL28" i="10"/>
  <c r="CP42" i="10"/>
  <c r="DL42" i="10"/>
  <c r="DL32" i="10"/>
  <c r="DL28" i="10"/>
  <c r="CS18" i="10"/>
  <c r="DI18" i="10"/>
  <c r="DN18" i="10"/>
  <c r="F19" i="10"/>
  <c r="L19" i="10"/>
  <c r="AL19" i="10"/>
  <c r="AR19" i="10"/>
  <c r="CH19" i="10"/>
  <c r="AV42" i="10"/>
  <c r="AV28" i="10"/>
  <c r="AV32" i="10"/>
  <c r="BL42" i="10"/>
  <c r="BL32" i="10"/>
  <c r="BL28" i="10"/>
  <c r="P48" i="10"/>
  <c r="BF48" i="10"/>
  <c r="CB48" i="10"/>
  <c r="P45" i="10"/>
  <c r="P35" i="10"/>
  <c r="AV19" i="10"/>
  <c r="BL19" i="10"/>
  <c r="CB45" i="10"/>
  <c r="CB35" i="10"/>
  <c r="AA18" i="10"/>
  <c r="Z42" i="10" s="1"/>
  <c r="AE18" i="10"/>
  <c r="AI18" i="10"/>
  <c r="BK18" i="10"/>
  <c r="BJ42" i="10" s="1"/>
  <c r="BO18" i="10"/>
  <c r="BN32" i="10" s="1"/>
  <c r="BS18" i="10"/>
  <c r="DK18" i="10"/>
  <c r="EO6" i="10"/>
  <c r="EO18" i="10" s="1"/>
  <c r="AL42" i="10"/>
  <c r="AL32" i="10"/>
  <c r="AP42" i="10"/>
  <c r="AP32" i="10"/>
  <c r="AP28" i="10"/>
  <c r="AT42" i="10"/>
  <c r="AT32" i="10"/>
  <c r="AX42" i="10"/>
  <c r="AX32" i="10"/>
  <c r="AX28" i="10"/>
  <c r="BB42" i="10"/>
  <c r="BB32" i="10"/>
  <c r="BF42" i="10"/>
  <c r="BF32" i="10"/>
  <c r="BF28" i="10"/>
  <c r="DX17" i="10"/>
  <c r="H19" i="10"/>
  <c r="X19" i="10"/>
  <c r="AX19" i="10"/>
  <c r="BD19" i="10"/>
  <c r="CD19" i="10"/>
  <c r="AT28" i="10"/>
  <c r="BZ28" i="10"/>
  <c r="H32" i="10"/>
  <c r="CP32" i="10"/>
  <c r="AN42" i="10"/>
  <c r="AN32" i="10"/>
  <c r="AN28" i="10"/>
  <c r="AZ42" i="10"/>
  <c r="AZ28" i="10"/>
  <c r="BH42" i="10"/>
  <c r="BH32" i="10"/>
  <c r="BH28" i="10"/>
  <c r="AP48" i="10"/>
  <c r="BV48" i="10"/>
  <c r="BV45" i="10"/>
  <c r="BV35" i="10"/>
  <c r="P20" i="10"/>
  <c r="P38" i="10" s="1"/>
  <c r="AP20" i="10"/>
  <c r="AP38" i="10" s="1"/>
  <c r="BF20" i="10"/>
  <c r="BF38" i="10" s="1"/>
  <c r="CB20" i="10"/>
  <c r="CB38" i="10" s="1"/>
  <c r="AZ32" i="10"/>
  <c r="B42" i="10"/>
  <c r="B32" i="10"/>
  <c r="B28" i="10"/>
  <c r="F42" i="10"/>
  <c r="F32" i="10"/>
  <c r="J42" i="10"/>
  <c r="J32" i="10"/>
  <c r="J28" i="10"/>
  <c r="N42" i="10"/>
  <c r="N32" i="10"/>
  <c r="R42" i="10"/>
  <c r="R32" i="10"/>
  <c r="R28" i="10"/>
  <c r="V42" i="10"/>
  <c r="V32" i="10"/>
  <c r="BX32" i="10"/>
  <c r="BX42" i="10"/>
  <c r="BX28" i="10"/>
  <c r="CB42" i="10"/>
  <c r="CB32" i="10"/>
  <c r="CB28" i="10"/>
  <c r="CF42" i="10"/>
  <c r="CF32" i="10"/>
  <c r="CF28" i="10"/>
  <c r="CJ42" i="10"/>
  <c r="CJ32" i="10"/>
  <c r="CJ28" i="10"/>
  <c r="CN42" i="10"/>
  <c r="CN32" i="10"/>
  <c r="CN28" i="10"/>
  <c r="D19" i="10"/>
  <c r="N19" i="10"/>
  <c r="T19" i="10"/>
  <c r="AT19" i="10"/>
  <c r="AZ19" i="10"/>
  <c r="BZ19" i="10"/>
  <c r="CF19" i="10"/>
  <c r="CP19" i="10"/>
  <c r="DF19" i="10"/>
  <c r="DL19" i="10"/>
  <c r="CL20" i="10"/>
  <c r="CL38" i="10" s="1"/>
  <c r="V28" i="10"/>
  <c r="BB28" i="10"/>
  <c r="CH28" i="10"/>
  <c r="F22" i="10"/>
  <c r="E135" i="10"/>
  <c r="P137" i="10"/>
  <c r="AM137" i="10"/>
  <c r="AI137" i="10"/>
  <c r="AE137" i="10"/>
  <c r="AA137" i="10"/>
  <c r="W137" i="10"/>
  <c r="S137" i="10"/>
  <c r="O137" i="10"/>
  <c r="K137" i="10"/>
  <c r="G137" i="10"/>
  <c r="C137" i="10"/>
  <c r="C138" i="10" s="1"/>
  <c r="AP137" i="10"/>
  <c r="AL137" i="10"/>
  <c r="AH137" i="10"/>
  <c r="AD137" i="10"/>
  <c r="Z137" i="10"/>
  <c r="V137" i="10"/>
  <c r="R137" i="10"/>
  <c r="N137" i="10"/>
  <c r="J137" i="10"/>
  <c r="F137" i="10"/>
  <c r="B137" i="10"/>
  <c r="B138" i="10" s="1"/>
  <c r="AO137" i="10"/>
  <c r="AK137" i="10"/>
  <c r="AG137" i="10"/>
  <c r="AC137" i="10"/>
  <c r="Y137" i="10"/>
  <c r="U137" i="10"/>
  <c r="Q137" i="10"/>
  <c r="M137" i="10"/>
  <c r="I137" i="10"/>
  <c r="E137" i="10"/>
  <c r="H137" i="10"/>
  <c r="X137" i="10"/>
  <c r="AN137" i="10"/>
  <c r="D157" i="10"/>
  <c r="L137" i="10"/>
  <c r="AB137" i="10"/>
  <c r="AD32" i="10" l="1"/>
  <c r="L169" i="1"/>
  <c r="CB65" i="10"/>
  <c r="DF28" i="10"/>
  <c r="CH65" i="10"/>
  <c r="AH28" i="10"/>
  <c r="BR42" i="10"/>
  <c r="AJ28" i="10"/>
  <c r="AF48" i="10"/>
  <c r="B65" i="10"/>
  <c r="ED28" i="10"/>
  <c r="CT28" i="10"/>
  <c r="CZ48" i="10"/>
  <c r="DN48" i="10"/>
  <c r="BP32" i="10"/>
  <c r="DP35" i="10"/>
  <c r="EJ42" i="10"/>
  <c r="EJ48" i="10"/>
  <c r="DD42" i="10"/>
  <c r="AJ32" i="10"/>
  <c r="BP42" i="10"/>
  <c r="AJ42" i="10"/>
  <c r="AJ48" i="10"/>
  <c r="BP48" i="10"/>
  <c r="BP28" i="10"/>
  <c r="DT48" i="10"/>
  <c r="DT42" i="10"/>
  <c r="CZ42" i="10"/>
  <c r="DD48" i="10"/>
  <c r="DD32" i="10"/>
  <c r="DR32" i="10"/>
  <c r="BT48" i="10"/>
  <c r="DT32" i="10"/>
  <c r="BT42" i="10"/>
  <c r="DT19" i="10"/>
  <c r="DT20" i="10" s="1"/>
  <c r="DT38" i="10" s="1"/>
  <c r="BT28" i="10"/>
  <c r="EJ32" i="10"/>
  <c r="DB42" i="10"/>
  <c r="BT32" i="10"/>
  <c r="AF32" i="10"/>
  <c r="AF42" i="10"/>
  <c r="DB32" i="10"/>
  <c r="CZ32" i="10"/>
  <c r="DR42" i="10"/>
  <c r="AF28" i="10"/>
  <c r="DV48" i="10"/>
  <c r="EL17" i="10"/>
  <c r="EL19" i="10" s="1"/>
  <c r="EL16" i="10"/>
  <c r="EL15" i="10"/>
  <c r="EH17" i="10"/>
  <c r="EH19" i="10" s="1"/>
  <c r="EH35" i="10" s="1"/>
  <c r="EH16" i="10"/>
  <c r="EH15" i="10"/>
  <c r="EF17" i="10"/>
  <c r="EF48" i="10" s="1"/>
  <c r="EF16" i="10"/>
  <c r="EF15" i="10"/>
  <c r="EN17" i="10"/>
  <c r="EN19" i="10" s="1"/>
  <c r="EN20" i="10" s="1"/>
  <c r="EN16" i="10"/>
  <c r="EN15" i="10"/>
  <c r="EC16" i="10"/>
  <c r="EC15" i="10"/>
  <c r="EO17" i="10"/>
  <c r="EO19" i="10" s="1"/>
  <c r="EO20" i="10" s="1"/>
  <c r="EO16" i="10"/>
  <c r="EO15" i="10"/>
  <c r="EM17" i="10"/>
  <c r="EM19" i="10" s="1"/>
  <c r="EM20" i="10" s="1"/>
  <c r="EM16" i="10"/>
  <c r="EM15" i="10"/>
  <c r="EB16" i="10"/>
  <c r="EB15" i="10"/>
  <c r="DR48" i="10"/>
  <c r="DV42" i="10"/>
  <c r="DZ48" i="10"/>
  <c r="DB48" i="10"/>
  <c r="DV32" i="10"/>
  <c r="Z28" i="10"/>
  <c r="N65" i="10"/>
  <c r="CT65" i="10"/>
  <c r="AL65" i="10"/>
  <c r="CH55" i="10"/>
  <c r="CB55" i="10"/>
  <c r="BV65" i="10"/>
  <c r="BN42" i="10"/>
  <c r="BJ61" i="10" s="1"/>
  <c r="BD65" i="10"/>
  <c r="DP32" i="10"/>
  <c r="AD42" i="10"/>
  <c r="Z61" i="10" s="1"/>
  <c r="DP42" i="10"/>
  <c r="T65" i="10"/>
  <c r="DP48" i="10"/>
  <c r="DP28" i="10"/>
  <c r="B53" i="10"/>
  <c r="DP45" i="10"/>
  <c r="DH48" i="10"/>
  <c r="DH42" i="10"/>
  <c r="DJ42" i="10"/>
  <c r="EB17" i="10"/>
  <c r="EB42" i="10" s="1"/>
  <c r="CR48" i="10"/>
  <c r="CN65" i="10" s="1"/>
  <c r="CR32" i="10"/>
  <c r="CN55" i="10" s="1"/>
  <c r="CR42" i="10"/>
  <c r="CN61" i="10" s="1"/>
  <c r="DP20" i="10"/>
  <c r="DP38" i="10" s="1"/>
  <c r="DN32" i="10"/>
  <c r="DH32" i="10"/>
  <c r="AZ45" i="10"/>
  <c r="AZ35" i="10"/>
  <c r="AZ20" i="10"/>
  <c r="AZ38" i="10" s="1"/>
  <c r="CD45" i="10"/>
  <c r="CD35" i="10"/>
  <c r="CD20" i="10"/>
  <c r="CD38" i="10" s="1"/>
  <c r="H45" i="10"/>
  <c r="H35" i="10"/>
  <c r="H20" i="10"/>
  <c r="H38" i="10" s="1"/>
  <c r="DJ28" i="10"/>
  <c r="CH45" i="10"/>
  <c r="CH63" i="10" s="1"/>
  <c r="CH35" i="10"/>
  <c r="CH57" i="10" s="1"/>
  <c r="CH20" i="10"/>
  <c r="CH38" i="10" s="1"/>
  <c r="CH59" i="10" s="1"/>
  <c r="T61" i="10"/>
  <c r="DJ48" i="10"/>
  <c r="BJ20" i="10"/>
  <c r="BJ38" i="10" s="1"/>
  <c r="BJ45" i="10"/>
  <c r="BJ35" i="10"/>
  <c r="AH32" i="10"/>
  <c r="E136" i="10"/>
  <c r="F135" i="10"/>
  <c r="F24" i="10"/>
  <c r="B51" i="10" s="1"/>
  <c r="H22" i="10"/>
  <c r="CF45" i="10"/>
  <c r="CF35" i="10"/>
  <c r="CF20" i="10"/>
  <c r="CF38" i="10" s="1"/>
  <c r="CB59" i="10" s="1"/>
  <c r="AT45" i="10"/>
  <c r="AT35" i="10"/>
  <c r="AT20" i="10"/>
  <c r="AT38" i="10" s="1"/>
  <c r="D45" i="10"/>
  <c r="D35" i="10"/>
  <c r="D20" i="10"/>
  <c r="D38" i="10" s="1"/>
  <c r="CB61" i="10"/>
  <c r="BD45" i="10"/>
  <c r="BD63" i="10" s="1"/>
  <c r="BD35" i="10"/>
  <c r="BD57" i="10" s="1"/>
  <c r="BD20" i="10"/>
  <c r="BD38" i="10" s="1"/>
  <c r="BD59" i="10" s="1"/>
  <c r="DX42" i="10"/>
  <c r="DX32" i="10"/>
  <c r="DX28" i="10"/>
  <c r="DX19" i="10"/>
  <c r="AX61" i="10"/>
  <c r="BL45" i="10"/>
  <c r="BL35" i="10"/>
  <c r="BL20" i="10"/>
  <c r="BL38" i="10" s="1"/>
  <c r="DJ32" i="10"/>
  <c r="AR45" i="10"/>
  <c r="AR35" i="10"/>
  <c r="AR20" i="10"/>
  <c r="AR38" i="10" s="1"/>
  <c r="CH61" i="10"/>
  <c r="BV61" i="10"/>
  <c r="T53" i="10"/>
  <c r="H61" i="10"/>
  <c r="DX48" i="10"/>
  <c r="AR53" i="10"/>
  <c r="AR65" i="10"/>
  <c r="BR48" i="10"/>
  <c r="AD48" i="10"/>
  <c r="DN42" i="10"/>
  <c r="BJ32" i="10"/>
  <c r="BJ55" i="10" s="1"/>
  <c r="AH42" i="10"/>
  <c r="CT55" i="10"/>
  <c r="Z32" i="10"/>
  <c r="Z55" i="10" s="1"/>
  <c r="AF45" i="10"/>
  <c r="AF35" i="10"/>
  <c r="AF20" i="10"/>
  <c r="AF38" i="10" s="1"/>
  <c r="CX35" i="10"/>
  <c r="CX45" i="10"/>
  <c r="CX20" i="10"/>
  <c r="CX38" i="10" s="1"/>
  <c r="AD28" i="10"/>
  <c r="CZ45" i="10"/>
  <c r="CZ35" i="10"/>
  <c r="CZ20" i="10"/>
  <c r="CZ38" i="10" s="1"/>
  <c r="BN45" i="10"/>
  <c r="BN35" i="10"/>
  <c r="BN20" i="10"/>
  <c r="BN38" i="10" s="1"/>
  <c r="BR28" i="10"/>
  <c r="AL61" i="10"/>
  <c r="F35" i="10"/>
  <c r="F45" i="10"/>
  <c r="F20" i="10"/>
  <c r="F38" i="10" s="1"/>
  <c r="DZ42" i="10"/>
  <c r="DZ32" i="10"/>
  <c r="DZ28" i="10"/>
  <c r="DZ19" i="10"/>
  <c r="BT45" i="10"/>
  <c r="BT35" i="10"/>
  <c r="BT20" i="10"/>
  <c r="BT38" i="10" s="1"/>
  <c r="CH53" i="10"/>
  <c r="DL45" i="10"/>
  <c r="DL35" i="10"/>
  <c r="DL20" i="10"/>
  <c r="DL38" i="10" s="1"/>
  <c r="BZ45" i="10"/>
  <c r="BV63" i="10" s="1"/>
  <c r="BZ35" i="10"/>
  <c r="BV57" i="10" s="1"/>
  <c r="BZ20" i="10"/>
  <c r="BZ38" i="10" s="1"/>
  <c r="BV59" i="10" s="1"/>
  <c r="AJ45" i="10"/>
  <c r="AJ35" i="10"/>
  <c r="AJ20" i="10"/>
  <c r="AJ38" i="10" s="1"/>
  <c r="N55" i="10"/>
  <c r="B55" i="10"/>
  <c r="H55" i="10"/>
  <c r="AX45" i="10"/>
  <c r="AX63" i="10" s="1"/>
  <c r="AX35" i="10"/>
  <c r="AX20" i="10"/>
  <c r="AX38" i="10" s="1"/>
  <c r="AV45" i="10"/>
  <c r="AV35" i="10"/>
  <c r="AV20" i="10"/>
  <c r="AV38" i="10" s="1"/>
  <c r="AL35" i="10"/>
  <c r="AL57" i="10" s="1"/>
  <c r="AL45" i="10"/>
  <c r="AL63" i="10" s="1"/>
  <c r="AL20" i="10"/>
  <c r="AL38" i="10" s="1"/>
  <c r="AL59" i="10" s="1"/>
  <c r="T55" i="10"/>
  <c r="H53" i="10"/>
  <c r="Z48" i="10"/>
  <c r="BD53" i="10"/>
  <c r="AR55" i="10"/>
  <c r="N53" i="10"/>
  <c r="BN48" i="10"/>
  <c r="EJ45" i="10"/>
  <c r="EJ35" i="10"/>
  <c r="EJ20" i="10"/>
  <c r="EJ38" i="10" s="1"/>
  <c r="DV28" i="10"/>
  <c r="DR45" i="10"/>
  <c r="DR35" i="10"/>
  <c r="DR20" i="10"/>
  <c r="DR38" i="10" s="1"/>
  <c r="DN45" i="10"/>
  <c r="DN35" i="10"/>
  <c r="DN20" i="10"/>
  <c r="DN38" i="10" s="1"/>
  <c r="DH45" i="10"/>
  <c r="DH35" i="10"/>
  <c r="DH20" i="10"/>
  <c r="DH38" i="10" s="1"/>
  <c r="DB45" i="10"/>
  <c r="DB35" i="10"/>
  <c r="DB20" i="10"/>
  <c r="DB38" i="10" s="1"/>
  <c r="CV45" i="10"/>
  <c r="CV35" i="10"/>
  <c r="CV20" i="10"/>
  <c r="CV38" i="10" s="1"/>
  <c r="BJ28" i="10"/>
  <c r="AH45" i="10"/>
  <c r="AH35" i="10"/>
  <c r="AH20" i="10"/>
  <c r="AH38" i="10" s="1"/>
  <c r="AB45" i="10"/>
  <c r="AB35" i="10"/>
  <c r="AB20" i="10"/>
  <c r="AB38" i="10" s="1"/>
  <c r="CR45" i="10"/>
  <c r="CR35" i="10"/>
  <c r="CR20" i="10"/>
  <c r="CR38" i="10" s="1"/>
  <c r="CT61" i="10"/>
  <c r="DD45" i="10"/>
  <c r="DD35" i="10"/>
  <c r="DD20" i="10"/>
  <c r="DD38" i="10" s="1"/>
  <c r="CX28" i="10"/>
  <c r="AD35" i="10"/>
  <c r="AD45" i="10"/>
  <c r="AD20" i="10"/>
  <c r="AD38" i="10" s="1"/>
  <c r="CZ28" i="10"/>
  <c r="BN28" i="10"/>
  <c r="BR32" i="10"/>
  <c r="CP45" i="10"/>
  <c r="CP35" i="10"/>
  <c r="CP20" i="10"/>
  <c r="CP38" i="10" s="1"/>
  <c r="N45" i="10"/>
  <c r="N63" i="10" s="1"/>
  <c r="N35" i="10"/>
  <c r="N57" i="10" s="1"/>
  <c r="N20" i="10"/>
  <c r="N38" i="10" s="1"/>
  <c r="N59" i="10" s="1"/>
  <c r="AX55" i="10"/>
  <c r="BV55" i="10"/>
  <c r="BD61" i="10"/>
  <c r="AH48" i="10"/>
  <c r="BR35" i="10"/>
  <c r="BR45" i="10"/>
  <c r="BR20" i="10"/>
  <c r="BR38" i="10" s="1"/>
  <c r="DF45" i="10"/>
  <c r="DF35" i="10"/>
  <c r="DF20" i="10"/>
  <c r="DF38" i="10" s="1"/>
  <c r="BP45" i="10"/>
  <c r="BP35" i="10"/>
  <c r="BP20" i="10"/>
  <c r="BP38" i="10" s="1"/>
  <c r="T45" i="10"/>
  <c r="T35" i="10"/>
  <c r="T20" i="10"/>
  <c r="T38" i="10" s="1"/>
  <c r="CB53" i="10"/>
  <c r="N61" i="10"/>
  <c r="B61" i="10"/>
  <c r="DJ45" i="10"/>
  <c r="DJ20" i="10"/>
  <c r="DJ38" i="10" s="1"/>
  <c r="DJ35" i="10"/>
  <c r="X45" i="10"/>
  <c r="X35" i="10"/>
  <c r="X20" i="10"/>
  <c r="X38" i="10" s="1"/>
  <c r="AX53" i="10"/>
  <c r="AL55" i="10"/>
  <c r="L45" i="10"/>
  <c r="L35" i="10"/>
  <c r="L20" i="10"/>
  <c r="L38" i="10" s="1"/>
  <c r="BV53" i="10"/>
  <c r="BD55" i="10"/>
  <c r="AR61" i="10"/>
  <c r="AL53" i="10"/>
  <c r="H65" i="10"/>
  <c r="BJ48" i="10"/>
  <c r="EJ28" i="10"/>
  <c r="DV45" i="10"/>
  <c r="DV35" i="10"/>
  <c r="DV20" i="10"/>
  <c r="DV38" i="10" s="1"/>
  <c r="DR28" i="10"/>
  <c r="DN28" i="10"/>
  <c r="DH28" i="10"/>
  <c r="DB28" i="10"/>
  <c r="CV28" i="10"/>
  <c r="CR28" i="10"/>
  <c r="CN53" i="10" s="1"/>
  <c r="ED35" i="10"/>
  <c r="ED45" i="10"/>
  <c r="ED20" i="10"/>
  <c r="ED38" i="10" s="1"/>
  <c r="CT45" i="10"/>
  <c r="CT35" i="10"/>
  <c r="CT20" i="10"/>
  <c r="CT38" i="10" s="1"/>
  <c r="Z45" i="10"/>
  <c r="Z35" i="10"/>
  <c r="Z20" i="10"/>
  <c r="Z38" i="10" s="1"/>
  <c r="DT28" i="10"/>
  <c r="DD28" i="10"/>
  <c r="Z53" i="10" l="1"/>
  <c r="M169" i="1"/>
  <c r="CB57" i="10"/>
  <c r="EH48" i="10"/>
  <c r="ED65" i="10" s="1"/>
  <c r="DT35" i="10"/>
  <c r="DR57" i="10" s="1"/>
  <c r="EF32" i="10"/>
  <c r="BP55" i="10"/>
  <c r="DT45" i="10"/>
  <c r="DR63" i="10" s="1"/>
  <c r="N80" i="10" s="1"/>
  <c r="CZ55" i="10"/>
  <c r="EH45" i="10"/>
  <c r="AF53" i="10"/>
  <c r="EF19" i="10"/>
  <c r="EF35" i="10" s="1"/>
  <c r="ED57" i="10" s="1"/>
  <c r="AF65" i="10"/>
  <c r="EF28" i="10"/>
  <c r="EF42" i="10"/>
  <c r="EN45" i="10"/>
  <c r="EN32" i="10"/>
  <c r="EL42" i="10"/>
  <c r="BP53" i="10"/>
  <c r="EL28" i="10"/>
  <c r="AF55" i="10"/>
  <c r="BP61" i="10"/>
  <c r="EL48" i="10"/>
  <c r="BP65" i="10"/>
  <c r="EH20" i="10"/>
  <c r="EH38" i="10" s="1"/>
  <c r="AF61" i="10"/>
  <c r="DL65" i="10"/>
  <c r="H82" i="10" s="1"/>
  <c r="EH28" i="10"/>
  <c r="EL32" i="10"/>
  <c r="DR61" i="10"/>
  <c r="N78" i="10" s="1"/>
  <c r="CZ61" i="10"/>
  <c r="DR55" i="10"/>
  <c r="N72" i="10" s="1"/>
  <c r="EN38" i="10"/>
  <c r="CZ65" i="10"/>
  <c r="EN42" i="10"/>
  <c r="EH32" i="10"/>
  <c r="EN35" i="10"/>
  <c r="EN48" i="10"/>
  <c r="EN28" i="10"/>
  <c r="DR65" i="10"/>
  <c r="N82" i="10" s="1"/>
  <c r="EH42" i="10"/>
  <c r="CN63" i="10"/>
  <c r="BJ65" i="10"/>
  <c r="AX59" i="10"/>
  <c r="CT57" i="10"/>
  <c r="CB63" i="10"/>
  <c r="CN57" i="10"/>
  <c r="CT53" i="10"/>
  <c r="BJ57" i="10"/>
  <c r="AX57" i="10"/>
  <c r="DL61" i="10"/>
  <c r="H78" i="10" s="1"/>
  <c r="DL55" i="10"/>
  <c r="H72" i="10" s="1"/>
  <c r="Z65" i="10"/>
  <c r="Z59" i="10"/>
  <c r="DL53" i="10"/>
  <c r="H70" i="10" s="1"/>
  <c r="T57" i="10"/>
  <c r="H57" i="10"/>
  <c r="B63" i="10"/>
  <c r="B59" i="10"/>
  <c r="EB32" i="10"/>
  <c r="DX55" i="10" s="1"/>
  <c r="T72" i="10" s="1"/>
  <c r="DF61" i="10"/>
  <c r="B78" i="10" s="1"/>
  <c r="BP59" i="10"/>
  <c r="DF53" i="10"/>
  <c r="B70" i="10" s="1"/>
  <c r="EB48" i="10"/>
  <c r="DX65" i="10" s="1"/>
  <c r="T82" i="10" s="1"/>
  <c r="EB19" i="10"/>
  <c r="EB20" i="10" s="1"/>
  <c r="EB38" i="10" s="1"/>
  <c r="DF65" i="10"/>
  <c r="B82" i="10" s="1"/>
  <c r="EB28" i="10"/>
  <c r="DX53" i="10" s="1"/>
  <c r="T70" i="10" s="1"/>
  <c r="DF55" i="10"/>
  <c r="B72" i="10" s="1"/>
  <c r="DX61" i="10"/>
  <c r="T78" i="10" s="1"/>
  <c r="DF57" i="10"/>
  <c r="CN59" i="10"/>
  <c r="Z57" i="10"/>
  <c r="CT63" i="10"/>
  <c r="T59" i="10"/>
  <c r="BP57" i="10"/>
  <c r="DF63" i="10"/>
  <c r="BJ53" i="10"/>
  <c r="DL59" i="10"/>
  <c r="CZ59" i="10"/>
  <c r="AF63" i="10"/>
  <c r="AR59" i="10"/>
  <c r="DX45" i="10"/>
  <c r="DX35" i="10"/>
  <c r="DX20" i="10"/>
  <c r="DX38" i="10" s="1"/>
  <c r="J22" i="10"/>
  <c r="H24" i="10"/>
  <c r="BJ63" i="10"/>
  <c r="H63" i="10"/>
  <c r="AF57" i="10"/>
  <c r="BP63" i="10"/>
  <c r="CZ53" i="10"/>
  <c r="DR59" i="10"/>
  <c r="N76" i="10" s="1"/>
  <c r="EL45" i="10"/>
  <c r="EL35" i="10"/>
  <c r="EL20" i="10"/>
  <c r="EL38" i="10" s="1"/>
  <c r="DL57" i="10"/>
  <c r="CZ57" i="10"/>
  <c r="AR57" i="10"/>
  <c r="BJ59" i="10"/>
  <c r="E157" i="10"/>
  <c r="E138" i="10"/>
  <c r="Z63" i="10"/>
  <c r="CT59" i="10"/>
  <c r="DR53" i="10"/>
  <c r="N70" i="10" s="1"/>
  <c r="T63" i="10"/>
  <c r="DF59" i="10"/>
  <c r="DL63" i="10"/>
  <c r="DZ45" i="10"/>
  <c r="DZ35" i="10"/>
  <c r="DZ20" i="10"/>
  <c r="DZ38" i="10" s="1"/>
  <c r="CZ63" i="10"/>
  <c r="AF59" i="10"/>
  <c r="AR63" i="10"/>
  <c r="F136" i="10"/>
  <c r="G135" i="10"/>
  <c r="H59" i="10"/>
  <c r="N169" i="1" l="1"/>
  <c r="EJ53" i="10"/>
  <c r="AF70" i="10" s="1"/>
  <c r="N74" i="10"/>
  <c r="EF45" i="10"/>
  <c r="ED63" i="10" s="1"/>
  <c r="Z80" i="10" s="1"/>
  <c r="EJ65" i="10"/>
  <c r="AF82" i="10" s="1"/>
  <c r="EJ55" i="10"/>
  <c r="AF72" i="10" s="1"/>
  <c r="Z82" i="10"/>
  <c r="EJ63" i="10"/>
  <c r="AF80" i="10" s="1"/>
  <c r="EF20" i="10"/>
  <c r="EF38" i="10" s="1"/>
  <c r="ED59" i="10" s="1"/>
  <c r="Z76" i="10" s="1"/>
  <c r="ED55" i="10"/>
  <c r="Z72" i="10" s="1"/>
  <c r="ED53" i="10"/>
  <c r="Z70" i="10" s="1"/>
  <c r="EJ61" i="10"/>
  <c r="AF78" i="10" s="1"/>
  <c r="EJ57" i="10"/>
  <c r="AF74" i="10" s="1"/>
  <c r="ED61" i="10"/>
  <c r="Z78" i="10" s="1"/>
  <c r="EJ59" i="10"/>
  <c r="AF76" i="10" s="1"/>
  <c r="B80" i="10"/>
  <c r="B76" i="10"/>
  <c r="EB35" i="10"/>
  <c r="DX57" i="10" s="1"/>
  <c r="T74" i="10" s="1"/>
  <c r="H74" i="10"/>
  <c r="EB45" i="10"/>
  <c r="DX63" i="10" s="1"/>
  <c r="T80" i="10" s="1"/>
  <c r="H80" i="10"/>
  <c r="DX59" i="10"/>
  <c r="T76" i="10" s="1"/>
  <c r="G136" i="10"/>
  <c r="H135" i="10"/>
  <c r="F157" i="10"/>
  <c r="F138" i="10"/>
  <c r="L22" i="10"/>
  <c r="J24" i="10"/>
  <c r="H76" i="10"/>
  <c r="Z74" i="10"/>
  <c r="O169" i="1" l="1"/>
  <c r="B99" i="10"/>
  <c r="B132" i="10" s="1"/>
  <c r="B149" i="10" s="1"/>
  <c r="B89" i="10"/>
  <c r="B122" i="10" s="1"/>
  <c r="B141" i="10" s="1"/>
  <c r="B95" i="10"/>
  <c r="B126" i="10" s="1"/>
  <c r="B143" i="10" s="1"/>
  <c r="B87" i="10"/>
  <c r="B121" i="10" s="1"/>
  <c r="B140" i="10" s="1"/>
  <c r="B97" i="10"/>
  <c r="B130" i="10" s="1"/>
  <c r="B93" i="10"/>
  <c r="B124" i="10" s="1"/>
  <c r="E151" i="10" s="1"/>
  <c r="G157" i="10"/>
  <c r="G138" i="10"/>
  <c r="L24" i="10"/>
  <c r="H51" i="10" s="1"/>
  <c r="N22" i="10"/>
  <c r="H136" i="10"/>
  <c r="I135" i="10"/>
  <c r="P169" i="1" l="1"/>
  <c r="B133" i="10"/>
  <c r="B150" i="10" s="1"/>
  <c r="B131" i="10"/>
  <c r="B148" i="10" s="1"/>
  <c r="B163" i="10"/>
  <c r="B125" i="10"/>
  <c r="B142" i="10" s="1"/>
  <c r="B127" i="10"/>
  <c r="B144" i="10" s="1"/>
  <c r="B128" i="10"/>
  <c r="B145" i="10" s="1"/>
  <c r="B129" i="10"/>
  <c r="B146" i="10" s="1"/>
  <c r="D151" i="10"/>
  <c r="B151" i="10"/>
  <c r="C151" i="10"/>
  <c r="F151" i="10"/>
  <c r="H157" i="10"/>
  <c r="H138" i="10"/>
  <c r="N24" i="10"/>
  <c r="P22" i="10"/>
  <c r="J135" i="10"/>
  <c r="I136" i="10"/>
  <c r="G151" i="10"/>
  <c r="B147" i="10"/>
  <c r="Q169" i="1" l="1"/>
  <c r="B160" i="10"/>
  <c r="J136" i="10"/>
  <c r="K135" i="10"/>
  <c r="H151" i="10"/>
  <c r="I157" i="10"/>
  <c r="I138" i="10"/>
  <c r="R22" i="10"/>
  <c r="P24" i="10"/>
  <c r="R169" i="1" l="1"/>
  <c r="T22" i="10"/>
  <c r="R24" i="10"/>
  <c r="N51" i="10" s="1"/>
  <c r="J157" i="10"/>
  <c r="J138" i="10"/>
  <c r="I151" i="10"/>
  <c r="K136" i="10"/>
  <c r="L135" i="10"/>
  <c r="S169" i="1" l="1"/>
  <c r="K157" i="10"/>
  <c r="K138" i="10"/>
  <c r="J151" i="10"/>
  <c r="L136" i="10"/>
  <c r="M135" i="10"/>
  <c r="T24" i="10"/>
  <c r="V22" i="10"/>
  <c r="T169" i="1" l="1"/>
  <c r="V24" i="10"/>
  <c r="X22" i="10"/>
  <c r="L157" i="10"/>
  <c r="L138" i="10"/>
  <c r="K151" i="10"/>
  <c r="M136" i="10"/>
  <c r="N135" i="10"/>
  <c r="U169" i="1" l="1"/>
  <c r="Z22" i="10"/>
  <c r="X24" i="10"/>
  <c r="T51" i="10" s="1"/>
  <c r="N136" i="10"/>
  <c r="O135" i="10"/>
  <c r="M157" i="10"/>
  <c r="M138" i="10"/>
  <c r="L151" i="10"/>
  <c r="V169" i="1" l="1"/>
  <c r="N157" i="10"/>
  <c r="N138" i="10"/>
  <c r="M151" i="10"/>
  <c r="AB22" i="10"/>
  <c r="Z24" i="10"/>
  <c r="O136" i="10"/>
  <c r="P135" i="10"/>
  <c r="W169" i="1" l="1"/>
  <c r="N151" i="10"/>
  <c r="P136" i="10"/>
  <c r="Q135" i="10"/>
  <c r="O157" i="10"/>
  <c r="O138" i="10"/>
  <c r="AB24" i="10"/>
  <c r="AD22" i="10"/>
  <c r="X169" i="1" l="1"/>
  <c r="P157" i="10"/>
  <c r="P138" i="10"/>
  <c r="AD24" i="10"/>
  <c r="Z51" i="10" s="1"/>
  <c r="AF22" i="10"/>
  <c r="O151" i="10"/>
  <c r="R135" i="10"/>
  <c r="Q136" i="10"/>
  <c r="Y169" i="1" l="1"/>
  <c r="R136" i="10"/>
  <c r="S135" i="10"/>
  <c r="P151" i="10"/>
  <c r="Q157" i="10"/>
  <c r="Q138" i="10"/>
  <c r="AH22" i="10"/>
  <c r="AF24" i="10"/>
  <c r="Z169" i="1" l="1"/>
  <c r="AJ22" i="10"/>
  <c r="AH24" i="10"/>
  <c r="S136" i="10"/>
  <c r="T135" i="10"/>
  <c r="Q151" i="10"/>
  <c r="R157" i="10"/>
  <c r="R138" i="10"/>
  <c r="AA169" i="1" l="1"/>
  <c r="R151" i="10"/>
  <c r="S157" i="10"/>
  <c r="S138" i="10"/>
  <c r="AJ24" i="10"/>
  <c r="AF51" i="10" s="1"/>
  <c r="AL22" i="10"/>
  <c r="T136" i="10"/>
  <c r="U135" i="10"/>
  <c r="AB169" i="1" l="1"/>
  <c r="T157" i="10"/>
  <c r="T138" i="10"/>
  <c r="U136" i="10"/>
  <c r="V135" i="10"/>
  <c r="S151" i="10"/>
  <c r="AL24" i="10"/>
  <c r="AN22" i="10"/>
  <c r="AC169" i="1" l="1"/>
  <c r="T151" i="10"/>
  <c r="AP22" i="10"/>
  <c r="AN24" i="10"/>
  <c r="U157" i="10"/>
  <c r="U138" i="10"/>
  <c r="V136" i="10"/>
  <c r="W135" i="10"/>
  <c r="AD169" i="1" l="1"/>
  <c r="W136" i="10"/>
  <c r="X135" i="10"/>
  <c r="V157" i="10"/>
  <c r="V138" i="10"/>
  <c r="AR22" i="10"/>
  <c r="AP24" i="10"/>
  <c r="AL51" i="10" s="1"/>
  <c r="U151" i="10"/>
  <c r="AE169" i="1" l="1"/>
  <c r="X136" i="10"/>
  <c r="Y135" i="10"/>
  <c r="AR24" i="10"/>
  <c r="AT22" i="10"/>
  <c r="W157" i="10"/>
  <c r="W138" i="10"/>
  <c r="V151" i="10"/>
  <c r="AF169" i="1" l="1"/>
  <c r="W151" i="10"/>
  <c r="Z135" i="10"/>
  <c r="Y136" i="10"/>
  <c r="X157" i="10"/>
  <c r="X138" i="10"/>
  <c r="AT24" i="10"/>
  <c r="AV22" i="10"/>
  <c r="AG169" i="1" l="1"/>
  <c r="AX22" i="10"/>
  <c r="AV24" i="10"/>
  <c r="AR51" i="10" s="1"/>
  <c r="Y157" i="10"/>
  <c r="Y138" i="10"/>
  <c r="Z136" i="10"/>
  <c r="AA135" i="10"/>
  <c r="X151" i="10"/>
  <c r="AH169" i="1" l="1"/>
  <c r="AA136" i="10"/>
  <c r="AB135" i="10"/>
  <c r="Z157" i="10"/>
  <c r="Z138" i="10"/>
  <c r="AZ22" i="10"/>
  <c r="AX24" i="10"/>
  <c r="Y151" i="10"/>
  <c r="AI169" i="1" l="1"/>
  <c r="AB136" i="10"/>
  <c r="AC135" i="10"/>
  <c r="AZ24" i="10"/>
  <c r="BB22" i="10"/>
  <c r="AA157" i="10"/>
  <c r="AA138" i="10"/>
  <c r="Z151" i="10"/>
  <c r="AJ169" i="1" l="1"/>
  <c r="AC136" i="10"/>
  <c r="AD135" i="10"/>
  <c r="AA151" i="10"/>
  <c r="AB157" i="10"/>
  <c r="AB138" i="10"/>
  <c r="BB24" i="10"/>
  <c r="AX51" i="10" s="1"/>
  <c r="BD22" i="10"/>
  <c r="AK169" i="1" l="1"/>
  <c r="AD136" i="10"/>
  <c r="AE135" i="10"/>
  <c r="AC157" i="10"/>
  <c r="AC138" i="10"/>
  <c r="BF22" i="10"/>
  <c r="BD24" i="10"/>
  <c r="AB151" i="10"/>
  <c r="AL169" i="1" l="1"/>
  <c r="AE136" i="10"/>
  <c r="AF135" i="10"/>
  <c r="BH22" i="10"/>
  <c r="BF24" i="10"/>
  <c r="AD157" i="10"/>
  <c r="AD138" i="10"/>
  <c r="AC151" i="10"/>
  <c r="AM169" i="1" l="1"/>
  <c r="AD151" i="10"/>
  <c r="AF136" i="10"/>
  <c r="AG135" i="10"/>
  <c r="BH24" i="10"/>
  <c r="BD51" i="10" s="1"/>
  <c r="BJ22" i="10"/>
  <c r="AE157" i="10"/>
  <c r="AE138" i="10"/>
  <c r="AN169" i="1" l="1"/>
  <c r="AF157" i="10"/>
  <c r="AF138" i="10"/>
  <c r="AE151" i="10"/>
  <c r="AG136" i="10"/>
  <c r="AH135" i="10"/>
  <c r="BJ24" i="10"/>
  <c r="BL22" i="10"/>
  <c r="AO169" i="1" l="1"/>
  <c r="BN22" i="10"/>
  <c r="BL24" i="10"/>
  <c r="AF151" i="10"/>
  <c r="AH136" i="10"/>
  <c r="AI135" i="10"/>
  <c r="AG157" i="10"/>
  <c r="AG138" i="10"/>
  <c r="AP169" i="1" l="1"/>
  <c r="AG151" i="10"/>
  <c r="AI136" i="10"/>
  <c r="AJ135" i="10"/>
  <c r="AH157" i="10"/>
  <c r="AH138" i="10"/>
  <c r="BP22" i="10"/>
  <c r="BN24" i="10"/>
  <c r="BJ51" i="10" s="1"/>
  <c r="BP24" i="10" l="1"/>
  <c r="BR22" i="10"/>
  <c r="AJ136" i="10"/>
  <c r="AK135" i="10"/>
  <c r="AI157" i="10"/>
  <c r="AI138" i="10"/>
  <c r="AH151" i="10"/>
  <c r="AJ157" i="10" l="1"/>
  <c r="AJ138" i="10"/>
  <c r="AI151" i="10"/>
  <c r="BR24" i="10"/>
  <c r="BT22" i="10"/>
  <c r="AK136" i="10"/>
  <c r="AL135" i="10"/>
  <c r="AK157" i="10" l="1"/>
  <c r="AK138" i="10"/>
  <c r="AJ151" i="10"/>
  <c r="AL136" i="10"/>
  <c r="AM135" i="10"/>
  <c r="BV22" i="10"/>
  <c r="BT24" i="10"/>
  <c r="BP51" i="10" s="1"/>
  <c r="BX22" i="10" l="1"/>
  <c r="BV24" i="10"/>
  <c r="AK151" i="10"/>
  <c r="AM136" i="10"/>
  <c r="AN135" i="10"/>
  <c r="AL157" i="10"/>
  <c r="AL138" i="10"/>
  <c r="AL151" i="10" l="1"/>
  <c r="BX24" i="10"/>
  <c r="BZ22" i="10"/>
  <c r="AN136" i="10"/>
  <c r="AO135" i="10"/>
  <c r="AM157" i="10"/>
  <c r="AM138" i="10"/>
  <c r="AM151" i="10" l="1"/>
  <c r="AO136" i="10"/>
  <c r="AP135" i="10"/>
  <c r="AP136" i="10" s="1"/>
  <c r="BZ24" i="10"/>
  <c r="BV51" i="10" s="1"/>
  <c r="CB22" i="10"/>
  <c r="AN157" i="10"/>
  <c r="AN138" i="10"/>
  <c r="CD22" i="10" l="1"/>
  <c r="CB24" i="10"/>
  <c r="AN151" i="10"/>
  <c r="AP157" i="10"/>
  <c r="AP138" i="10"/>
  <c r="AO157" i="10"/>
  <c r="AO138" i="10"/>
  <c r="AO151" i="10" l="1"/>
  <c r="AP151" i="10"/>
  <c r="CF22" i="10"/>
  <c r="CD24" i="10"/>
  <c r="CF24" i="10" l="1"/>
  <c r="CB51" i="10" s="1"/>
  <c r="CH22" i="10"/>
  <c r="CH24" i="10" l="1"/>
  <c r="CJ22" i="10"/>
  <c r="CL22" i="10" l="1"/>
  <c r="CJ24" i="10"/>
  <c r="CN22" i="10" l="1"/>
  <c r="CL24" i="10"/>
  <c r="CH51" i="10" s="1"/>
  <c r="CN24" i="10" l="1"/>
  <c r="CP22" i="10"/>
  <c r="CP24" i="10" l="1"/>
  <c r="CR22" i="10"/>
  <c r="CT22" i="10" l="1"/>
  <c r="CR24" i="10"/>
  <c r="CN51" i="10" s="1"/>
  <c r="CV22" i="10" l="1"/>
  <c r="CT24" i="10"/>
  <c r="CV24" i="10" l="1"/>
  <c r="CX22" i="10"/>
  <c r="CX24" i="10" l="1"/>
  <c r="CT51" i="10" s="1"/>
  <c r="CZ22" i="10"/>
  <c r="DB22" i="10" l="1"/>
  <c r="CZ24" i="10"/>
  <c r="DD22" i="10" l="1"/>
  <c r="DB24" i="10"/>
  <c r="DD24" i="10" l="1"/>
  <c r="CZ51" i="10" s="1"/>
  <c r="DF22" i="10"/>
  <c r="DF24" i="10" l="1"/>
  <c r="DH22" i="10"/>
  <c r="DJ22" i="10" l="1"/>
  <c r="DH24" i="10"/>
  <c r="DL22" i="10" l="1"/>
  <c r="DJ24" i="10"/>
  <c r="DF51" i="10" s="1"/>
  <c r="B68" i="10" s="1"/>
  <c r="DL24" i="10" l="1"/>
  <c r="DN22" i="10"/>
  <c r="DN24" i="10" l="1"/>
  <c r="DP22" i="10"/>
  <c r="DR22" i="10" l="1"/>
  <c r="DP24" i="10"/>
  <c r="DL51" i="10" s="1"/>
  <c r="H68" i="10" s="1"/>
  <c r="DT22" i="10" l="1"/>
  <c r="DR24" i="10"/>
  <c r="DT24" i="10" l="1"/>
  <c r="DV22" i="10"/>
  <c r="DV24" i="10" l="1"/>
  <c r="DR51" i="10" s="1"/>
  <c r="N68" i="10" s="1"/>
  <c r="DX22" i="10"/>
  <c r="D23" i="8"/>
  <c r="D22" i="8"/>
  <c r="B47" i="8"/>
  <c r="C47" i="8" s="1"/>
  <c r="I133" i="1" s="1"/>
  <c r="D92" i="8"/>
  <c r="D97" i="8"/>
  <c r="D102" i="8"/>
  <c r="I132" i="1" l="1"/>
  <c r="I134" i="1"/>
  <c r="I132" i="10"/>
  <c r="I129" i="10"/>
  <c r="I130" i="1"/>
  <c r="DZ22" i="10"/>
  <c r="DX24" i="10"/>
  <c r="D10" i="8"/>
  <c r="D87" i="8"/>
  <c r="D82" i="8"/>
  <c r="D77" i="8"/>
  <c r="B66" i="8"/>
  <c r="C66" i="8" s="1"/>
  <c r="B65" i="8"/>
  <c r="C65" i="8" s="1"/>
  <c r="B57" i="8"/>
  <c r="C57" i="8" s="1"/>
  <c r="B56" i="8"/>
  <c r="C56" i="8" s="1"/>
  <c r="B48" i="8"/>
  <c r="C48" i="8" s="1"/>
  <c r="B39" i="8"/>
  <c r="C39" i="8" s="1"/>
  <c r="B32" i="8"/>
  <c r="C32" i="8" s="1"/>
  <c r="B31" i="8"/>
  <c r="C31" i="8" s="1"/>
  <c r="B22" i="8"/>
  <c r="C22" i="8" s="1"/>
  <c r="B23" i="8"/>
  <c r="C23" i="8" s="1"/>
  <c r="B105" i="8" l="1"/>
  <c r="C105" i="8" s="1"/>
  <c r="I121" i="10" s="1"/>
  <c r="I122" i="1"/>
  <c r="I130" i="10"/>
  <c r="I128" i="10"/>
  <c r="I122" i="10"/>
  <c r="I123" i="1"/>
  <c r="I120" i="1"/>
  <c r="I121" i="1" s="1"/>
  <c r="I120" i="10"/>
  <c r="I133" i="10"/>
  <c r="I131" i="10"/>
  <c r="I126" i="10"/>
  <c r="I127" i="1"/>
  <c r="I131" i="1"/>
  <c r="I129" i="1"/>
  <c r="EB22" i="10"/>
  <c r="DZ24" i="10"/>
  <c r="H124" i="1"/>
  <c r="G124" i="1"/>
  <c r="F124" i="1"/>
  <c r="E124" i="1"/>
  <c r="D124" i="1"/>
  <c r="C124" i="1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I126" i="1" l="1"/>
  <c r="I128" i="1"/>
  <c r="I127" i="10"/>
  <c r="I125" i="10"/>
  <c r="ED22" i="10"/>
  <c r="EB24" i="10"/>
  <c r="DX51" i="10" s="1"/>
  <c r="T68" i="10" s="1"/>
  <c r="H123" i="1"/>
  <c r="G122" i="1"/>
  <c r="F122" i="1"/>
  <c r="E122" i="1"/>
  <c r="D122" i="1"/>
  <c r="C122" i="1"/>
  <c r="ED24" i="10" l="1"/>
  <c r="EF22" i="10"/>
  <c r="G123" i="1"/>
  <c r="F123" i="1"/>
  <c r="E123" i="1"/>
  <c r="D123" i="1"/>
  <c r="C123" i="1"/>
  <c r="EH22" i="10" l="1"/>
  <c r="EF24" i="10"/>
  <c r="H120" i="1"/>
  <c r="G120" i="1"/>
  <c r="F120" i="1"/>
  <c r="E120" i="1"/>
  <c r="D120" i="1"/>
  <c r="AA16" i="3"/>
  <c r="EJ22" i="10" l="1"/>
  <c r="EH24" i="10"/>
  <c r="ED51" i="10" s="1"/>
  <c r="Z68" i="10" s="1"/>
  <c r="B117" i="1"/>
  <c r="H131" i="1"/>
  <c r="C131" i="1"/>
  <c r="H130" i="1"/>
  <c r="C130" i="1"/>
  <c r="H129" i="1"/>
  <c r="C129" i="1"/>
  <c r="H132" i="1"/>
  <c r="C132" i="1"/>
  <c r="H128" i="1"/>
  <c r="C128" i="1"/>
  <c r="H127" i="1"/>
  <c r="C127" i="1"/>
  <c r="H126" i="1"/>
  <c r="C126" i="1"/>
  <c r="C138" i="1" l="1"/>
  <c r="AM170" i="1"/>
  <c r="AI170" i="1"/>
  <c r="AE170" i="1"/>
  <c r="AA170" i="1"/>
  <c r="W170" i="1"/>
  <c r="S170" i="1"/>
  <c r="O170" i="1"/>
  <c r="K170" i="1"/>
  <c r="G170" i="1"/>
  <c r="C170" i="1"/>
  <c r="AP170" i="1"/>
  <c r="AL170" i="1"/>
  <c r="AH170" i="1"/>
  <c r="AD170" i="1"/>
  <c r="Z170" i="1"/>
  <c r="V170" i="1"/>
  <c r="R170" i="1"/>
  <c r="N170" i="1"/>
  <c r="J170" i="1"/>
  <c r="F170" i="1"/>
  <c r="B170" i="1"/>
  <c r="AO170" i="1"/>
  <c r="AG170" i="1"/>
  <c r="Y170" i="1"/>
  <c r="Q170" i="1"/>
  <c r="I170" i="1"/>
  <c r="AN170" i="1"/>
  <c r="AF170" i="1"/>
  <c r="X170" i="1"/>
  <c r="P170" i="1"/>
  <c r="H170" i="1"/>
  <c r="AJ170" i="1"/>
  <c r="AB170" i="1"/>
  <c r="T170" i="1"/>
  <c r="L170" i="1"/>
  <c r="D170" i="1"/>
  <c r="AK170" i="1"/>
  <c r="E170" i="1"/>
  <c r="AC170" i="1"/>
  <c r="U170" i="1"/>
  <c r="M170" i="1"/>
  <c r="Y138" i="1"/>
  <c r="E138" i="1"/>
  <c r="AO138" i="1"/>
  <c r="U138" i="1"/>
  <c r="AK138" i="1"/>
  <c r="Q138" i="1"/>
  <c r="AG138" i="1"/>
  <c r="I138" i="1"/>
  <c r="EJ24" i="10"/>
  <c r="EL22" i="10"/>
  <c r="AC138" i="1"/>
  <c r="M138" i="1"/>
  <c r="AN138" i="1"/>
  <c r="AJ138" i="1"/>
  <c r="AB138" i="1"/>
  <c r="X138" i="1"/>
  <c r="P138" i="1"/>
  <c r="L138" i="1"/>
  <c r="H138" i="1"/>
  <c r="D138" i="1"/>
  <c r="AM138" i="1"/>
  <c r="AI138" i="1"/>
  <c r="AE138" i="1"/>
  <c r="AA138" i="1"/>
  <c r="W138" i="1"/>
  <c r="S138" i="1"/>
  <c r="O138" i="1"/>
  <c r="K138" i="1"/>
  <c r="G138" i="1"/>
  <c r="B138" i="1"/>
  <c r="AF138" i="1"/>
  <c r="T138" i="1"/>
  <c r="AP138" i="1"/>
  <c r="AL138" i="1"/>
  <c r="AH138" i="1"/>
  <c r="AD138" i="1"/>
  <c r="Z138" i="1"/>
  <c r="V138" i="1"/>
  <c r="R138" i="1"/>
  <c r="N138" i="1"/>
  <c r="J138" i="1"/>
  <c r="F138" i="1"/>
  <c r="G131" i="1"/>
  <c r="F131" i="1"/>
  <c r="E131" i="1"/>
  <c r="D131" i="1"/>
  <c r="G130" i="1"/>
  <c r="F130" i="1"/>
  <c r="E130" i="1"/>
  <c r="D130" i="1"/>
  <c r="G129" i="1"/>
  <c r="F129" i="1"/>
  <c r="E129" i="1"/>
  <c r="D129" i="1"/>
  <c r="AL16" i="3"/>
  <c r="AK16" i="3"/>
  <c r="AJ16" i="3"/>
  <c r="AI16" i="3"/>
  <c r="AH16" i="3"/>
  <c r="AG16" i="3"/>
  <c r="G132" i="1"/>
  <c r="F132" i="1"/>
  <c r="E132" i="1"/>
  <c r="D132" i="1"/>
  <c r="Z16" i="3"/>
  <c r="Y16" i="3"/>
  <c r="X16" i="3"/>
  <c r="W16" i="3"/>
  <c r="V16" i="3"/>
  <c r="W10" i="3"/>
  <c r="W9" i="3"/>
  <c r="V10" i="3"/>
  <c r="V9" i="3"/>
  <c r="AH19" i="3" l="1"/>
  <c r="AH20" i="3"/>
  <c r="AH21" i="3" s="1"/>
  <c r="AG19" i="3"/>
  <c r="AG20" i="3"/>
  <c r="AG21" i="3" s="1"/>
  <c r="B180" i="1"/>
  <c r="B181" i="1"/>
  <c r="B178" i="1"/>
  <c r="B183" i="1"/>
  <c r="B184" i="1"/>
  <c r="B179" i="1"/>
  <c r="EL24" i="10"/>
  <c r="EN22" i="10"/>
  <c r="EN24" i="10" s="1"/>
  <c r="C4" i="5"/>
  <c r="C4" i="9"/>
  <c r="C4" i="4"/>
  <c r="G128" i="1"/>
  <c r="F128" i="1"/>
  <c r="E128" i="1"/>
  <c r="D128" i="1"/>
  <c r="G127" i="1"/>
  <c r="F127" i="1"/>
  <c r="E127" i="1"/>
  <c r="D127" i="1"/>
  <c r="G126" i="1"/>
  <c r="F126" i="1"/>
  <c r="E126" i="1"/>
  <c r="D126" i="1"/>
  <c r="D16" i="3"/>
  <c r="D18" i="3" s="1"/>
  <c r="E16" i="3"/>
  <c r="E18" i="3" s="1"/>
  <c r="F16" i="3"/>
  <c r="F18" i="3" s="1"/>
  <c r="G16" i="3"/>
  <c r="G18" i="3" s="1"/>
  <c r="H16" i="3"/>
  <c r="H18" i="3" s="1"/>
  <c r="C16" i="3"/>
  <c r="C18" i="3" s="1"/>
  <c r="EJ51" i="10" l="1"/>
  <c r="AF68" i="10" s="1"/>
  <c r="B85" i="10" s="1"/>
  <c r="B120" i="10" s="1"/>
  <c r="B139" i="10" s="1"/>
  <c r="D4" i="9"/>
  <c r="D4" i="4"/>
  <c r="D4" i="5"/>
  <c r="X10" i="3"/>
  <c r="Y10" i="3"/>
  <c r="Z10" i="3"/>
  <c r="AA10" i="3"/>
  <c r="AB10" i="3"/>
  <c r="AC10" i="3"/>
  <c r="AC9" i="3"/>
  <c r="X9" i="3"/>
  <c r="Y9" i="3"/>
  <c r="Z9" i="3"/>
  <c r="AA9" i="3"/>
  <c r="AB9" i="3"/>
  <c r="AL19" i="3" l="1"/>
  <c r="AL20" i="3"/>
  <c r="AL21" i="3" s="1"/>
  <c r="AI19" i="3"/>
  <c r="AI20" i="3"/>
  <c r="AI21" i="3" s="1"/>
  <c r="AK20" i="3"/>
  <c r="AK21" i="3" s="1"/>
  <c r="AK19" i="3"/>
  <c r="AJ19" i="3"/>
  <c r="AJ20" i="3"/>
  <c r="AJ21" i="3" s="1"/>
  <c r="B155" i="10"/>
  <c r="B159" i="10" s="1"/>
  <c r="E4" i="4"/>
  <c r="E4" i="5"/>
  <c r="E4" i="9"/>
  <c r="F4" i="5" l="1"/>
  <c r="F4" i="4"/>
  <c r="F4" i="9"/>
  <c r="C11" i="1"/>
  <c r="D11" i="1"/>
  <c r="E11" i="1"/>
  <c r="E18" i="1" s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B11" i="1"/>
  <c r="EA6" i="1"/>
  <c r="DZ6" i="1"/>
  <c r="EA5" i="1"/>
  <c r="DZ5" i="1"/>
  <c r="DY6" i="1"/>
  <c r="DX6" i="1"/>
  <c r="DY5" i="1"/>
  <c r="DX5" i="1"/>
  <c r="DW6" i="1"/>
  <c r="DV6" i="1"/>
  <c r="DW5" i="1"/>
  <c r="DV5" i="1"/>
  <c r="DU6" i="1"/>
  <c r="DT6" i="1"/>
  <c r="DU5" i="1"/>
  <c r="DT5" i="1"/>
  <c r="DS6" i="1"/>
  <c r="DR6" i="1"/>
  <c r="DS5" i="1"/>
  <c r="DR5" i="1"/>
  <c r="DQ6" i="1"/>
  <c r="EO6" i="1" s="1"/>
  <c r="DP6" i="1"/>
  <c r="EN6" i="1" s="1"/>
  <c r="DQ5" i="1"/>
  <c r="DP5" i="1"/>
  <c r="DO6" i="1"/>
  <c r="EM6" i="1" s="1"/>
  <c r="DN6" i="1"/>
  <c r="EL6" i="1" s="1"/>
  <c r="DO5" i="1"/>
  <c r="DN5" i="1"/>
  <c r="DK6" i="1"/>
  <c r="EI6" i="1" s="1"/>
  <c r="DJ6" i="1"/>
  <c r="EH6" i="1" s="1"/>
  <c r="DK5" i="1"/>
  <c r="DJ5" i="1"/>
  <c r="DH6" i="1"/>
  <c r="EF6" i="1" s="1"/>
  <c r="DI6" i="1"/>
  <c r="EG6" i="1" s="1"/>
  <c r="DI5" i="1"/>
  <c r="DH5" i="1"/>
  <c r="EJ5" i="1"/>
  <c r="EK6" i="1"/>
  <c r="EJ6" i="1"/>
  <c r="EK5" i="1"/>
  <c r="DE6" i="1"/>
  <c r="DD6" i="1"/>
  <c r="DC6" i="1"/>
  <c r="DB6" i="1"/>
  <c r="DA6" i="1"/>
  <c r="CZ6" i="1"/>
  <c r="DE5" i="1"/>
  <c r="DD5" i="1"/>
  <c r="DC5" i="1"/>
  <c r="DB5" i="1"/>
  <c r="DA5" i="1"/>
  <c r="CZ5" i="1"/>
  <c r="BU6" i="1"/>
  <c r="BT6" i="1"/>
  <c r="BS6" i="1"/>
  <c r="BR6" i="1"/>
  <c r="BQ6" i="1"/>
  <c r="BP6" i="1"/>
  <c r="BU5" i="1"/>
  <c r="BT5" i="1"/>
  <c r="BS5" i="1"/>
  <c r="BR5" i="1"/>
  <c r="BQ5" i="1"/>
  <c r="BP5" i="1"/>
  <c r="AG5" i="1"/>
  <c r="AH5" i="1"/>
  <c r="AI5" i="1"/>
  <c r="AJ5" i="1"/>
  <c r="AK5" i="1"/>
  <c r="AG6" i="1"/>
  <c r="AH6" i="1"/>
  <c r="AI6" i="1"/>
  <c r="AJ6" i="1"/>
  <c r="AK6" i="1"/>
  <c r="AF6" i="1"/>
  <c r="AF5" i="1"/>
  <c r="CS5" i="1"/>
  <c r="CS6" i="1"/>
  <c r="EC6" i="1" s="1"/>
  <c r="CR6" i="1"/>
  <c r="EB6" i="1" s="1"/>
  <c r="CR5" i="1"/>
  <c r="EE6" i="1"/>
  <c r="ED6" i="1"/>
  <c r="ED5" i="1"/>
  <c r="CY6" i="1"/>
  <c r="CX6" i="1"/>
  <c r="CW6" i="1"/>
  <c r="CV6" i="1"/>
  <c r="CU6" i="1"/>
  <c r="CT6" i="1"/>
  <c r="CX5" i="1"/>
  <c r="CV5" i="1"/>
  <c r="CT5" i="1"/>
  <c r="BO6" i="1"/>
  <c r="BN6" i="1"/>
  <c r="BM6" i="1"/>
  <c r="BL6" i="1"/>
  <c r="BK6" i="1"/>
  <c r="BJ6" i="1"/>
  <c r="BN5" i="1"/>
  <c r="BL5" i="1"/>
  <c r="BJ5" i="1"/>
  <c r="AA6" i="1"/>
  <c r="AB6" i="1"/>
  <c r="AC6" i="1"/>
  <c r="AD6" i="1"/>
  <c r="AE6" i="1"/>
  <c r="Z6" i="1"/>
  <c r="AD5" i="1"/>
  <c r="AB5" i="1"/>
  <c r="Z5" i="1"/>
  <c r="BL15" i="1" l="1"/>
  <c r="BL16" i="1"/>
  <c r="AB16" i="1"/>
  <c r="AB15" i="1"/>
  <c r="BJ16" i="1"/>
  <c r="BJ15" i="1"/>
  <c r="CT16" i="1"/>
  <c r="CT15" i="1"/>
  <c r="AD16" i="1"/>
  <c r="AD15" i="1"/>
  <c r="ED16" i="1"/>
  <c r="ED15" i="1"/>
  <c r="BN16" i="1"/>
  <c r="BN15" i="1"/>
  <c r="CV15" i="1"/>
  <c r="CV16" i="1"/>
  <c r="Z16" i="1"/>
  <c r="Z15" i="1"/>
  <c r="CX16" i="1"/>
  <c r="CX15" i="1"/>
  <c r="BS15" i="1"/>
  <c r="BS16" i="1"/>
  <c r="BT16" i="1"/>
  <c r="BT15" i="1"/>
  <c r="BQ16" i="1"/>
  <c r="BQ15" i="1"/>
  <c r="BU16" i="1"/>
  <c r="BU15" i="1"/>
  <c r="BP16" i="1"/>
  <c r="BP15" i="1"/>
  <c r="BR15" i="1"/>
  <c r="BR16" i="1"/>
  <c r="AJ16" i="1"/>
  <c r="AJ15" i="1"/>
  <c r="AK16" i="1"/>
  <c r="AK15" i="1"/>
  <c r="AG16" i="1"/>
  <c r="AG15" i="1"/>
  <c r="AF16" i="1"/>
  <c r="AF15" i="1"/>
  <c r="AI15" i="1"/>
  <c r="AI16" i="1"/>
  <c r="AH15" i="1"/>
  <c r="AH16" i="1"/>
  <c r="EJ16" i="1"/>
  <c r="EJ15" i="1"/>
  <c r="EK16" i="1"/>
  <c r="EK15" i="1"/>
  <c r="DE15" i="1"/>
  <c r="DE16" i="1"/>
  <c r="DD15" i="1"/>
  <c r="DD16" i="1"/>
  <c r="DC15" i="1"/>
  <c r="DC16" i="1"/>
  <c r="DB15" i="1"/>
  <c r="DB16" i="1"/>
  <c r="DA15" i="1"/>
  <c r="DA16" i="1"/>
  <c r="CZ15" i="1"/>
  <c r="CZ16" i="1"/>
  <c r="DX16" i="1"/>
  <c r="DX15" i="1"/>
  <c r="DZ15" i="1"/>
  <c r="DZ16" i="1"/>
  <c r="DY16" i="1"/>
  <c r="DY15" i="1"/>
  <c r="EA15" i="1"/>
  <c r="EA16" i="1"/>
  <c r="DR16" i="1"/>
  <c r="DR15" i="1"/>
  <c r="DT15" i="1"/>
  <c r="DT16" i="1"/>
  <c r="DV16" i="1"/>
  <c r="DV15" i="1"/>
  <c r="DS16" i="1"/>
  <c r="DS15" i="1"/>
  <c r="DU15" i="1"/>
  <c r="DU16" i="1"/>
  <c r="DW16" i="1"/>
  <c r="DW15" i="1"/>
  <c r="DN15" i="1"/>
  <c r="DN16" i="1"/>
  <c r="DP16" i="1"/>
  <c r="DP15" i="1"/>
  <c r="DO15" i="1"/>
  <c r="DO16" i="1"/>
  <c r="DQ16" i="1"/>
  <c r="DQ15" i="1"/>
  <c r="DH15" i="1"/>
  <c r="DH16" i="1"/>
  <c r="DJ16" i="1"/>
  <c r="DJ15" i="1"/>
  <c r="DI15" i="1"/>
  <c r="DI16" i="1"/>
  <c r="DK16" i="1"/>
  <c r="DK15" i="1"/>
  <c r="CS16" i="1"/>
  <c r="CS15" i="1"/>
  <c r="CR16" i="1"/>
  <c r="CR15" i="1"/>
  <c r="EL5" i="1"/>
  <c r="EN5" i="1"/>
  <c r="EM5" i="1"/>
  <c r="EO5" i="1"/>
  <c r="EF5" i="1"/>
  <c r="EH5" i="1"/>
  <c r="EC5" i="1"/>
  <c r="EB5" i="1"/>
  <c r="G4" i="4"/>
  <c r="G4" i="9"/>
  <c r="G4" i="5"/>
  <c r="D47" i="1"/>
  <c r="F47" i="1" s="1"/>
  <c r="H47" i="1" s="1"/>
  <c r="J47" i="1" s="1"/>
  <c r="L47" i="1" s="1"/>
  <c r="N47" i="1" s="1"/>
  <c r="P47" i="1" s="1"/>
  <c r="R47" i="1" s="1"/>
  <c r="T47" i="1" s="1"/>
  <c r="V47" i="1" s="1"/>
  <c r="X47" i="1" s="1"/>
  <c r="Z47" i="1" s="1"/>
  <c r="AB47" i="1" s="1"/>
  <c r="AD47" i="1" s="1"/>
  <c r="AF47" i="1" s="1"/>
  <c r="AH47" i="1" s="1"/>
  <c r="AJ47" i="1" s="1"/>
  <c r="AL47" i="1" s="1"/>
  <c r="AN47" i="1" s="1"/>
  <c r="AP47" i="1" s="1"/>
  <c r="AR47" i="1" s="1"/>
  <c r="AT47" i="1" s="1"/>
  <c r="AV47" i="1" s="1"/>
  <c r="AX47" i="1" s="1"/>
  <c r="AZ47" i="1" s="1"/>
  <c r="BB47" i="1" s="1"/>
  <c r="BD47" i="1" s="1"/>
  <c r="BF47" i="1" s="1"/>
  <c r="BH47" i="1" s="1"/>
  <c r="BJ47" i="1" s="1"/>
  <c r="BL47" i="1" s="1"/>
  <c r="BN47" i="1" s="1"/>
  <c r="BP47" i="1" s="1"/>
  <c r="BR47" i="1" s="1"/>
  <c r="BT47" i="1" s="1"/>
  <c r="BV47" i="1" s="1"/>
  <c r="BX47" i="1" s="1"/>
  <c r="BZ47" i="1" s="1"/>
  <c r="CB47" i="1" s="1"/>
  <c r="CD47" i="1" s="1"/>
  <c r="CF47" i="1" s="1"/>
  <c r="CH47" i="1" s="1"/>
  <c r="CJ47" i="1" s="1"/>
  <c r="CL47" i="1" s="1"/>
  <c r="CN47" i="1" s="1"/>
  <c r="CP47" i="1" s="1"/>
  <c r="CR47" i="1" s="1"/>
  <c r="CT47" i="1" s="1"/>
  <c r="CV47" i="1" s="1"/>
  <c r="CX47" i="1" s="1"/>
  <c r="CZ47" i="1" s="1"/>
  <c r="DB47" i="1" s="1"/>
  <c r="DD47" i="1" s="1"/>
  <c r="DF47" i="1" s="1"/>
  <c r="DH47" i="1" s="1"/>
  <c r="DJ47" i="1" s="1"/>
  <c r="DL47" i="1" s="1"/>
  <c r="DN47" i="1" s="1"/>
  <c r="DP47" i="1" s="1"/>
  <c r="DR47" i="1" s="1"/>
  <c r="DT47" i="1" s="1"/>
  <c r="DV47" i="1" s="1"/>
  <c r="DX47" i="1" s="1"/>
  <c r="DZ47" i="1" s="1"/>
  <c r="EB47" i="1" s="1"/>
  <c r="ED47" i="1" s="1"/>
  <c r="EF47" i="1" s="1"/>
  <c r="EH47" i="1" s="1"/>
  <c r="EJ47" i="1" s="1"/>
  <c r="EL47" i="1" s="1"/>
  <c r="EN47" i="1" s="1"/>
  <c r="D44" i="1"/>
  <c r="F44" i="1" s="1"/>
  <c r="H44" i="1" s="1"/>
  <c r="J44" i="1" s="1"/>
  <c r="L44" i="1" s="1"/>
  <c r="N44" i="1" s="1"/>
  <c r="P44" i="1" s="1"/>
  <c r="R44" i="1" s="1"/>
  <c r="T44" i="1" s="1"/>
  <c r="V44" i="1" s="1"/>
  <c r="X44" i="1" s="1"/>
  <c r="Z44" i="1" s="1"/>
  <c r="AB44" i="1" s="1"/>
  <c r="AD44" i="1" s="1"/>
  <c r="AF44" i="1" s="1"/>
  <c r="AH44" i="1" s="1"/>
  <c r="AJ44" i="1" s="1"/>
  <c r="AL44" i="1" s="1"/>
  <c r="AN44" i="1" s="1"/>
  <c r="AP44" i="1" s="1"/>
  <c r="AR44" i="1" s="1"/>
  <c r="AT44" i="1" s="1"/>
  <c r="AV44" i="1" s="1"/>
  <c r="AX44" i="1" s="1"/>
  <c r="AZ44" i="1" s="1"/>
  <c r="BB44" i="1" s="1"/>
  <c r="BD44" i="1" s="1"/>
  <c r="BF44" i="1" s="1"/>
  <c r="BH44" i="1" s="1"/>
  <c r="BJ44" i="1" s="1"/>
  <c r="BL44" i="1" s="1"/>
  <c r="BN44" i="1" s="1"/>
  <c r="BP44" i="1" s="1"/>
  <c r="BR44" i="1" s="1"/>
  <c r="BT44" i="1" s="1"/>
  <c r="BV44" i="1" s="1"/>
  <c r="BX44" i="1" s="1"/>
  <c r="BZ44" i="1" s="1"/>
  <c r="CB44" i="1" s="1"/>
  <c r="CD44" i="1" s="1"/>
  <c r="CF44" i="1" s="1"/>
  <c r="CH44" i="1" s="1"/>
  <c r="CJ44" i="1" s="1"/>
  <c r="CL44" i="1" s="1"/>
  <c r="CN44" i="1" s="1"/>
  <c r="CP44" i="1" s="1"/>
  <c r="CR44" i="1" s="1"/>
  <c r="CT44" i="1" s="1"/>
  <c r="CV44" i="1" s="1"/>
  <c r="CX44" i="1" s="1"/>
  <c r="CZ44" i="1" s="1"/>
  <c r="DB44" i="1" s="1"/>
  <c r="DD44" i="1" s="1"/>
  <c r="DF44" i="1" s="1"/>
  <c r="DH44" i="1" s="1"/>
  <c r="DJ44" i="1" s="1"/>
  <c r="DL44" i="1" s="1"/>
  <c r="DN44" i="1" s="1"/>
  <c r="DP44" i="1" s="1"/>
  <c r="DR44" i="1" s="1"/>
  <c r="DT44" i="1" s="1"/>
  <c r="DV44" i="1" s="1"/>
  <c r="DX44" i="1" s="1"/>
  <c r="DZ44" i="1" s="1"/>
  <c r="EB44" i="1" s="1"/>
  <c r="ED44" i="1" s="1"/>
  <c r="EF44" i="1" s="1"/>
  <c r="EH44" i="1" s="1"/>
  <c r="EJ44" i="1" s="1"/>
  <c r="EL44" i="1" s="1"/>
  <c r="EN44" i="1" s="1"/>
  <c r="D37" i="1"/>
  <c r="F37" i="1" s="1"/>
  <c r="H37" i="1" s="1"/>
  <c r="J37" i="1" s="1"/>
  <c r="L37" i="1" s="1"/>
  <c r="N37" i="1" s="1"/>
  <c r="P37" i="1" s="1"/>
  <c r="R37" i="1" s="1"/>
  <c r="T37" i="1" s="1"/>
  <c r="V37" i="1" s="1"/>
  <c r="X37" i="1" s="1"/>
  <c r="Z37" i="1" s="1"/>
  <c r="AB37" i="1" s="1"/>
  <c r="AD37" i="1" s="1"/>
  <c r="AF37" i="1" s="1"/>
  <c r="AH37" i="1" s="1"/>
  <c r="AJ37" i="1" s="1"/>
  <c r="AL37" i="1" s="1"/>
  <c r="AN37" i="1" s="1"/>
  <c r="AP37" i="1" s="1"/>
  <c r="AR37" i="1" s="1"/>
  <c r="AT37" i="1" s="1"/>
  <c r="AV37" i="1" s="1"/>
  <c r="AX37" i="1" s="1"/>
  <c r="AZ37" i="1" s="1"/>
  <c r="BB37" i="1" s="1"/>
  <c r="BD37" i="1" s="1"/>
  <c r="BF37" i="1" s="1"/>
  <c r="BH37" i="1" s="1"/>
  <c r="BJ37" i="1" s="1"/>
  <c r="BL37" i="1" s="1"/>
  <c r="BN37" i="1" s="1"/>
  <c r="BP37" i="1" s="1"/>
  <c r="BR37" i="1" s="1"/>
  <c r="BT37" i="1" s="1"/>
  <c r="BV37" i="1" s="1"/>
  <c r="BX37" i="1" s="1"/>
  <c r="BZ37" i="1" s="1"/>
  <c r="CB37" i="1" s="1"/>
  <c r="CD37" i="1" s="1"/>
  <c r="CF37" i="1" s="1"/>
  <c r="CH37" i="1" s="1"/>
  <c r="CJ37" i="1" s="1"/>
  <c r="CL37" i="1" s="1"/>
  <c r="CN37" i="1" s="1"/>
  <c r="CP37" i="1" s="1"/>
  <c r="CR37" i="1" s="1"/>
  <c r="CT37" i="1" s="1"/>
  <c r="CV37" i="1" s="1"/>
  <c r="CX37" i="1" s="1"/>
  <c r="CZ37" i="1" s="1"/>
  <c r="DB37" i="1" s="1"/>
  <c r="DD37" i="1" s="1"/>
  <c r="DF37" i="1" s="1"/>
  <c r="DH37" i="1" s="1"/>
  <c r="DJ37" i="1" s="1"/>
  <c r="DL37" i="1" s="1"/>
  <c r="DN37" i="1" s="1"/>
  <c r="DP37" i="1" s="1"/>
  <c r="DR37" i="1" s="1"/>
  <c r="DT37" i="1" s="1"/>
  <c r="DV37" i="1" s="1"/>
  <c r="DX37" i="1" s="1"/>
  <c r="DZ37" i="1" s="1"/>
  <c r="EB37" i="1" s="1"/>
  <c r="ED37" i="1" s="1"/>
  <c r="EF37" i="1" s="1"/>
  <c r="EH37" i="1" s="1"/>
  <c r="EJ37" i="1" s="1"/>
  <c r="EL37" i="1" s="1"/>
  <c r="EN37" i="1" s="1"/>
  <c r="D34" i="1"/>
  <c r="F34" i="1" s="1"/>
  <c r="H34" i="1" s="1"/>
  <c r="J34" i="1" s="1"/>
  <c r="L34" i="1" s="1"/>
  <c r="N34" i="1" s="1"/>
  <c r="P34" i="1" s="1"/>
  <c r="R34" i="1" s="1"/>
  <c r="T34" i="1" s="1"/>
  <c r="V34" i="1" s="1"/>
  <c r="X34" i="1" s="1"/>
  <c r="Z34" i="1" s="1"/>
  <c r="AB34" i="1" s="1"/>
  <c r="AD34" i="1" s="1"/>
  <c r="AF34" i="1" s="1"/>
  <c r="AH34" i="1" s="1"/>
  <c r="AJ34" i="1" s="1"/>
  <c r="AL34" i="1" s="1"/>
  <c r="AN34" i="1" s="1"/>
  <c r="AP34" i="1" s="1"/>
  <c r="AR34" i="1" s="1"/>
  <c r="AT34" i="1" s="1"/>
  <c r="AV34" i="1" s="1"/>
  <c r="AX34" i="1" s="1"/>
  <c r="AZ34" i="1" s="1"/>
  <c r="BB34" i="1" s="1"/>
  <c r="BD34" i="1" s="1"/>
  <c r="BF34" i="1" s="1"/>
  <c r="BH34" i="1" s="1"/>
  <c r="BJ34" i="1" s="1"/>
  <c r="BL34" i="1" s="1"/>
  <c r="BN34" i="1" s="1"/>
  <c r="BP34" i="1" s="1"/>
  <c r="BR34" i="1" s="1"/>
  <c r="BT34" i="1" s="1"/>
  <c r="BV34" i="1" s="1"/>
  <c r="BX34" i="1" s="1"/>
  <c r="BZ34" i="1" s="1"/>
  <c r="CB34" i="1" s="1"/>
  <c r="CD34" i="1" s="1"/>
  <c r="CF34" i="1" s="1"/>
  <c r="CH34" i="1" s="1"/>
  <c r="CJ34" i="1" s="1"/>
  <c r="CL34" i="1" s="1"/>
  <c r="CN34" i="1" s="1"/>
  <c r="CP34" i="1" s="1"/>
  <c r="CR34" i="1" s="1"/>
  <c r="CT34" i="1" s="1"/>
  <c r="CV34" i="1" s="1"/>
  <c r="CX34" i="1" s="1"/>
  <c r="CZ34" i="1" s="1"/>
  <c r="DB34" i="1" s="1"/>
  <c r="DD34" i="1" s="1"/>
  <c r="DF34" i="1" s="1"/>
  <c r="DH34" i="1" s="1"/>
  <c r="DJ34" i="1" s="1"/>
  <c r="DL34" i="1" s="1"/>
  <c r="DN34" i="1" s="1"/>
  <c r="DP34" i="1" s="1"/>
  <c r="DR34" i="1" s="1"/>
  <c r="DT34" i="1" s="1"/>
  <c r="DV34" i="1" s="1"/>
  <c r="DX34" i="1" s="1"/>
  <c r="DZ34" i="1" s="1"/>
  <c r="EB34" i="1" s="1"/>
  <c r="ED34" i="1" s="1"/>
  <c r="EF34" i="1" s="1"/>
  <c r="EH34" i="1" s="1"/>
  <c r="EJ34" i="1" s="1"/>
  <c r="EL34" i="1" s="1"/>
  <c r="EN34" i="1" s="1"/>
  <c r="D41" i="1"/>
  <c r="F41" i="1" s="1"/>
  <c r="H41" i="1" s="1"/>
  <c r="J41" i="1" s="1"/>
  <c r="L41" i="1" s="1"/>
  <c r="N41" i="1" s="1"/>
  <c r="P41" i="1" s="1"/>
  <c r="R41" i="1" s="1"/>
  <c r="T41" i="1" s="1"/>
  <c r="V41" i="1" s="1"/>
  <c r="X41" i="1" s="1"/>
  <c r="Z41" i="1" s="1"/>
  <c r="AB41" i="1" s="1"/>
  <c r="AD41" i="1" s="1"/>
  <c r="AF41" i="1" s="1"/>
  <c r="AH41" i="1" s="1"/>
  <c r="AJ41" i="1" s="1"/>
  <c r="AL41" i="1" s="1"/>
  <c r="AN41" i="1" s="1"/>
  <c r="AP41" i="1" s="1"/>
  <c r="AR41" i="1" s="1"/>
  <c r="AT41" i="1" s="1"/>
  <c r="AV41" i="1" s="1"/>
  <c r="AX41" i="1" s="1"/>
  <c r="AZ41" i="1" s="1"/>
  <c r="BB41" i="1" s="1"/>
  <c r="BD41" i="1" s="1"/>
  <c r="BF41" i="1" s="1"/>
  <c r="BH41" i="1" s="1"/>
  <c r="BJ41" i="1" s="1"/>
  <c r="BL41" i="1" s="1"/>
  <c r="BN41" i="1" s="1"/>
  <c r="BP41" i="1" s="1"/>
  <c r="BR41" i="1" s="1"/>
  <c r="BT41" i="1" s="1"/>
  <c r="BV41" i="1" s="1"/>
  <c r="BX41" i="1" s="1"/>
  <c r="BZ41" i="1" s="1"/>
  <c r="CB41" i="1" s="1"/>
  <c r="CD41" i="1" s="1"/>
  <c r="CF41" i="1" s="1"/>
  <c r="CH41" i="1" s="1"/>
  <c r="CJ41" i="1" s="1"/>
  <c r="CL41" i="1" s="1"/>
  <c r="CN41" i="1" s="1"/>
  <c r="CP41" i="1" s="1"/>
  <c r="CR41" i="1" s="1"/>
  <c r="CT41" i="1" s="1"/>
  <c r="CV41" i="1" s="1"/>
  <c r="CX41" i="1" s="1"/>
  <c r="CZ41" i="1" s="1"/>
  <c r="DB41" i="1" s="1"/>
  <c r="DD41" i="1" s="1"/>
  <c r="DF41" i="1" s="1"/>
  <c r="DH41" i="1" s="1"/>
  <c r="DJ41" i="1" s="1"/>
  <c r="DL41" i="1" s="1"/>
  <c r="DN41" i="1" s="1"/>
  <c r="DP41" i="1" s="1"/>
  <c r="DR41" i="1" s="1"/>
  <c r="DT41" i="1" s="1"/>
  <c r="DV41" i="1" s="1"/>
  <c r="DX41" i="1" s="1"/>
  <c r="DZ41" i="1" s="1"/>
  <c r="EB41" i="1" s="1"/>
  <c r="ED41" i="1" s="1"/>
  <c r="EF41" i="1" s="1"/>
  <c r="EH41" i="1" s="1"/>
  <c r="EJ41" i="1" s="1"/>
  <c r="EL41" i="1" s="1"/>
  <c r="EN41" i="1" s="1"/>
  <c r="D40" i="1"/>
  <c r="F40" i="1" s="1"/>
  <c r="H40" i="1" s="1"/>
  <c r="J40" i="1" s="1"/>
  <c r="L40" i="1" s="1"/>
  <c r="N40" i="1" s="1"/>
  <c r="P40" i="1" s="1"/>
  <c r="R40" i="1" s="1"/>
  <c r="T40" i="1" s="1"/>
  <c r="V40" i="1" s="1"/>
  <c r="X40" i="1" s="1"/>
  <c r="Z40" i="1" s="1"/>
  <c r="AB40" i="1" s="1"/>
  <c r="AD40" i="1" s="1"/>
  <c r="AF40" i="1" s="1"/>
  <c r="AH40" i="1" s="1"/>
  <c r="AJ40" i="1" s="1"/>
  <c r="AL40" i="1" s="1"/>
  <c r="AN40" i="1" s="1"/>
  <c r="AP40" i="1" s="1"/>
  <c r="AR40" i="1" s="1"/>
  <c r="AT40" i="1" s="1"/>
  <c r="AV40" i="1" s="1"/>
  <c r="AX40" i="1" s="1"/>
  <c r="AZ40" i="1" s="1"/>
  <c r="BB40" i="1" s="1"/>
  <c r="BD40" i="1" s="1"/>
  <c r="BF40" i="1" s="1"/>
  <c r="BH40" i="1" s="1"/>
  <c r="BJ40" i="1" s="1"/>
  <c r="BL40" i="1" s="1"/>
  <c r="BN40" i="1" s="1"/>
  <c r="BP40" i="1" s="1"/>
  <c r="BR40" i="1" s="1"/>
  <c r="BT40" i="1" s="1"/>
  <c r="BV40" i="1" s="1"/>
  <c r="BX40" i="1" s="1"/>
  <c r="BZ40" i="1" s="1"/>
  <c r="CB40" i="1" s="1"/>
  <c r="CD40" i="1" s="1"/>
  <c r="CF40" i="1" s="1"/>
  <c r="CH40" i="1" s="1"/>
  <c r="CJ40" i="1" s="1"/>
  <c r="CL40" i="1" s="1"/>
  <c r="CN40" i="1" s="1"/>
  <c r="CP40" i="1" s="1"/>
  <c r="CR40" i="1" s="1"/>
  <c r="CT40" i="1" s="1"/>
  <c r="CV40" i="1" s="1"/>
  <c r="CX40" i="1" s="1"/>
  <c r="CZ40" i="1" s="1"/>
  <c r="DB40" i="1" s="1"/>
  <c r="DD40" i="1" s="1"/>
  <c r="DF40" i="1" s="1"/>
  <c r="DH40" i="1" s="1"/>
  <c r="DJ40" i="1" s="1"/>
  <c r="DL40" i="1" s="1"/>
  <c r="DN40" i="1" s="1"/>
  <c r="DP40" i="1" s="1"/>
  <c r="DR40" i="1" s="1"/>
  <c r="DT40" i="1" s="1"/>
  <c r="DV40" i="1" s="1"/>
  <c r="DX40" i="1" s="1"/>
  <c r="DZ40" i="1" s="1"/>
  <c r="EB40" i="1" s="1"/>
  <c r="ED40" i="1" s="1"/>
  <c r="EF40" i="1" s="1"/>
  <c r="EH40" i="1" s="1"/>
  <c r="EJ40" i="1" s="1"/>
  <c r="EL40" i="1" s="1"/>
  <c r="EN40" i="1" s="1"/>
  <c r="D31" i="1"/>
  <c r="D30" i="1"/>
  <c r="F30" i="1" s="1"/>
  <c r="H30" i="1" s="1"/>
  <c r="J30" i="1" s="1"/>
  <c r="L30" i="1" s="1"/>
  <c r="N30" i="1" s="1"/>
  <c r="P30" i="1" s="1"/>
  <c r="R30" i="1" s="1"/>
  <c r="T30" i="1" s="1"/>
  <c r="V30" i="1" s="1"/>
  <c r="X30" i="1" s="1"/>
  <c r="Z30" i="1" s="1"/>
  <c r="AB30" i="1" s="1"/>
  <c r="AD30" i="1" s="1"/>
  <c r="AF30" i="1" s="1"/>
  <c r="AH30" i="1" s="1"/>
  <c r="AJ30" i="1" s="1"/>
  <c r="AL30" i="1" s="1"/>
  <c r="AN30" i="1" s="1"/>
  <c r="AP30" i="1" s="1"/>
  <c r="AR30" i="1" s="1"/>
  <c r="AT30" i="1" s="1"/>
  <c r="AV30" i="1" s="1"/>
  <c r="AX30" i="1" s="1"/>
  <c r="AZ30" i="1" s="1"/>
  <c r="BB30" i="1" s="1"/>
  <c r="BD30" i="1" s="1"/>
  <c r="BF30" i="1" s="1"/>
  <c r="BH30" i="1" s="1"/>
  <c r="BJ30" i="1" s="1"/>
  <c r="BL30" i="1" s="1"/>
  <c r="BN30" i="1" s="1"/>
  <c r="BP30" i="1" s="1"/>
  <c r="BR30" i="1" s="1"/>
  <c r="BT30" i="1" s="1"/>
  <c r="BV30" i="1" s="1"/>
  <c r="BX30" i="1" s="1"/>
  <c r="BZ30" i="1" s="1"/>
  <c r="CB30" i="1" s="1"/>
  <c r="CD30" i="1" s="1"/>
  <c r="CF30" i="1" s="1"/>
  <c r="CH30" i="1" s="1"/>
  <c r="CJ30" i="1" s="1"/>
  <c r="CL30" i="1" s="1"/>
  <c r="CN30" i="1" s="1"/>
  <c r="CP30" i="1" s="1"/>
  <c r="CR30" i="1" s="1"/>
  <c r="CT30" i="1" s="1"/>
  <c r="CV30" i="1" s="1"/>
  <c r="CX30" i="1" s="1"/>
  <c r="CZ30" i="1" s="1"/>
  <c r="DB30" i="1" s="1"/>
  <c r="DD30" i="1" s="1"/>
  <c r="DF30" i="1" s="1"/>
  <c r="DH30" i="1" s="1"/>
  <c r="DJ30" i="1" s="1"/>
  <c r="DL30" i="1" s="1"/>
  <c r="DN30" i="1" s="1"/>
  <c r="DP30" i="1" s="1"/>
  <c r="DR30" i="1" s="1"/>
  <c r="DT30" i="1" s="1"/>
  <c r="DV30" i="1" s="1"/>
  <c r="DX30" i="1" s="1"/>
  <c r="DZ30" i="1" s="1"/>
  <c r="EB30" i="1" s="1"/>
  <c r="ED30" i="1" s="1"/>
  <c r="EF30" i="1" s="1"/>
  <c r="EH30" i="1" s="1"/>
  <c r="EJ30" i="1" s="1"/>
  <c r="EL30" i="1" s="1"/>
  <c r="EN30" i="1" s="1"/>
  <c r="D27" i="1"/>
  <c r="F27" i="1" s="1"/>
  <c r="H27" i="1" s="1"/>
  <c r="J27" i="1" s="1"/>
  <c r="L27" i="1" s="1"/>
  <c r="N27" i="1" s="1"/>
  <c r="P27" i="1" s="1"/>
  <c r="R27" i="1" s="1"/>
  <c r="T27" i="1" s="1"/>
  <c r="V27" i="1" s="1"/>
  <c r="X27" i="1" s="1"/>
  <c r="Z27" i="1" s="1"/>
  <c r="AB27" i="1" s="1"/>
  <c r="AD27" i="1" s="1"/>
  <c r="AF27" i="1" s="1"/>
  <c r="AH27" i="1" s="1"/>
  <c r="AJ27" i="1" s="1"/>
  <c r="AL27" i="1" s="1"/>
  <c r="AN27" i="1" s="1"/>
  <c r="AP27" i="1" s="1"/>
  <c r="AR27" i="1" s="1"/>
  <c r="AT27" i="1" s="1"/>
  <c r="AV27" i="1" s="1"/>
  <c r="AX27" i="1" s="1"/>
  <c r="AZ27" i="1" s="1"/>
  <c r="BB27" i="1" s="1"/>
  <c r="BD27" i="1" s="1"/>
  <c r="BF27" i="1" s="1"/>
  <c r="BH27" i="1" s="1"/>
  <c r="BJ27" i="1" s="1"/>
  <c r="BL27" i="1" s="1"/>
  <c r="BN27" i="1" s="1"/>
  <c r="BP27" i="1" s="1"/>
  <c r="BR27" i="1" s="1"/>
  <c r="BT27" i="1" s="1"/>
  <c r="BV27" i="1" s="1"/>
  <c r="BX27" i="1" s="1"/>
  <c r="BZ27" i="1" s="1"/>
  <c r="CB27" i="1" s="1"/>
  <c r="CD27" i="1" s="1"/>
  <c r="CF27" i="1" s="1"/>
  <c r="CH27" i="1" s="1"/>
  <c r="CJ27" i="1" s="1"/>
  <c r="CL27" i="1" s="1"/>
  <c r="CN27" i="1" s="1"/>
  <c r="CP27" i="1" s="1"/>
  <c r="CR27" i="1" s="1"/>
  <c r="CT27" i="1" s="1"/>
  <c r="CV27" i="1" s="1"/>
  <c r="CX27" i="1" s="1"/>
  <c r="CZ27" i="1" s="1"/>
  <c r="DB27" i="1" s="1"/>
  <c r="DD27" i="1" s="1"/>
  <c r="DF27" i="1" s="1"/>
  <c r="DH27" i="1" s="1"/>
  <c r="DJ27" i="1" s="1"/>
  <c r="DL27" i="1" s="1"/>
  <c r="DN27" i="1" s="1"/>
  <c r="DP27" i="1" s="1"/>
  <c r="DR27" i="1" s="1"/>
  <c r="DT27" i="1" s="1"/>
  <c r="DV27" i="1" s="1"/>
  <c r="DX27" i="1" s="1"/>
  <c r="DZ27" i="1" s="1"/>
  <c r="EB27" i="1" s="1"/>
  <c r="ED27" i="1" s="1"/>
  <c r="EF27" i="1" s="1"/>
  <c r="EH27" i="1" s="1"/>
  <c r="EJ27" i="1" s="1"/>
  <c r="EL27" i="1" s="1"/>
  <c r="EN27" i="1" s="1"/>
  <c r="D26" i="1"/>
  <c r="F26" i="1" s="1"/>
  <c r="H26" i="1" s="1"/>
  <c r="J26" i="1" s="1"/>
  <c r="L26" i="1" s="1"/>
  <c r="N26" i="1" s="1"/>
  <c r="P26" i="1" s="1"/>
  <c r="R26" i="1" s="1"/>
  <c r="T26" i="1" s="1"/>
  <c r="V26" i="1" s="1"/>
  <c r="X26" i="1" s="1"/>
  <c r="Z26" i="1" s="1"/>
  <c r="AB26" i="1" s="1"/>
  <c r="AD26" i="1" s="1"/>
  <c r="AF26" i="1" s="1"/>
  <c r="AH26" i="1" s="1"/>
  <c r="AJ26" i="1" s="1"/>
  <c r="AL26" i="1" s="1"/>
  <c r="AN26" i="1" s="1"/>
  <c r="AP26" i="1" s="1"/>
  <c r="AR26" i="1" s="1"/>
  <c r="AT26" i="1" s="1"/>
  <c r="AV26" i="1" s="1"/>
  <c r="AX26" i="1" s="1"/>
  <c r="AZ26" i="1" s="1"/>
  <c r="BB26" i="1" s="1"/>
  <c r="BD26" i="1" s="1"/>
  <c r="BF26" i="1" s="1"/>
  <c r="BH26" i="1" s="1"/>
  <c r="BJ26" i="1" s="1"/>
  <c r="BL26" i="1" s="1"/>
  <c r="BN26" i="1" s="1"/>
  <c r="BP26" i="1" s="1"/>
  <c r="BR26" i="1" s="1"/>
  <c r="BT26" i="1" s="1"/>
  <c r="BV26" i="1" s="1"/>
  <c r="BX26" i="1" s="1"/>
  <c r="BZ26" i="1" s="1"/>
  <c r="CB26" i="1" s="1"/>
  <c r="CD26" i="1" s="1"/>
  <c r="CF26" i="1" s="1"/>
  <c r="CH26" i="1" s="1"/>
  <c r="CJ26" i="1" s="1"/>
  <c r="CL26" i="1" s="1"/>
  <c r="CN26" i="1" s="1"/>
  <c r="CP26" i="1" s="1"/>
  <c r="CR26" i="1" s="1"/>
  <c r="CT26" i="1" s="1"/>
  <c r="CV26" i="1" s="1"/>
  <c r="CX26" i="1" s="1"/>
  <c r="CZ26" i="1" s="1"/>
  <c r="DB26" i="1" s="1"/>
  <c r="DD26" i="1" s="1"/>
  <c r="DF26" i="1" s="1"/>
  <c r="DH26" i="1" s="1"/>
  <c r="DJ26" i="1" s="1"/>
  <c r="DL26" i="1" s="1"/>
  <c r="DN26" i="1" s="1"/>
  <c r="DP26" i="1" s="1"/>
  <c r="DR26" i="1" s="1"/>
  <c r="DT26" i="1" s="1"/>
  <c r="DV26" i="1" s="1"/>
  <c r="DX26" i="1" s="1"/>
  <c r="DZ26" i="1" s="1"/>
  <c r="EB26" i="1" s="1"/>
  <c r="ED26" i="1" s="1"/>
  <c r="EF26" i="1" s="1"/>
  <c r="EH26" i="1" s="1"/>
  <c r="EJ26" i="1" s="1"/>
  <c r="EL26" i="1" s="1"/>
  <c r="EN26" i="1" s="1"/>
  <c r="D23" i="1"/>
  <c r="F23" i="1" s="1"/>
  <c r="H23" i="1" s="1"/>
  <c r="J23" i="1" s="1"/>
  <c r="L23" i="1" s="1"/>
  <c r="N23" i="1" s="1"/>
  <c r="P23" i="1" s="1"/>
  <c r="R23" i="1" s="1"/>
  <c r="T23" i="1" s="1"/>
  <c r="V23" i="1" s="1"/>
  <c r="X23" i="1" s="1"/>
  <c r="Z23" i="1" s="1"/>
  <c r="AB23" i="1" s="1"/>
  <c r="AD23" i="1" s="1"/>
  <c r="AF23" i="1" s="1"/>
  <c r="AH23" i="1" s="1"/>
  <c r="AJ23" i="1" s="1"/>
  <c r="AL23" i="1" s="1"/>
  <c r="AN23" i="1" s="1"/>
  <c r="AP23" i="1" s="1"/>
  <c r="AR23" i="1" s="1"/>
  <c r="AT23" i="1" s="1"/>
  <c r="AV23" i="1" s="1"/>
  <c r="AX23" i="1" s="1"/>
  <c r="AZ23" i="1" s="1"/>
  <c r="BB23" i="1" s="1"/>
  <c r="BD23" i="1" s="1"/>
  <c r="BF23" i="1" s="1"/>
  <c r="BH23" i="1" s="1"/>
  <c r="BJ23" i="1" s="1"/>
  <c r="BL23" i="1" s="1"/>
  <c r="BN23" i="1" s="1"/>
  <c r="BP23" i="1" s="1"/>
  <c r="BR23" i="1" s="1"/>
  <c r="BT23" i="1" s="1"/>
  <c r="BV23" i="1" s="1"/>
  <c r="BX23" i="1" s="1"/>
  <c r="BZ23" i="1" s="1"/>
  <c r="CB23" i="1" s="1"/>
  <c r="CD23" i="1" s="1"/>
  <c r="CF23" i="1" s="1"/>
  <c r="CH23" i="1" s="1"/>
  <c r="CJ23" i="1" s="1"/>
  <c r="CL23" i="1" s="1"/>
  <c r="CN23" i="1" s="1"/>
  <c r="CP23" i="1" s="1"/>
  <c r="CR23" i="1" s="1"/>
  <c r="CT23" i="1" s="1"/>
  <c r="CV23" i="1" s="1"/>
  <c r="CX23" i="1" s="1"/>
  <c r="CZ23" i="1" s="1"/>
  <c r="DB23" i="1" s="1"/>
  <c r="DD23" i="1" s="1"/>
  <c r="DF23" i="1" s="1"/>
  <c r="DH23" i="1" s="1"/>
  <c r="DJ23" i="1" s="1"/>
  <c r="DL23" i="1" s="1"/>
  <c r="DN23" i="1" s="1"/>
  <c r="DP23" i="1" s="1"/>
  <c r="DR23" i="1" s="1"/>
  <c r="DT23" i="1" s="1"/>
  <c r="DV23" i="1" s="1"/>
  <c r="DX23" i="1" s="1"/>
  <c r="DZ23" i="1" s="1"/>
  <c r="EB23" i="1" s="1"/>
  <c r="ED23" i="1" s="1"/>
  <c r="EF23" i="1" s="1"/>
  <c r="EH23" i="1" s="1"/>
  <c r="EJ23" i="1" s="1"/>
  <c r="EL23" i="1" s="1"/>
  <c r="EN23" i="1" s="1"/>
  <c r="D22" i="1"/>
  <c r="F22" i="1" s="1"/>
  <c r="H22" i="1" s="1"/>
  <c r="J22" i="1" s="1"/>
  <c r="L22" i="1" s="1"/>
  <c r="N22" i="1" s="1"/>
  <c r="P22" i="1" s="1"/>
  <c r="R22" i="1" s="1"/>
  <c r="T22" i="1" s="1"/>
  <c r="V22" i="1" s="1"/>
  <c r="X22" i="1" s="1"/>
  <c r="Z22" i="1" s="1"/>
  <c r="AB22" i="1" s="1"/>
  <c r="AD22" i="1" s="1"/>
  <c r="AF22" i="1" s="1"/>
  <c r="AH22" i="1" s="1"/>
  <c r="AJ22" i="1" s="1"/>
  <c r="AL22" i="1" s="1"/>
  <c r="AN22" i="1" s="1"/>
  <c r="AP22" i="1" s="1"/>
  <c r="AR22" i="1" s="1"/>
  <c r="AT22" i="1" s="1"/>
  <c r="AV22" i="1" s="1"/>
  <c r="AX22" i="1" s="1"/>
  <c r="AZ22" i="1" s="1"/>
  <c r="BB22" i="1" s="1"/>
  <c r="BD22" i="1" s="1"/>
  <c r="BF22" i="1" s="1"/>
  <c r="BH22" i="1" s="1"/>
  <c r="BJ22" i="1" s="1"/>
  <c r="BL22" i="1" s="1"/>
  <c r="BN22" i="1" s="1"/>
  <c r="BP22" i="1" s="1"/>
  <c r="BR22" i="1" s="1"/>
  <c r="BT22" i="1" s="1"/>
  <c r="BV22" i="1" s="1"/>
  <c r="BX22" i="1" s="1"/>
  <c r="BZ22" i="1" s="1"/>
  <c r="CB22" i="1" s="1"/>
  <c r="CD22" i="1" s="1"/>
  <c r="CF22" i="1" s="1"/>
  <c r="CH22" i="1" s="1"/>
  <c r="CJ22" i="1" s="1"/>
  <c r="CL22" i="1" s="1"/>
  <c r="CN22" i="1" s="1"/>
  <c r="CP22" i="1" s="1"/>
  <c r="CR22" i="1" s="1"/>
  <c r="CT22" i="1" s="1"/>
  <c r="CV22" i="1" s="1"/>
  <c r="CX22" i="1" s="1"/>
  <c r="CZ22" i="1" s="1"/>
  <c r="DB22" i="1" s="1"/>
  <c r="DD22" i="1" s="1"/>
  <c r="DF22" i="1" s="1"/>
  <c r="DH22" i="1" s="1"/>
  <c r="DJ22" i="1" s="1"/>
  <c r="DL22" i="1" s="1"/>
  <c r="DN22" i="1" s="1"/>
  <c r="DP22" i="1" s="1"/>
  <c r="DR22" i="1" s="1"/>
  <c r="DT22" i="1" s="1"/>
  <c r="DV22" i="1" s="1"/>
  <c r="DX22" i="1" s="1"/>
  <c r="DZ22" i="1" s="1"/>
  <c r="EB22" i="1" s="1"/>
  <c r="ED22" i="1" s="1"/>
  <c r="EF22" i="1" s="1"/>
  <c r="EH22" i="1" s="1"/>
  <c r="EJ22" i="1" s="1"/>
  <c r="EL22" i="1" s="1"/>
  <c r="EN22" i="1" s="1"/>
  <c r="EO16" i="1" l="1"/>
  <c r="EO15" i="1"/>
  <c r="EM15" i="1"/>
  <c r="EM16" i="1"/>
  <c r="EN16" i="1"/>
  <c r="EN15" i="1"/>
  <c r="EL15" i="1"/>
  <c r="EL16" i="1"/>
  <c r="EH16" i="1"/>
  <c r="EH15" i="1"/>
  <c r="EF15" i="1"/>
  <c r="EF16" i="1"/>
  <c r="EB16" i="1"/>
  <c r="EB15" i="1"/>
  <c r="EC16" i="1"/>
  <c r="EC15" i="1"/>
  <c r="H4" i="5"/>
  <c r="H4" i="4"/>
  <c r="H4" i="9"/>
  <c r="F31" i="1"/>
  <c r="H31" i="1" s="1"/>
  <c r="J31" i="1" s="1"/>
  <c r="L31" i="1" s="1"/>
  <c r="N31" i="1" s="1"/>
  <c r="P31" i="1" s="1"/>
  <c r="R31" i="1" s="1"/>
  <c r="T31" i="1" s="1"/>
  <c r="V31" i="1" s="1"/>
  <c r="X31" i="1" s="1"/>
  <c r="Z31" i="1" s="1"/>
  <c r="AB31" i="1" s="1"/>
  <c r="AD31" i="1" s="1"/>
  <c r="AF31" i="1" s="1"/>
  <c r="AH31" i="1" s="1"/>
  <c r="AJ31" i="1" s="1"/>
  <c r="AL31" i="1" s="1"/>
  <c r="AN31" i="1" s="1"/>
  <c r="AP31" i="1" s="1"/>
  <c r="AR31" i="1" s="1"/>
  <c r="AT31" i="1" s="1"/>
  <c r="AV31" i="1" s="1"/>
  <c r="AX31" i="1" s="1"/>
  <c r="AZ31" i="1" s="1"/>
  <c r="BB31" i="1" s="1"/>
  <c r="BD31" i="1" s="1"/>
  <c r="BF31" i="1" s="1"/>
  <c r="BH31" i="1" s="1"/>
  <c r="BJ31" i="1" s="1"/>
  <c r="BL31" i="1" s="1"/>
  <c r="BN31" i="1" s="1"/>
  <c r="BP31" i="1" s="1"/>
  <c r="BR31" i="1" s="1"/>
  <c r="BT31" i="1" s="1"/>
  <c r="BV31" i="1" s="1"/>
  <c r="BX31" i="1" s="1"/>
  <c r="BZ31" i="1" s="1"/>
  <c r="CB31" i="1" s="1"/>
  <c r="CD31" i="1" s="1"/>
  <c r="CF31" i="1" s="1"/>
  <c r="CH31" i="1" s="1"/>
  <c r="CJ31" i="1" s="1"/>
  <c r="CL31" i="1" s="1"/>
  <c r="CN31" i="1" s="1"/>
  <c r="CP31" i="1" s="1"/>
  <c r="CR31" i="1" s="1"/>
  <c r="CT31" i="1" s="1"/>
  <c r="CV31" i="1" s="1"/>
  <c r="CX31" i="1" s="1"/>
  <c r="CZ31" i="1" s="1"/>
  <c r="DB31" i="1" s="1"/>
  <c r="DD31" i="1" s="1"/>
  <c r="DF31" i="1" s="1"/>
  <c r="DH31" i="1" s="1"/>
  <c r="DJ31" i="1" s="1"/>
  <c r="DL31" i="1" s="1"/>
  <c r="DN31" i="1" s="1"/>
  <c r="DP31" i="1" s="1"/>
  <c r="DR31" i="1" s="1"/>
  <c r="DT31" i="1" s="1"/>
  <c r="DV31" i="1" s="1"/>
  <c r="DX31" i="1" s="1"/>
  <c r="DZ31" i="1" s="1"/>
  <c r="EB31" i="1" s="1"/>
  <c r="ED31" i="1" s="1"/>
  <c r="EF31" i="1" s="1"/>
  <c r="EH31" i="1" s="1"/>
  <c r="EJ31" i="1" s="1"/>
  <c r="EL31" i="1" s="1"/>
  <c r="EN31" i="1" s="1"/>
  <c r="EJ24" i="1"/>
  <c r="ED24" i="1"/>
  <c r="DZ24" i="1"/>
  <c r="DX24" i="1"/>
  <c r="DV24" i="1"/>
  <c r="DT24" i="1"/>
  <c r="DR24" i="1"/>
  <c r="DP24" i="1"/>
  <c r="DN24" i="1"/>
  <c r="DL24" i="1"/>
  <c r="DJ24" i="1"/>
  <c r="DH24" i="1"/>
  <c r="DF24" i="1"/>
  <c r="DD24" i="1"/>
  <c r="DB24" i="1"/>
  <c r="CZ24" i="1"/>
  <c r="CX24" i="1"/>
  <c r="CV24" i="1"/>
  <c r="CT24" i="1"/>
  <c r="CR24" i="1"/>
  <c r="CP24" i="1"/>
  <c r="CN24" i="1"/>
  <c r="CL24" i="1"/>
  <c r="CJ24" i="1"/>
  <c r="CH24" i="1"/>
  <c r="CF24" i="1"/>
  <c r="CD24" i="1"/>
  <c r="CB24" i="1"/>
  <c r="BZ24" i="1"/>
  <c r="BX24" i="1"/>
  <c r="BV24" i="1"/>
  <c r="BT24" i="1"/>
  <c r="BR24" i="1"/>
  <c r="BP24" i="1"/>
  <c r="BN24" i="1"/>
  <c r="BL24" i="1"/>
  <c r="BJ24" i="1"/>
  <c r="BH24" i="1"/>
  <c r="BF24" i="1"/>
  <c r="BD24" i="1"/>
  <c r="BB24" i="1"/>
  <c r="AZ24" i="1"/>
  <c r="AX24" i="1"/>
  <c r="AV24" i="1"/>
  <c r="AT24" i="1"/>
  <c r="AR24" i="1"/>
  <c r="AP24" i="1"/>
  <c r="AN24" i="1"/>
  <c r="AL24" i="1"/>
  <c r="AJ24" i="1"/>
  <c r="AH24" i="1"/>
  <c r="AF24" i="1"/>
  <c r="AD24" i="1"/>
  <c r="AB24" i="1"/>
  <c r="Z24" i="1"/>
  <c r="X24" i="1"/>
  <c r="V24" i="1"/>
  <c r="T24" i="1"/>
  <c r="R24" i="1"/>
  <c r="P24" i="1"/>
  <c r="N24" i="1"/>
  <c r="L24" i="1"/>
  <c r="J24" i="1"/>
  <c r="H24" i="1"/>
  <c r="F24" i="1"/>
  <c r="D24" i="1"/>
  <c r="EO18" i="1"/>
  <c r="EN18" i="1"/>
  <c r="EM18" i="1"/>
  <c r="EL18" i="1"/>
  <c r="EK18" i="1"/>
  <c r="EJ18" i="1"/>
  <c r="EI18" i="1"/>
  <c r="EH18" i="1"/>
  <c r="EG18" i="1"/>
  <c r="EF18" i="1"/>
  <c r="EE18" i="1"/>
  <c r="ED18" i="1"/>
  <c r="EC18" i="1"/>
  <c r="EB18" i="1"/>
  <c r="EA18" i="1"/>
  <c r="DZ18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D18" i="1"/>
  <c r="EO17" i="1"/>
  <c r="EO19" i="1" s="1"/>
  <c r="EO20" i="1" s="1"/>
  <c r="EN17" i="1"/>
  <c r="EM17" i="1"/>
  <c r="EM19" i="1" s="1"/>
  <c r="EM20" i="1" s="1"/>
  <c r="EL17" i="1"/>
  <c r="EK17" i="1"/>
  <c r="EK19" i="1" s="1"/>
  <c r="EK20" i="1" s="1"/>
  <c r="EJ17" i="1"/>
  <c r="EI17" i="1"/>
  <c r="EI19" i="1" s="1"/>
  <c r="EI20" i="1" s="1"/>
  <c r="EH17" i="1"/>
  <c r="EG17" i="1"/>
  <c r="EG19" i="1" s="1"/>
  <c r="EG20" i="1" s="1"/>
  <c r="EF17" i="1"/>
  <c r="EE17" i="1"/>
  <c r="EE19" i="1" s="1"/>
  <c r="EE20" i="1" s="1"/>
  <c r="ED17" i="1"/>
  <c r="EC17" i="1"/>
  <c r="EC19" i="1" s="1"/>
  <c r="EC20" i="1" s="1"/>
  <c r="EB17" i="1"/>
  <c r="EA17" i="1"/>
  <c r="EA19" i="1" s="1"/>
  <c r="EA20" i="1" s="1"/>
  <c r="DZ17" i="1"/>
  <c r="DY17" i="1"/>
  <c r="DY19" i="1" s="1"/>
  <c r="DY20" i="1" s="1"/>
  <c r="DX17" i="1"/>
  <c r="DW17" i="1"/>
  <c r="DW19" i="1" s="1"/>
  <c r="DW20" i="1" s="1"/>
  <c r="DV17" i="1"/>
  <c r="DU17" i="1"/>
  <c r="DU19" i="1" s="1"/>
  <c r="DU20" i="1" s="1"/>
  <c r="DT17" i="1"/>
  <c r="DS17" i="1"/>
  <c r="DS19" i="1" s="1"/>
  <c r="DS20" i="1" s="1"/>
  <c r="DR17" i="1"/>
  <c r="DQ17" i="1"/>
  <c r="DQ19" i="1" s="1"/>
  <c r="DQ20" i="1" s="1"/>
  <c r="DP17" i="1"/>
  <c r="DO17" i="1"/>
  <c r="DO19" i="1" s="1"/>
  <c r="DO20" i="1" s="1"/>
  <c r="DN17" i="1"/>
  <c r="DM17" i="1"/>
  <c r="DM19" i="1" s="1"/>
  <c r="DM20" i="1" s="1"/>
  <c r="DL17" i="1"/>
  <c r="DK17" i="1"/>
  <c r="DK19" i="1" s="1"/>
  <c r="DK20" i="1" s="1"/>
  <c r="DJ17" i="1"/>
  <c r="DI17" i="1"/>
  <c r="DI19" i="1" s="1"/>
  <c r="DI20" i="1" s="1"/>
  <c r="DH17" i="1"/>
  <c r="DG17" i="1"/>
  <c r="DG19" i="1" s="1"/>
  <c r="DG20" i="1" s="1"/>
  <c r="DF17" i="1"/>
  <c r="DE17" i="1"/>
  <c r="DE19" i="1" s="1"/>
  <c r="DE20" i="1" s="1"/>
  <c r="DD17" i="1"/>
  <c r="DC17" i="1"/>
  <c r="DC19" i="1" s="1"/>
  <c r="DC20" i="1" s="1"/>
  <c r="DB17" i="1"/>
  <c r="DA17" i="1"/>
  <c r="DA19" i="1" s="1"/>
  <c r="DA20" i="1" s="1"/>
  <c r="CZ17" i="1"/>
  <c r="CY17" i="1"/>
  <c r="CY19" i="1" s="1"/>
  <c r="CY20" i="1" s="1"/>
  <c r="CX17" i="1"/>
  <c r="CW17" i="1"/>
  <c r="CW19" i="1" s="1"/>
  <c r="CW20" i="1" s="1"/>
  <c r="CV17" i="1"/>
  <c r="CU17" i="1"/>
  <c r="CU19" i="1" s="1"/>
  <c r="CU20" i="1" s="1"/>
  <c r="CT17" i="1"/>
  <c r="CS17" i="1"/>
  <c r="CS19" i="1" s="1"/>
  <c r="CS20" i="1" s="1"/>
  <c r="CR17" i="1"/>
  <c r="CQ17" i="1"/>
  <c r="CQ19" i="1" s="1"/>
  <c r="CQ20" i="1" s="1"/>
  <c r="CP17" i="1"/>
  <c r="CO17" i="1"/>
  <c r="CO19" i="1" s="1"/>
  <c r="CO20" i="1" s="1"/>
  <c r="CN17" i="1"/>
  <c r="CM17" i="1"/>
  <c r="CM19" i="1" s="1"/>
  <c r="CM20" i="1" s="1"/>
  <c r="CL17" i="1"/>
  <c r="CK17" i="1"/>
  <c r="CK19" i="1" s="1"/>
  <c r="CK20" i="1" s="1"/>
  <c r="CJ17" i="1"/>
  <c r="CI17" i="1"/>
  <c r="CI19" i="1" s="1"/>
  <c r="CI20" i="1" s="1"/>
  <c r="CH17" i="1"/>
  <c r="CG17" i="1"/>
  <c r="CG19" i="1" s="1"/>
  <c r="CG20" i="1" s="1"/>
  <c r="CF17" i="1"/>
  <c r="CE17" i="1"/>
  <c r="CE19" i="1" s="1"/>
  <c r="CE20" i="1" s="1"/>
  <c r="CD17" i="1"/>
  <c r="CC17" i="1"/>
  <c r="CC19" i="1" s="1"/>
  <c r="CC20" i="1" s="1"/>
  <c r="CB17" i="1"/>
  <c r="CA17" i="1"/>
  <c r="CA19" i="1" s="1"/>
  <c r="CA20" i="1" s="1"/>
  <c r="BZ17" i="1"/>
  <c r="BY17" i="1"/>
  <c r="BY19" i="1" s="1"/>
  <c r="BY20" i="1" s="1"/>
  <c r="BX17" i="1"/>
  <c r="BW17" i="1"/>
  <c r="BW19" i="1" s="1"/>
  <c r="BW20" i="1" s="1"/>
  <c r="BV17" i="1"/>
  <c r="BU17" i="1"/>
  <c r="BU19" i="1" s="1"/>
  <c r="BU20" i="1" s="1"/>
  <c r="BT17" i="1"/>
  <c r="BS17" i="1"/>
  <c r="BS19" i="1" s="1"/>
  <c r="BS20" i="1" s="1"/>
  <c r="BR17" i="1"/>
  <c r="BQ17" i="1"/>
  <c r="BQ19" i="1" s="1"/>
  <c r="BQ20" i="1" s="1"/>
  <c r="BP17" i="1"/>
  <c r="BO17" i="1"/>
  <c r="BO19" i="1" s="1"/>
  <c r="BO20" i="1" s="1"/>
  <c r="BN17" i="1"/>
  <c r="BM17" i="1"/>
  <c r="BM19" i="1" s="1"/>
  <c r="BM20" i="1" s="1"/>
  <c r="BL17" i="1"/>
  <c r="BK17" i="1"/>
  <c r="BK19" i="1" s="1"/>
  <c r="BK20" i="1" s="1"/>
  <c r="BJ17" i="1"/>
  <c r="BI17" i="1"/>
  <c r="BI19" i="1" s="1"/>
  <c r="BI20" i="1" s="1"/>
  <c r="BH17" i="1"/>
  <c r="BG17" i="1"/>
  <c r="BG19" i="1" s="1"/>
  <c r="BG20" i="1" s="1"/>
  <c r="BF17" i="1"/>
  <c r="BE17" i="1"/>
  <c r="BE19" i="1" s="1"/>
  <c r="BE20" i="1" s="1"/>
  <c r="BD17" i="1"/>
  <c r="BC17" i="1"/>
  <c r="BC19" i="1" s="1"/>
  <c r="BC20" i="1" s="1"/>
  <c r="BB17" i="1"/>
  <c r="BA17" i="1"/>
  <c r="BA19" i="1" s="1"/>
  <c r="BA20" i="1" s="1"/>
  <c r="AZ17" i="1"/>
  <c r="AY17" i="1"/>
  <c r="AY19" i="1" s="1"/>
  <c r="AY20" i="1" s="1"/>
  <c r="AX17" i="1"/>
  <c r="AW17" i="1"/>
  <c r="AW19" i="1" s="1"/>
  <c r="AW20" i="1" s="1"/>
  <c r="AV17" i="1"/>
  <c r="AU17" i="1"/>
  <c r="AU19" i="1" s="1"/>
  <c r="AU20" i="1" s="1"/>
  <c r="AT17" i="1"/>
  <c r="AS17" i="1"/>
  <c r="AS19" i="1" s="1"/>
  <c r="AS20" i="1" s="1"/>
  <c r="AR17" i="1"/>
  <c r="AQ17" i="1"/>
  <c r="AQ19" i="1" s="1"/>
  <c r="AQ20" i="1" s="1"/>
  <c r="AP17" i="1"/>
  <c r="AO17" i="1"/>
  <c r="AO19" i="1" s="1"/>
  <c r="AO20" i="1" s="1"/>
  <c r="AN17" i="1"/>
  <c r="AM17" i="1"/>
  <c r="AM19" i="1" s="1"/>
  <c r="AM20" i="1" s="1"/>
  <c r="AL17" i="1"/>
  <c r="AK17" i="1"/>
  <c r="AK19" i="1" s="1"/>
  <c r="AK20" i="1" s="1"/>
  <c r="AJ17" i="1"/>
  <c r="AI17" i="1"/>
  <c r="AI19" i="1" s="1"/>
  <c r="AI20" i="1" s="1"/>
  <c r="AH17" i="1"/>
  <c r="AG17" i="1"/>
  <c r="AG19" i="1" s="1"/>
  <c r="AG20" i="1" s="1"/>
  <c r="AF17" i="1"/>
  <c r="AE17" i="1"/>
  <c r="AE19" i="1" s="1"/>
  <c r="AE20" i="1" s="1"/>
  <c r="AD17" i="1"/>
  <c r="AC17" i="1"/>
  <c r="AC19" i="1" s="1"/>
  <c r="AC20" i="1" s="1"/>
  <c r="AB17" i="1"/>
  <c r="AA17" i="1"/>
  <c r="AA19" i="1" s="1"/>
  <c r="AA20" i="1" s="1"/>
  <c r="Z17" i="1"/>
  <c r="Y17" i="1"/>
  <c r="Y19" i="1" s="1"/>
  <c r="Y20" i="1" s="1"/>
  <c r="X17" i="1"/>
  <c r="W17" i="1"/>
  <c r="W19" i="1" s="1"/>
  <c r="W20" i="1" s="1"/>
  <c r="V17" i="1"/>
  <c r="U17" i="1"/>
  <c r="U19" i="1" s="1"/>
  <c r="U20" i="1" s="1"/>
  <c r="T17" i="1"/>
  <c r="S17" i="1"/>
  <c r="S19" i="1" s="1"/>
  <c r="S20" i="1" s="1"/>
  <c r="R17" i="1"/>
  <c r="Q17" i="1"/>
  <c r="Q19" i="1" s="1"/>
  <c r="Q20" i="1" s="1"/>
  <c r="P17" i="1"/>
  <c r="O17" i="1"/>
  <c r="O19" i="1" s="1"/>
  <c r="O20" i="1" s="1"/>
  <c r="N17" i="1"/>
  <c r="M17" i="1"/>
  <c r="M19" i="1" s="1"/>
  <c r="M20" i="1" s="1"/>
  <c r="L17" i="1"/>
  <c r="K17" i="1"/>
  <c r="K19" i="1" s="1"/>
  <c r="K20" i="1" s="1"/>
  <c r="J17" i="1"/>
  <c r="I17" i="1"/>
  <c r="I19" i="1" s="1"/>
  <c r="I20" i="1" s="1"/>
  <c r="H17" i="1"/>
  <c r="G17" i="1"/>
  <c r="G19" i="1" s="1"/>
  <c r="G20" i="1" s="1"/>
  <c r="F17" i="1"/>
  <c r="E17" i="1"/>
  <c r="E19" i="1" s="1"/>
  <c r="E20" i="1" s="1"/>
  <c r="D17" i="1"/>
  <c r="EL24" i="1" l="1"/>
  <c r="EN24" i="1"/>
  <c r="EH24" i="1"/>
  <c r="EF24" i="1"/>
  <c r="EB24" i="1"/>
  <c r="DX51" i="1" s="1"/>
  <c r="D32" i="1"/>
  <c r="I4" i="4"/>
  <c r="I4" i="9"/>
  <c r="I4" i="5"/>
  <c r="N51" i="1"/>
  <c r="Z51" i="1"/>
  <c r="AL51" i="1"/>
  <c r="AX51" i="1"/>
  <c r="BJ51" i="1"/>
  <c r="BV51" i="1"/>
  <c r="CH51" i="1"/>
  <c r="CT51" i="1"/>
  <c r="DF51" i="1"/>
  <c r="DR51" i="1"/>
  <c r="H51" i="1"/>
  <c r="T51" i="1"/>
  <c r="AF51" i="1"/>
  <c r="AR51" i="1"/>
  <c r="BD51" i="1"/>
  <c r="BP51" i="1"/>
  <c r="CB51" i="1"/>
  <c r="CN51" i="1"/>
  <c r="CZ51" i="1"/>
  <c r="DL51" i="1"/>
  <c r="F42" i="1"/>
  <c r="F32" i="1"/>
  <c r="F28" i="1"/>
  <c r="F19" i="1"/>
  <c r="J42" i="1"/>
  <c r="J32" i="1"/>
  <c r="J28" i="1"/>
  <c r="J19" i="1"/>
  <c r="P42" i="1"/>
  <c r="P28" i="1"/>
  <c r="P32" i="1"/>
  <c r="P19" i="1"/>
  <c r="T28" i="1"/>
  <c r="T42" i="1"/>
  <c r="T32" i="1"/>
  <c r="T19" i="1"/>
  <c r="X42" i="1"/>
  <c r="X28" i="1"/>
  <c r="X32" i="1"/>
  <c r="X19" i="1"/>
  <c r="AB28" i="1"/>
  <c r="AB42" i="1"/>
  <c r="AB32" i="1"/>
  <c r="AB19" i="1"/>
  <c r="D28" i="1"/>
  <c r="D42" i="1"/>
  <c r="D19" i="1"/>
  <c r="H42" i="1"/>
  <c r="H28" i="1"/>
  <c r="H32" i="1"/>
  <c r="H19" i="1"/>
  <c r="L28" i="1"/>
  <c r="L42" i="1"/>
  <c r="L32" i="1"/>
  <c r="L19" i="1"/>
  <c r="N42" i="1"/>
  <c r="N32" i="1"/>
  <c r="N28" i="1"/>
  <c r="N19" i="1"/>
  <c r="R42" i="1"/>
  <c r="R32" i="1"/>
  <c r="R28" i="1"/>
  <c r="R19" i="1"/>
  <c r="V42" i="1"/>
  <c r="V32" i="1"/>
  <c r="V28" i="1"/>
  <c r="V19" i="1"/>
  <c r="Z42" i="1"/>
  <c r="Z32" i="1"/>
  <c r="Z28" i="1"/>
  <c r="Z19" i="1"/>
  <c r="AD42" i="1"/>
  <c r="AD32" i="1"/>
  <c r="AD28" i="1"/>
  <c r="AD19" i="1"/>
  <c r="AF42" i="1"/>
  <c r="AF28" i="1"/>
  <c r="AF32" i="1"/>
  <c r="AF19" i="1"/>
  <c r="AH42" i="1"/>
  <c r="AH32" i="1"/>
  <c r="AH28" i="1"/>
  <c r="AH19" i="1"/>
  <c r="AJ28" i="1"/>
  <c r="AJ42" i="1"/>
  <c r="AJ32" i="1"/>
  <c r="AJ19" i="1"/>
  <c r="AL42" i="1"/>
  <c r="AL32" i="1"/>
  <c r="AL28" i="1"/>
  <c r="AL19" i="1"/>
  <c r="AN42" i="1"/>
  <c r="AN28" i="1"/>
  <c r="AN32" i="1"/>
  <c r="AN19" i="1"/>
  <c r="AP42" i="1"/>
  <c r="AP32" i="1"/>
  <c r="AP28" i="1"/>
  <c r="AP19" i="1"/>
  <c r="AR28" i="1"/>
  <c r="AR42" i="1"/>
  <c r="AR32" i="1"/>
  <c r="AR19" i="1"/>
  <c r="AT42" i="1"/>
  <c r="AT32" i="1"/>
  <c r="AT28" i="1"/>
  <c r="AT19" i="1"/>
  <c r="AV42" i="1"/>
  <c r="AV28" i="1"/>
  <c r="AV32" i="1"/>
  <c r="AV19" i="1"/>
  <c r="AX42" i="1"/>
  <c r="AX32" i="1"/>
  <c r="AX28" i="1"/>
  <c r="AX19" i="1"/>
  <c r="AZ28" i="1"/>
  <c r="AZ42" i="1"/>
  <c r="AZ32" i="1"/>
  <c r="AZ19" i="1"/>
  <c r="BB42" i="1"/>
  <c r="BB32" i="1"/>
  <c r="BB28" i="1"/>
  <c r="BB19" i="1"/>
  <c r="BD42" i="1"/>
  <c r="BD28" i="1"/>
  <c r="BD32" i="1"/>
  <c r="BD19" i="1"/>
  <c r="BF42" i="1"/>
  <c r="BF32" i="1"/>
  <c r="BF28" i="1"/>
  <c r="BF19" i="1"/>
  <c r="BH28" i="1"/>
  <c r="BH42" i="1"/>
  <c r="BH32" i="1"/>
  <c r="BH19" i="1"/>
  <c r="BJ42" i="1"/>
  <c r="BJ32" i="1"/>
  <c r="BJ28" i="1"/>
  <c r="BJ19" i="1"/>
  <c r="BL42" i="1"/>
  <c r="BL28" i="1"/>
  <c r="BL32" i="1"/>
  <c r="BL19" i="1"/>
  <c r="BN42" i="1"/>
  <c r="BN32" i="1"/>
  <c r="BN28" i="1"/>
  <c r="BN19" i="1"/>
  <c r="BP28" i="1"/>
  <c r="BP42" i="1"/>
  <c r="BP32" i="1"/>
  <c r="BP19" i="1"/>
  <c r="BR42" i="1"/>
  <c r="BR32" i="1"/>
  <c r="BR28" i="1"/>
  <c r="BR19" i="1"/>
  <c r="BT42" i="1"/>
  <c r="BT28" i="1"/>
  <c r="BT32" i="1"/>
  <c r="BT19" i="1"/>
  <c r="BV42" i="1"/>
  <c r="BV32" i="1"/>
  <c r="BV28" i="1"/>
  <c r="BV19" i="1"/>
  <c r="BX28" i="1"/>
  <c r="BX42" i="1"/>
  <c r="BX32" i="1"/>
  <c r="BX19" i="1"/>
  <c r="BZ42" i="1"/>
  <c r="BZ32" i="1"/>
  <c r="BZ28" i="1"/>
  <c r="BZ19" i="1"/>
  <c r="CB42" i="1"/>
  <c r="CB28" i="1"/>
  <c r="CB32" i="1"/>
  <c r="CB19" i="1"/>
  <c r="CD42" i="1"/>
  <c r="CD32" i="1"/>
  <c r="CD28" i="1"/>
  <c r="CD19" i="1"/>
  <c r="CF28" i="1"/>
  <c r="CF42" i="1"/>
  <c r="CF32" i="1"/>
  <c r="CF19" i="1"/>
  <c r="CH42" i="1"/>
  <c r="CH32" i="1"/>
  <c r="CH28" i="1"/>
  <c r="CH19" i="1"/>
  <c r="CJ42" i="1"/>
  <c r="CJ28" i="1"/>
  <c r="CJ32" i="1"/>
  <c r="CJ19" i="1"/>
  <c r="CL42" i="1"/>
  <c r="CL32" i="1"/>
  <c r="CL28" i="1"/>
  <c r="CL19" i="1"/>
  <c r="CN42" i="1"/>
  <c r="CN28" i="1"/>
  <c r="CN32" i="1"/>
  <c r="CN19" i="1"/>
  <c r="CP42" i="1"/>
  <c r="CP32" i="1"/>
  <c r="CP28" i="1"/>
  <c r="CP19" i="1"/>
  <c r="CR28" i="1"/>
  <c r="CR42" i="1"/>
  <c r="CR32" i="1"/>
  <c r="CR19" i="1"/>
  <c r="CT42" i="1"/>
  <c r="CT32" i="1"/>
  <c r="CT28" i="1"/>
  <c r="CT19" i="1"/>
  <c r="CV42" i="1"/>
  <c r="CV28" i="1"/>
  <c r="CV32" i="1"/>
  <c r="CV19" i="1"/>
  <c r="CX42" i="1"/>
  <c r="CX32" i="1"/>
  <c r="CX28" i="1"/>
  <c r="CX19" i="1"/>
  <c r="CZ42" i="1"/>
  <c r="CZ28" i="1"/>
  <c r="CZ32" i="1"/>
  <c r="CZ19" i="1"/>
  <c r="DB42" i="1"/>
  <c r="DB32" i="1"/>
  <c r="DB28" i="1"/>
  <c r="DB19" i="1"/>
  <c r="DD42" i="1"/>
  <c r="DD28" i="1"/>
  <c r="DD32" i="1"/>
  <c r="DD19" i="1"/>
  <c r="DF42" i="1"/>
  <c r="DF32" i="1"/>
  <c r="DF28" i="1"/>
  <c r="DF19" i="1"/>
  <c r="DH28" i="1"/>
  <c r="DH42" i="1"/>
  <c r="DH32" i="1"/>
  <c r="DH19" i="1"/>
  <c r="DJ42" i="1"/>
  <c r="DJ32" i="1"/>
  <c r="DJ28" i="1"/>
  <c r="DJ19" i="1"/>
  <c r="DL42" i="1"/>
  <c r="DL28" i="1"/>
  <c r="DL32" i="1"/>
  <c r="DL19" i="1"/>
  <c r="DN42" i="1"/>
  <c r="DN32" i="1"/>
  <c r="DN28" i="1"/>
  <c r="DN19" i="1"/>
  <c r="DP42" i="1"/>
  <c r="DP28" i="1"/>
  <c r="DP32" i="1"/>
  <c r="DP19" i="1"/>
  <c r="DR42" i="1"/>
  <c r="DR32" i="1"/>
  <c r="DR28" i="1"/>
  <c r="DR19" i="1"/>
  <c r="DT42" i="1"/>
  <c r="DT28" i="1"/>
  <c r="DT32" i="1"/>
  <c r="DT19" i="1"/>
  <c r="DV42" i="1"/>
  <c r="DV32" i="1"/>
  <c r="DV28" i="1"/>
  <c r="DV19" i="1"/>
  <c r="DX28" i="1"/>
  <c r="DX42" i="1"/>
  <c r="DX32" i="1"/>
  <c r="DX19" i="1"/>
  <c r="DZ42" i="1"/>
  <c r="DZ32" i="1"/>
  <c r="DZ28" i="1"/>
  <c r="DZ19" i="1"/>
  <c r="EB42" i="1"/>
  <c r="EB28" i="1"/>
  <c r="EB32" i="1"/>
  <c r="EB19" i="1"/>
  <c r="ED42" i="1"/>
  <c r="ED32" i="1"/>
  <c r="ED28" i="1"/>
  <c r="ED19" i="1"/>
  <c r="EF42" i="1"/>
  <c r="EF28" i="1"/>
  <c r="EF32" i="1"/>
  <c r="EF19" i="1"/>
  <c r="EH42" i="1"/>
  <c r="EH32" i="1"/>
  <c r="EH28" i="1"/>
  <c r="EH19" i="1"/>
  <c r="EJ42" i="1"/>
  <c r="EJ28" i="1"/>
  <c r="EJ32" i="1"/>
  <c r="EJ19" i="1"/>
  <c r="EL42" i="1"/>
  <c r="EL32" i="1"/>
  <c r="EL28" i="1"/>
  <c r="EL19" i="1"/>
  <c r="EN28" i="1"/>
  <c r="EN42" i="1"/>
  <c r="EN32" i="1"/>
  <c r="EN19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AD48" i="1"/>
  <c r="AF48" i="1"/>
  <c r="AH48" i="1"/>
  <c r="AJ48" i="1"/>
  <c r="AL48" i="1"/>
  <c r="AN48" i="1"/>
  <c r="AP48" i="1"/>
  <c r="AR48" i="1"/>
  <c r="AT48" i="1"/>
  <c r="AV48" i="1"/>
  <c r="AX48" i="1"/>
  <c r="AZ48" i="1"/>
  <c r="BB48" i="1"/>
  <c r="BD48" i="1"/>
  <c r="BF48" i="1"/>
  <c r="BH48" i="1"/>
  <c r="BJ48" i="1"/>
  <c r="BL48" i="1"/>
  <c r="BN48" i="1"/>
  <c r="BP48" i="1"/>
  <c r="BR48" i="1"/>
  <c r="BT48" i="1"/>
  <c r="BV48" i="1"/>
  <c r="BX48" i="1"/>
  <c r="BZ48" i="1"/>
  <c r="CB48" i="1"/>
  <c r="CD48" i="1"/>
  <c r="CF48" i="1"/>
  <c r="CH48" i="1"/>
  <c r="CJ48" i="1"/>
  <c r="CL48" i="1"/>
  <c r="CN48" i="1"/>
  <c r="CP48" i="1"/>
  <c r="CR48" i="1"/>
  <c r="CT48" i="1"/>
  <c r="CV48" i="1"/>
  <c r="CX48" i="1"/>
  <c r="CZ48" i="1"/>
  <c r="DB48" i="1"/>
  <c r="DD48" i="1"/>
  <c r="DF48" i="1"/>
  <c r="DH48" i="1"/>
  <c r="DJ48" i="1"/>
  <c r="DL48" i="1"/>
  <c r="DN48" i="1"/>
  <c r="DP48" i="1"/>
  <c r="DR48" i="1"/>
  <c r="DT48" i="1"/>
  <c r="DV48" i="1"/>
  <c r="DX48" i="1"/>
  <c r="DZ48" i="1"/>
  <c r="EB48" i="1"/>
  <c r="ED48" i="1"/>
  <c r="EF48" i="1"/>
  <c r="EH48" i="1"/>
  <c r="EJ48" i="1"/>
  <c r="EL48" i="1"/>
  <c r="EN48" i="1"/>
  <c r="ED51" i="1" l="1"/>
  <c r="Z68" i="1" s="1"/>
  <c r="EJ51" i="1"/>
  <c r="AF68" i="1" s="1"/>
  <c r="J4" i="5"/>
  <c r="J4" i="4"/>
  <c r="J4" i="9"/>
  <c r="T68" i="1"/>
  <c r="N68" i="1"/>
  <c r="H68" i="1"/>
  <c r="H61" i="1"/>
  <c r="CN65" i="1"/>
  <c r="AF65" i="1"/>
  <c r="EJ65" i="1"/>
  <c r="DL65" i="1"/>
  <c r="CB65" i="1"/>
  <c r="BD65" i="1"/>
  <c r="AR65" i="1"/>
  <c r="ED65" i="1"/>
  <c r="DR65" i="1"/>
  <c r="DF65" i="1"/>
  <c r="CT65" i="1"/>
  <c r="CH65" i="1"/>
  <c r="BV65" i="1"/>
  <c r="BJ65" i="1"/>
  <c r="AX65" i="1"/>
  <c r="AL65" i="1"/>
  <c r="Z65" i="1"/>
  <c r="N65" i="1"/>
  <c r="EJ53" i="1"/>
  <c r="ED55" i="1"/>
  <c r="DX61" i="1"/>
  <c r="DR55" i="1"/>
  <c r="DL53" i="1"/>
  <c r="DF55" i="1"/>
  <c r="CZ53" i="1"/>
  <c r="CT55" i="1"/>
  <c r="CN53" i="1"/>
  <c r="CH55" i="1"/>
  <c r="CB53" i="1"/>
  <c r="BV55" i="1"/>
  <c r="BP61" i="1"/>
  <c r="BJ55" i="1"/>
  <c r="BD53" i="1"/>
  <c r="AX55" i="1"/>
  <c r="AR61" i="1"/>
  <c r="AL55" i="1"/>
  <c r="AF53" i="1"/>
  <c r="Z55" i="1"/>
  <c r="N55" i="1"/>
  <c r="H53" i="1"/>
  <c r="T61" i="1"/>
  <c r="DX65" i="1"/>
  <c r="CZ65" i="1"/>
  <c r="BP65" i="1"/>
  <c r="T65" i="1"/>
  <c r="H65" i="1"/>
  <c r="EJ55" i="1"/>
  <c r="EJ61" i="1"/>
  <c r="ED53" i="1"/>
  <c r="ED61" i="1"/>
  <c r="DX55" i="1"/>
  <c r="DX53" i="1"/>
  <c r="DR53" i="1"/>
  <c r="DR61" i="1"/>
  <c r="DL55" i="1"/>
  <c r="DL61" i="1"/>
  <c r="DF53" i="1"/>
  <c r="DF61" i="1"/>
  <c r="CZ55" i="1"/>
  <c r="CZ61" i="1"/>
  <c r="CT53" i="1"/>
  <c r="CT61" i="1"/>
  <c r="CN55" i="1"/>
  <c r="CN61" i="1"/>
  <c r="CH53" i="1"/>
  <c r="CH61" i="1"/>
  <c r="CB55" i="1"/>
  <c r="CB61" i="1"/>
  <c r="BV53" i="1"/>
  <c r="BV61" i="1"/>
  <c r="BP55" i="1"/>
  <c r="BP53" i="1"/>
  <c r="BJ53" i="1"/>
  <c r="BJ61" i="1"/>
  <c r="BD55" i="1"/>
  <c r="BD61" i="1"/>
  <c r="AX53" i="1"/>
  <c r="AX61" i="1"/>
  <c r="AR55" i="1"/>
  <c r="AR53" i="1"/>
  <c r="AL53" i="1"/>
  <c r="AL61" i="1"/>
  <c r="AF55" i="1"/>
  <c r="AF61" i="1"/>
  <c r="Z53" i="1"/>
  <c r="Z61" i="1"/>
  <c r="N53" i="1"/>
  <c r="N61" i="1"/>
  <c r="H55" i="1"/>
  <c r="T55" i="1"/>
  <c r="T53" i="1"/>
  <c r="EN45" i="1"/>
  <c r="EN35" i="1"/>
  <c r="EN20" i="1"/>
  <c r="EN38" i="1" s="1"/>
  <c r="EL45" i="1"/>
  <c r="EL35" i="1"/>
  <c r="EL20" i="1"/>
  <c r="EL38" i="1" s="1"/>
  <c r="EJ45" i="1"/>
  <c r="EJ35" i="1"/>
  <c r="EJ20" i="1"/>
  <c r="EJ38" i="1" s="1"/>
  <c r="EH45" i="1"/>
  <c r="EH35" i="1"/>
  <c r="EH20" i="1"/>
  <c r="EH38" i="1" s="1"/>
  <c r="EF45" i="1"/>
  <c r="EF35" i="1"/>
  <c r="EF20" i="1"/>
  <c r="EF38" i="1" s="1"/>
  <c r="ED45" i="1"/>
  <c r="ED35" i="1"/>
  <c r="ED20" i="1"/>
  <c r="ED38" i="1" s="1"/>
  <c r="EB45" i="1"/>
  <c r="EB35" i="1"/>
  <c r="EB20" i="1"/>
  <c r="EB38" i="1" s="1"/>
  <c r="DZ45" i="1"/>
  <c r="DZ35" i="1"/>
  <c r="DZ20" i="1"/>
  <c r="DZ38" i="1" s="1"/>
  <c r="DX45" i="1"/>
  <c r="DX35" i="1"/>
  <c r="DX20" i="1"/>
  <c r="DX38" i="1" s="1"/>
  <c r="DV45" i="1"/>
  <c r="DV35" i="1"/>
  <c r="DV20" i="1"/>
  <c r="DV38" i="1" s="1"/>
  <c r="DT45" i="1"/>
  <c r="DT35" i="1"/>
  <c r="DT20" i="1"/>
  <c r="DT38" i="1" s="1"/>
  <c r="DR45" i="1"/>
  <c r="DR35" i="1"/>
  <c r="DR20" i="1"/>
  <c r="DR38" i="1" s="1"/>
  <c r="DP45" i="1"/>
  <c r="DP35" i="1"/>
  <c r="DP20" i="1"/>
  <c r="DP38" i="1" s="1"/>
  <c r="DN45" i="1"/>
  <c r="DN35" i="1"/>
  <c r="DN20" i="1"/>
  <c r="DN38" i="1" s="1"/>
  <c r="DL45" i="1"/>
  <c r="DL35" i="1"/>
  <c r="DL20" i="1"/>
  <c r="DL38" i="1" s="1"/>
  <c r="DJ45" i="1"/>
  <c r="DJ35" i="1"/>
  <c r="DJ20" i="1"/>
  <c r="DJ38" i="1" s="1"/>
  <c r="DH45" i="1"/>
  <c r="DH35" i="1"/>
  <c r="DH20" i="1"/>
  <c r="DH38" i="1" s="1"/>
  <c r="DF45" i="1"/>
  <c r="DF35" i="1"/>
  <c r="DF20" i="1"/>
  <c r="DF38" i="1" s="1"/>
  <c r="DD45" i="1"/>
  <c r="DD35" i="1"/>
  <c r="DD20" i="1"/>
  <c r="DD38" i="1" s="1"/>
  <c r="DB45" i="1"/>
  <c r="DB35" i="1"/>
  <c r="DB20" i="1"/>
  <c r="DB38" i="1" s="1"/>
  <c r="CZ45" i="1"/>
  <c r="CZ35" i="1"/>
  <c r="CZ20" i="1"/>
  <c r="CZ38" i="1" s="1"/>
  <c r="CX45" i="1"/>
  <c r="CX35" i="1"/>
  <c r="CX20" i="1"/>
  <c r="CX38" i="1" s="1"/>
  <c r="CV45" i="1"/>
  <c r="CV35" i="1"/>
  <c r="CV20" i="1"/>
  <c r="CV38" i="1" s="1"/>
  <c r="CT45" i="1"/>
  <c r="CT35" i="1"/>
  <c r="CT20" i="1"/>
  <c r="CT38" i="1" s="1"/>
  <c r="CR45" i="1"/>
  <c r="CR35" i="1"/>
  <c r="CR20" i="1"/>
  <c r="CR38" i="1" s="1"/>
  <c r="CP45" i="1"/>
  <c r="CP35" i="1"/>
  <c r="CP20" i="1"/>
  <c r="CP38" i="1" s="1"/>
  <c r="CN45" i="1"/>
  <c r="CN35" i="1"/>
  <c r="CN20" i="1"/>
  <c r="CN38" i="1" s="1"/>
  <c r="CL45" i="1"/>
  <c r="CL35" i="1"/>
  <c r="CL20" i="1"/>
  <c r="CL38" i="1" s="1"/>
  <c r="CJ45" i="1"/>
  <c r="CJ35" i="1"/>
  <c r="CJ20" i="1"/>
  <c r="CJ38" i="1" s="1"/>
  <c r="CH45" i="1"/>
  <c r="CH35" i="1"/>
  <c r="CH20" i="1"/>
  <c r="CH38" i="1" s="1"/>
  <c r="CF45" i="1"/>
  <c r="CF35" i="1"/>
  <c r="CF20" i="1"/>
  <c r="CF38" i="1" s="1"/>
  <c r="CD45" i="1"/>
  <c r="CD35" i="1"/>
  <c r="CD20" i="1"/>
  <c r="CD38" i="1" s="1"/>
  <c r="CB45" i="1"/>
  <c r="CB35" i="1"/>
  <c r="CB20" i="1"/>
  <c r="CB38" i="1" s="1"/>
  <c r="BZ45" i="1"/>
  <c r="BZ35" i="1"/>
  <c r="BZ20" i="1"/>
  <c r="BZ38" i="1" s="1"/>
  <c r="BX45" i="1"/>
  <c r="BX35" i="1"/>
  <c r="BX20" i="1"/>
  <c r="BX38" i="1" s="1"/>
  <c r="BV45" i="1"/>
  <c r="BV35" i="1"/>
  <c r="BV20" i="1"/>
  <c r="BV38" i="1" s="1"/>
  <c r="BT45" i="1"/>
  <c r="BT35" i="1"/>
  <c r="BT20" i="1"/>
  <c r="BT38" i="1" s="1"/>
  <c r="BR45" i="1"/>
  <c r="BR35" i="1"/>
  <c r="BR20" i="1"/>
  <c r="BR38" i="1" s="1"/>
  <c r="BP45" i="1"/>
  <c r="BP35" i="1"/>
  <c r="BP20" i="1"/>
  <c r="BP38" i="1" s="1"/>
  <c r="BN45" i="1"/>
  <c r="BN35" i="1"/>
  <c r="BN20" i="1"/>
  <c r="BN38" i="1" s="1"/>
  <c r="BL45" i="1"/>
  <c r="BL35" i="1"/>
  <c r="BL20" i="1"/>
  <c r="BL38" i="1" s="1"/>
  <c r="BJ45" i="1"/>
  <c r="BJ35" i="1"/>
  <c r="BJ20" i="1"/>
  <c r="BJ38" i="1" s="1"/>
  <c r="BH45" i="1"/>
  <c r="BH35" i="1"/>
  <c r="BH20" i="1"/>
  <c r="BH38" i="1" s="1"/>
  <c r="BF45" i="1"/>
  <c r="BF35" i="1"/>
  <c r="BF20" i="1"/>
  <c r="BF38" i="1" s="1"/>
  <c r="BD45" i="1"/>
  <c r="BD35" i="1"/>
  <c r="BD20" i="1"/>
  <c r="BD38" i="1" s="1"/>
  <c r="BB45" i="1"/>
  <c r="BB35" i="1"/>
  <c r="BB20" i="1"/>
  <c r="BB38" i="1" s="1"/>
  <c r="AZ45" i="1"/>
  <c r="AZ35" i="1"/>
  <c r="AZ20" i="1"/>
  <c r="AZ38" i="1" s="1"/>
  <c r="AX45" i="1"/>
  <c r="AX35" i="1"/>
  <c r="AX20" i="1"/>
  <c r="AX38" i="1" s="1"/>
  <c r="AV45" i="1"/>
  <c r="AV35" i="1"/>
  <c r="AV20" i="1"/>
  <c r="AV38" i="1" s="1"/>
  <c r="AT45" i="1"/>
  <c r="AT35" i="1"/>
  <c r="AT20" i="1"/>
  <c r="AT38" i="1" s="1"/>
  <c r="AR45" i="1"/>
  <c r="AR35" i="1"/>
  <c r="AR20" i="1"/>
  <c r="AR38" i="1" s="1"/>
  <c r="AP45" i="1"/>
  <c r="AP35" i="1"/>
  <c r="AP20" i="1"/>
  <c r="AP38" i="1" s="1"/>
  <c r="AN45" i="1"/>
  <c r="AN35" i="1"/>
  <c r="AN20" i="1"/>
  <c r="AN38" i="1" s="1"/>
  <c r="AL45" i="1"/>
  <c r="AL35" i="1"/>
  <c r="AL20" i="1"/>
  <c r="AL38" i="1" s="1"/>
  <c r="AJ45" i="1"/>
  <c r="AJ35" i="1"/>
  <c r="AJ20" i="1"/>
  <c r="AJ38" i="1" s="1"/>
  <c r="AH45" i="1"/>
  <c r="AH35" i="1"/>
  <c r="AH20" i="1"/>
  <c r="AH38" i="1" s="1"/>
  <c r="AF45" i="1"/>
  <c r="AF35" i="1"/>
  <c r="AF20" i="1"/>
  <c r="AF38" i="1" s="1"/>
  <c r="AD45" i="1"/>
  <c r="AD35" i="1"/>
  <c r="AD20" i="1"/>
  <c r="AD38" i="1" s="1"/>
  <c r="Z45" i="1"/>
  <c r="Z35" i="1"/>
  <c r="Z20" i="1"/>
  <c r="Z38" i="1" s="1"/>
  <c r="V45" i="1"/>
  <c r="V35" i="1"/>
  <c r="V20" i="1"/>
  <c r="V38" i="1" s="1"/>
  <c r="R45" i="1"/>
  <c r="R35" i="1"/>
  <c r="R20" i="1"/>
  <c r="R38" i="1" s="1"/>
  <c r="N45" i="1"/>
  <c r="N35" i="1"/>
  <c r="N20" i="1"/>
  <c r="N38" i="1" s="1"/>
  <c r="L45" i="1"/>
  <c r="L35" i="1"/>
  <c r="L20" i="1"/>
  <c r="L38" i="1" s="1"/>
  <c r="H45" i="1"/>
  <c r="H35" i="1"/>
  <c r="H20" i="1"/>
  <c r="H38" i="1" s="1"/>
  <c r="D45" i="1"/>
  <c r="D35" i="1"/>
  <c r="D20" i="1"/>
  <c r="D38" i="1" s="1"/>
  <c r="AB45" i="1"/>
  <c r="AB35" i="1"/>
  <c r="AB20" i="1"/>
  <c r="AB38" i="1" s="1"/>
  <c r="X45" i="1"/>
  <c r="X35" i="1"/>
  <c r="X20" i="1"/>
  <c r="X38" i="1" s="1"/>
  <c r="T45" i="1"/>
  <c r="T35" i="1"/>
  <c r="T20" i="1"/>
  <c r="T38" i="1" s="1"/>
  <c r="P45" i="1"/>
  <c r="P35" i="1"/>
  <c r="P20" i="1"/>
  <c r="P38" i="1" s="1"/>
  <c r="J45" i="1"/>
  <c r="J35" i="1"/>
  <c r="J20" i="1"/>
  <c r="J38" i="1" s="1"/>
  <c r="F45" i="1"/>
  <c r="F35" i="1"/>
  <c r="F20" i="1"/>
  <c r="F38" i="1" s="1"/>
  <c r="Z70" i="1" l="1"/>
  <c r="Z78" i="1"/>
  <c r="AL59" i="1"/>
  <c r="AX63" i="1"/>
  <c r="BV63" i="1"/>
  <c r="CH59" i="1"/>
  <c r="CT63" i="1"/>
  <c r="K4" i="4"/>
  <c r="K4" i="9"/>
  <c r="K4" i="5"/>
  <c r="BD57" i="1"/>
  <c r="CB57" i="1"/>
  <c r="AF72" i="1"/>
  <c r="N78" i="1"/>
  <c r="DX57" i="1"/>
  <c r="DF59" i="1"/>
  <c r="DR63" i="1"/>
  <c r="ED59" i="1"/>
  <c r="H72" i="1"/>
  <c r="DR59" i="1"/>
  <c r="DL57" i="1"/>
  <c r="DF63" i="1"/>
  <c r="BJ59" i="1"/>
  <c r="AF78" i="1"/>
  <c r="Z82" i="1"/>
  <c r="CT59" i="1"/>
  <c r="BJ63" i="1"/>
  <c r="Z72" i="1"/>
  <c r="AF57" i="1"/>
  <c r="CZ57" i="1"/>
  <c r="EJ57" i="1"/>
  <c r="AF70" i="1"/>
  <c r="BP57" i="1"/>
  <c r="CN57" i="1"/>
  <c r="T82" i="1"/>
  <c r="T72" i="1"/>
  <c r="T70" i="1"/>
  <c r="CH63" i="1"/>
  <c r="AX59" i="1"/>
  <c r="N70" i="1"/>
  <c r="BV59" i="1"/>
  <c r="AR57" i="1"/>
  <c r="AL63" i="1"/>
  <c r="H82" i="1"/>
  <c r="N82" i="1"/>
  <c r="AF82" i="1"/>
  <c r="ED63" i="1"/>
  <c r="H78" i="1"/>
  <c r="T78" i="1"/>
  <c r="N72" i="1"/>
  <c r="H70" i="1"/>
  <c r="T57" i="1"/>
  <c r="AF59" i="1"/>
  <c r="AL57" i="1"/>
  <c r="AR59" i="1"/>
  <c r="AR63" i="1"/>
  <c r="AX57" i="1"/>
  <c r="BD59" i="1"/>
  <c r="BD63" i="1"/>
  <c r="BJ57" i="1"/>
  <c r="BP59" i="1"/>
  <c r="BP63" i="1"/>
  <c r="BV57" i="1"/>
  <c r="CB59" i="1"/>
  <c r="CH57" i="1"/>
  <c r="CN59" i="1"/>
  <c r="CN63" i="1"/>
  <c r="CT57" i="1"/>
  <c r="CZ59" i="1"/>
  <c r="CZ63" i="1"/>
  <c r="DF57" i="1"/>
  <c r="DL59" i="1"/>
  <c r="DL63" i="1"/>
  <c r="DR57" i="1"/>
  <c r="DX59" i="1"/>
  <c r="DX63" i="1"/>
  <c r="ED57" i="1"/>
  <c r="EJ59" i="1"/>
  <c r="CB63" i="1"/>
  <c r="AF63" i="1"/>
  <c r="EJ63" i="1"/>
  <c r="T59" i="1"/>
  <c r="T63" i="1"/>
  <c r="H57" i="1"/>
  <c r="N57" i="1"/>
  <c r="Z59" i="1"/>
  <c r="Z63" i="1"/>
  <c r="H59" i="1"/>
  <c r="H63" i="1"/>
  <c r="N59" i="1"/>
  <c r="N63" i="1"/>
  <c r="Z57" i="1"/>
  <c r="B24" i="1"/>
  <c r="B51" i="1" s="1"/>
  <c r="B68" i="1" s="1"/>
  <c r="B85" i="1" s="1"/>
  <c r="C18" i="1"/>
  <c r="C17" i="1"/>
  <c r="C19" i="1" s="1"/>
  <c r="C20" i="1" s="1"/>
  <c r="B137" i="1"/>
  <c r="B139" i="1" s="1"/>
  <c r="C158" i="1"/>
  <c r="D158" i="1" s="1"/>
  <c r="E158" i="1" s="1"/>
  <c r="F158" i="1" s="1"/>
  <c r="G158" i="1" s="1"/>
  <c r="H158" i="1" s="1"/>
  <c r="I158" i="1" s="1"/>
  <c r="J158" i="1" s="1"/>
  <c r="K158" i="1" s="1"/>
  <c r="L158" i="1" s="1"/>
  <c r="M158" i="1" s="1"/>
  <c r="N158" i="1" s="1"/>
  <c r="O158" i="1" s="1"/>
  <c r="P158" i="1" s="1"/>
  <c r="Q158" i="1" s="1"/>
  <c r="R158" i="1" s="1"/>
  <c r="S158" i="1" s="1"/>
  <c r="T158" i="1" s="1"/>
  <c r="U158" i="1" s="1"/>
  <c r="V158" i="1" s="1"/>
  <c r="W158" i="1" s="1"/>
  <c r="X158" i="1" s="1"/>
  <c r="Y158" i="1" s="1"/>
  <c r="Z158" i="1" s="1"/>
  <c r="AA158" i="1" s="1"/>
  <c r="AB158" i="1" s="1"/>
  <c r="AC158" i="1" s="1"/>
  <c r="AD158" i="1" s="1"/>
  <c r="AE158" i="1" s="1"/>
  <c r="AF158" i="1" s="1"/>
  <c r="AG158" i="1" s="1"/>
  <c r="AH158" i="1" s="1"/>
  <c r="AI158" i="1" s="1"/>
  <c r="AJ158" i="1" s="1"/>
  <c r="AK158" i="1" s="1"/>
  <c r="AL158" i="1" s="1"/>
  <c r="AM158" i="1" s="1"/>
  <c r="AN158" i="1" s="1"/>
  <c r="AO158" i="1" s="1"/>
  <c r="AP158" i="1" s="1"/>
  <c r="C136" i="1"/>
  <c r="C137" i="1" s="1"/>
  <c r="L4" i="5" l="1"/>
  <c r="L4" i="4"/>
  <c r="C159" i="1"/>
  <c r="C139" i="1"/>
  <c r="B159" i="1"/>
  <c r="L4" i="9"/>
  <c r="Z80" i="1"/>
  <c r="B120" i="1"/>
  <c r="Z76" i="1"/>
  <c r="Z74" i="1"/>
  <c r="AF74" i="1"/>
  <c r="T74" i="1"/>
  <c r="N80" i="1"/>
  <c r="N76" i="1"/>
  <c r="H74" i="1"/>
  <c r="H76" i="1"/>
  <c r="AF80" i="1"/>
  <c r="H80" i="1"/>
  <c r="T80" i="1"/>
  <c r="AF76" i="1"/>
  <c r="T76" i="1"/>
  <c r="N74" i="1"/>
  <c r="D136" i="1"/>
  <c r="D137" i="1" s="1"/>
  <c r="B185" i="1" l="1"/>
  <c r="B140" i="1"/>
  <c r="B121" i="1"/>
  <c r="D159" i="1"/>
  <c r="D139" i="1"/>
  <c r="M4" i="5"/>
  <c r="M4" i="4"/>
  <c r="M4" i="9"/>
  <c r="B6" i="4"/>
  <c r="B8" i="4" s="1"/>
  <c r="K6" i="4"/>
  <c r="K8" i="4" s="1"/>
  <c r="I6" i="4"/>
  <c r="I8" i="4" s="1"/>
  <c r="G6" i="4"/>
  <c r="G8" i="4" s="1"/>
  <c r="E6" i="4"/>
  <c r="E8" i="4" s="1"/>
  <c r="L6" i="4"/>
  <c r="L8" i="4" s="1"/>
  <c r="J6" i="4"/>
  <c r="J8" i="4" s="1"/>
  <c r="H6" i="4"/>
  <c r="H8" i="4" s="1"/>
  <c r="F6" i="4"/>
  <c r="F8" i="4" s="1"/>
  <c r="D6" i="4"/>
  <c r="D8" i="4" s="1"/>
  <c r="C6" i="4"/>
  <c r="C8" i="4" s="1"/>
  <c r="E136" i="1"/>
  <c r="E137" i="1" s="1"/>
  <c r="B186" i="1" l="1"/>
  <c r="B220" i="1" s="1"/>
  <c r="B141" i="1"/>
  <c r="N4" i="9"/>
  <c r="E159" i="1"/>
  <c r="E139" i="1"/>
  <c r="M6" i="4"/>
  <c r="M8" i="4" s="1"/>
  <c r="N4" i="4"/>
  <c r="N6" i="4" s="1"/>
  <c r="N8" i="4" s="1"/>
  <c r="N4" i="5"/>
  <c r="F136" i="1"/>
  <c r="F137" i="1" s="1"/>
  <c r="F139" i="1" s="1"/>
  <c r="C174" i="1" l="1"/>
  <c r="C171" i="1"/>
  <c r="C173" i="1"/>
  <c r="G136" i="1"/>
  <c r="G137" i="1" s="1"/>
  <c r="G159" i="1" s="1"/>
  <c r="O4" i="9"/>
  <c r="F159" i="1"/>
  <c r="O4" i="4"/>
  <c r="O6" i="4" s="1"/>
  <c r="O8" i="4" s="1"/>
  <c r="H136" i="1"/>
  <c r="H137" i="1" s="1"/>
  <c r="G139" i="1" l="1"/>
  <c r="H159" i="1"/>
  <c r="H139" i="1"/>
  <c r="P4" i="4"/>
  <c r="P6" i="4" s="1"/>
  <c r="P8" i="4" s="1"/>
  <c r="P4" i="9"/>
  <c r="I136" i="1"/>
  <c r="I137" i="1" s="1"/>
  <c r="I159" i="1" l="1"/>
  <c r="I139" i="1"/>
  <c r="Q4" i="4"/>
  <c r="Q6" i="4" s="1"/>
  <c r="Q8" i="4" s="1"/>
  <c r="Q4" i="9"/>
  <c r="J136" i="1"/>
  <c r="J137" i="1" s="1"/>
  <c r="R4" i="9" l="1"/>
  <c r="J159" i="1"/>
  <c r="J139" i="1"/>
  <c r="R4" i="4"/>
  <c r="R6" i="4" s="1"/>
  <c r="R8" i="4" s="1"/>
  <c r="K136" i="1"/>
  <c r="K137" i="1" s="1"/>
  <c r="T4" i="4" l="1"/>
  <c r="T6" i="4" s="1"/>
  <c r="T8" i="4" s="1"/>
  <c r="S4" i="4"/>
  <c r="S6" i="4" s="1"/>
  <c r="S8" i="4" s="1"/>
  <c r="K159" i="1"/>
  <c r="K139" i="1"/>
  <c r="S4" i="9"/>
  <c r="L136" i="1"/>
  <c r="L137" i="1" s="1"/>
  <c r="L159" i="1" l="1"/>
  <c r="L139" i="1"/>
  <c r="T4" i="9"/>
  <c r="M136" i="1"/>
  <c r="M137" i="1" s="1"/>
  <c r="U4" i="9" l="1"/>
  <c r="M159" i="1"/>
  <c r="M139" i="1"/>
  <c r="N136" i="1"/>
  <c r="N137" i="1" s="1"/>
  <c r="N159" i="1" l="1"/>
  <c r="N139" i="1"/>
  <c r="V4" i="9"/>
  <c r="O136" i="1"/>
  <c r="O137" i="1" s="1"/>
  <c r="O159" i="1" l="1"/>
  <c r="O139" i="1"/>
  <c r="W4" i="9"/>
  <c r="P136" i="1"/>
  <c r="P137" i="1" s="1"/>
  <c r="P159" i="1" l="1"/>
  <c r="P139" i="1"/>
  <c r="X4" i="9"/>
  <c r="Q136" i="1"/>
  <c r="Q137" i="1" s="1"/>
  <c r="Q159" i="1" l="1"/>
  <c r="Q139" i="1"/>
  <c r="Y4" i="9"/>
  <c r="R136" i="1"/>
  <c r="R137" i="1" s="1"/>
  <c r="R159" i="1" l="1"/>
  <c r="R139" i="1"/>
  <c r="Z4" i="9"/>
  <c r="S136" i="1"/>
  <c r="S137" i="1" s="1"/>
  <c r="S159" i="1" l="1"/>
  <c r="S139" i="1"/>
  <c r="AA4" i="9"/>
  <c r="T136" i="1"/>
  <c r="T137" i="1" s="1"/>
  <c r="AB4" i="9" l="1"/>
  <c r="T159" i="1"/>
  <c r="T139" i="1"/>
  <c r="U136" i="1"/>
  <c r="U137" i="1" s="1"/>
  <c r="U159" i="1" l="1"/>
  <c r="U139" i="1"/>
  <c r="AC4" i="9"/>
  <c r="V136" i="1"/>
  <c r="V137" i="1" s="1"/>
  <c r="V159" i="1" l="1"/>
  <c r="V139" i="1"/>
  <c r="AD4" i="9"/>
  <c r="W136" i="1"/>
  <c r="W137" i="1" s="1"/>
  <c r="W159" i="1" l="1"/>
  <c r="W139" i="1"/>
  <c r="AF4" i="9"/>
  <c r="AE4" i="9"/>
  <c r="X136" i="1"/>
  <c r="X137" i="1" s="1"/>
  <c r="X159" i="1" l="1"/>
  <c r="X139" i="1"/>
  <c r="Y136" i="1"/>
  <c r="Y137" i="1" s="1"/>
  <c r="Y159" i="1" l="1"/>
  <c r="Y139" i="1"/>
  <c r="Z136" i="1"/>
  <c r="Z137" i="1" s="1"/>
  <c r="Z159" i="1" l="1"/>
  <c r="Z139" i="1"/>
  <c r="AA136" i="1"/>
  <c r="AA137" i="1" s="1"/>
  <c r="AA159" i="1" l="1"/>
  <c r="AA139" i="1"/>
  <c r="AB136" i="1"/>
  <c r="AB137" i="1" s="1"/>
  <c r="AB159" i="1" l="1"/>
  <c r="AB139" i="1"/>
  <c r="AC136" i="1"/>
  <c r="AC137" i="1" s="1"/>
  <c r="AC159" i="1" l="1"/>
  <c r="AC139" i="1"/>
  <c r="AD136" i="1"/>
  <c r="AD137" i="1" s="1"/>
  <c r="AD159" i="1" l="1"/>
  <c r="AD139" i="1"/>
  <c r="AE136" i="1"/>
  <c r="AE137" i="1" s="1"/>
  <c r="AE159" i="1" l="1"/>
  <c r="AE139" i="1"/>
  <c r="AF136" i="1"/>
  <c r="AF137" i="1" s="1"/>
  <c r="AF159" i="1" l="1"/>
  <c r="AF139" i="1"/>
  <c r="AG136" i="1"/>
  <c r="AG137" i="1" s="1"/>
  <c r="AG159" i="1" l="1"/>
  <c r="AG139" i="1"/>
  <c r="AH136" i="1"/>
  <c r="AH137" i="1" s="1"/>
  <c r="AH159" i="1" l="1"/>
  <c r="AH139" i="1"/>
  <c r="AI136" i="1"/>
  <c r="AI137" i="1" s="1"/>
  <c r="AI159" i="1" l="1"/>
  <c r="AI139" i="1"/>
  <c r="AJ136" i="1"/>
  <c r="AJ137" i="1" s="1"/>
  <c r="AJ159" i="1" l="1"/>
  <c r="AJ139" i="1"/>
  <c r="AK136" i="1"/>
  <c r="AK137" i="1" s="1"/>
  <c r="AK159" i="1" l="1"/>
  <c r="AK139" i="1"/>
  <c r="AL136" i="1"/>
  <c r="AL137" i="1" s="1"/>
  <c r="AL159" i="1" l="1"/>
  <c r="AL139" i="1"/>
  <c r="AM136" i="1"/>
  <c r="AM137" i="1" s="1"/>
  <c r="AM159" i="1" l="1"/>
  <c r="AM139" i="1"/>
  <c r="AN136" i="1"/>
  <c r="AN137" i="1" s="1"/>
  <c r="AN159" i="1" l="1"/>
  <c r="AN139" i="1"/>
  <c r="AO136" i="1"/>
  <c r="AO137" i="1" s="1"/>
  <c r="AO159" i="1" l="1"/>
  <c r="AO139" i="1"/>
  <c r="AP136" i="1"/>
  <c r="AP137" i="1" l="1"/>
  <c r="AP159" i="1" l="1"/>
  <c r="AP139" i="1"/>
  <c r="G115" i="1"/>
  <c r="G114" i="1"/>
  <c r="G113" i="1"/>
  <c r="G112" i="1"/>
  <c r="G111" i="1"/>
  <c r="G110" i="1"/>
  <c r="B116" i="1"/>
  <c r="C105" i="1"/>
  <c r="B18" i="1" l="1"/>
  <c r="B17" i="1"/>
  <c r="B32" i="1" l="1"/>
  <c r="B55" i="1" s="1"/>
  <c r="B72" i="1" s="1"/>
  <c r="B89" i="1" s="1"/>
  <c r="B123" i="1" s="1"/>
  <c r="B28" i="1"/>
  <c r="B53" i="1" s="1"/>
  <c r="B70" i="1" s="1"/>
  <c r="B87" i="1" s="1"/>
  <c r="B122" i="1" s="1"/>
  <c r="B19" i="1"/>
  <c r="B48" i="1"/>
  <c r="B65" i="1" s="1"/>
  <c r="B82" i="1" s="1"/>
  <c r="B99" i="1" s="1"/>
  <c r="B42" i="1"/>
  <c r="B61" i="1" s="1"/>
  <c r="B78" i="1" s="1"/>
  <c r="B95" i="1" s="1"/>
  <c r="B133" i="1" l="1"/>
  <c r="B134" i="1"/>
  <c r="B187" i="1"/>
  <c r="B188" i="1"/>
  <c r="B142" i="1"/>
  <c r="B143" i="1"/>
  <c r="B6" i="7"/>
  <c r="N6" i="7"/>
  <c r="L6" i="7"/>
  <c r="J6" i="7"/>
  <c r="H6" i="7"/>
  <c r="F6" i="7"/>
  <c r="D6" i="7"/>
  <c r="M6" i="7"/>
  <c r="K6" i="7"/>
  <c r="I6" i="7"/>
  <c r="G6" i="7"/>
  <c r="E6" i="7"/>
  <c r="C6" i="7"/>
  <c r="B6" i="5"/>
  <c r="N6" i="5"/>
  <c r="L6" i="5"/>
  <c r="J6" i="5"/>
  <c r="H6" i="5"/>
  <c r="F6" i="5"/>
  <c r="D6" i="5"/>
  <c r="M6" i="5"/>
  <c r="K6" i="5"/>
  <c r="I6" i="5"/>
  <c r="G6" i="5"/>
  <c r="E6" i="5"/>
  <c r="C6" i="5"/>
  <c r="V18" i="3"/>
  <c r="Y18" i="3"/>
  <c r="Z18" i="3"/>
  <c r="W18" i="3"/>
  <c r="AA18" i="3"/>
  <c r="X18" i="3"/>
  <c r="B128" i="1"/>
  <c r="B132" i="1"/>
  <c r="B126" i="1"/>
  <c r="B127" i="1"/>
  <c r="B35" i="1"/>
  <c r="B45" i="1"/>
  <c r="B63" i="1" s="1"/>
  <c r="B80" i="1" s="1"/>
  <c r="B97" i="1" s="1"/>
  <c r="B20" i="1"/>
  <c r="B38" i="1" s="1"/>
  <c r="B59" i="1" s="1"/>
  <c r="B76" i="1" s="1"/>
  <c r="B93" i="1" s="1"/>
  <c r="B125" i="1" s="1"/>
  <c r="B211" i="1" l="1"/>
  <c r="B210" i="1"/>
  <c r="B223" i="1" s="1"/>
  <c r="B189" i="1"/>
  <c r="B190" i="1"/>
  <c r="B198" i="1"/>
  <c r="B191" i="1"/>
  <c r="B57" i="1"/>
  <c r="B74" i="1" s="1"/>
  <c r="B91" i="1" s="1"/>
  <c r="B124" i="1" s="1"/>
  <c r="C160" i="1" s="1"/>
  <c r="B35" i="10"/>
  <c r="B57" i="10" s="1"/>
  <c r="B74" i="10" s="1"/>
  <c r="B91" i="10" s="1"/>
  <c r="B123" i="10" s="1"/>
  <c r="B165" i="1"/>
  <c r="B153" i="1"/>
  <c r="AJ153" i="1"/>
  <c r="F153" i="1"/>
  <c r="J153" i="1"/>
  <c r="N153" i="1"/>
  <c r="R153" i="1"/>
  <c r="V153" i="1"/>
  <c r="Z153" i="1"/>
  <c r="AD153" i="1"/>
  <c r="AH153" i="1"/>
  <c r="AL153" i="1"/>
  <c r="AP153" i="1"/>
  <c r="C153" i="1"/>
  <c r="G153" i="1"/>
  <c r="K153" i="1"/>
  <c r="O153" i="1"/>
  <c r="S153" i="1"/>
  <c r="W153" i="1"/>
  <c r="AA153" i="1"/>
  <c r="AE153" i="1"/>
  <c r="AI153" i="1"/>
  <c r="AM153" i="1"/>
  <c r="D153" i="1"/>
  <c r="H153" i="1"/>
  <c r="L153" i="1"/>
  <c r="P153" i="1"/>
  <c r="T153" i="1"/>
  <c r="X153" i="1"/>
  <c r="AB153" i="1"/>
  <c r="AF153" i="1"/>
  <c r="AN153" i="1"/>
  <c r="E153" i="1"/>
  <c r="I153" i="1"/>
  <c r="M153" i="1"/>
  <c r="Q153" i="1"/>
  <c r="U153" i="1"/>
  <c r="Y153" i="1"/>
  <c r="AC153" i="1"/>
  <c r="AG153" i="1"/>
  <c r="AK153" i="1"/>
  <c r="AO153" i="1"/>
  <c r="AF6" i="9"/>
  <c r="AD6" i="9"/>
  <c r="AB6" i="9"/>
  <c r="Z6" i="9"/>
  <c r="X6" i="9"/>
  <c r="V6" i="9"/>
  <c r="T6" i="9"/>
  <c r="R6" i="9"/>
  <c r="P6" i="9"/>
  <c r="N6" i="9"/>
  <c r="L6" i="9"/>
  <c r="J6" i="9"/>
  <c r="H6" i="9"/>
  <c r="F6" i="9"/>
  <c r="D6" i="9"/>
  <c r="AE6" i="9"/>
  <c r="AC6" i="9"/>
  <c r="AA6" i="9"/>
  <c r="Y6" i="9"/>
  <c r="W6" i="9"/>
  <c r="U6" i="9"/>
  <c r="S6" i="9"/>
  <c r="Q6" i="9"/>
  <c r="O6" i="9"/>
  <c r="M6" i="9"/>
  <c r="K6" i="9"/>
  <c r="I6" i="9"/>
  <c r="G6" i="9"/>
  <c r="E6" i="9"/>
  <c r="C6" i="9"/>
  <c r="B6" i="9"/>
  <c r="B151" i="1"/>
  <c r="B145" i="1"/>
  <c r="B146" i="1"/>
  <c r="B152" i="1"/>
  <c r="B150" i="1"/>
  <c r="B144" i="1"/>
  <c r="AI18" i="3"/>
  <c r="AK18" i="3"/>
  <c r="AH18" i="3"/>
  <c r="AL18" i="3"/>
  <c r="AJ18" i="3"/>
  <c r="AG18" i="3"/>
  <c r="B131" i="1"/>
  <c r="B129" i="1"/>
  <c r="B130" i="1"/>
  <c r="AB160" i="1" l="1"/>
  <c r="AB166" i="1" s="1"/>
  <c r="Q160" i="1"/>
  <c r="Q166" i="1" s="1"/>
  <c r="B205" i="1"/>
  <c r="B219" i="1" s="1"/>
  <c r="AI160" i="1"/>
  <c r="AI166" i="1" s="1"/>
  <c r="AD160" i="1"/>
  <c r="AD166" i="1" s="1"/>
  <c r="X160" i="1"/>
  <c r="X166" i="1" s="1"/>
  <c r="S160" i="1"/>
  <c r="S166" i="1" s="1"/>
  <c r="AK160" i="1"/>
  <c r="AK166" i="1" s="1"/>
  <c r="N160" i="1"/>
  <c r="N166" i="1" s="1"/>
  <c r="O160" i="1"/>
  <c r="O166" i="1" s="1"/>
  <c r="T160" i="1"/>
  <c r="T166" i="1" s="1"/>
  <c r="K160" i="1"/>
  <c r="K166" i="1" s="1"/>
  <c r="V160" i="1"/>
  <c r="V166" i="1" s="1"/>
  <c r="F160" i="1"/>
  <c r="F166" i="1" s="1"/>
  <c r="AM160" i="1"/>
  <c r="AM166" i="1" s="1"/>
  <c r="AP160" i="1"/>
  <c r="AP166" i="1" s="1"/>
  <c r="Y160" i="1"/>
  <c r="Y166" i="1" s="1"/>
  <c r="E160" i="1"/>
  <c r="E166" i="1" s="1"/>
  <c r="AE160" i="1"/>
  <c r="AE166" i="1" s="1"/>
  <c r="AF160" i="1"/>
  <c r="AF166" i="1" s="1"/>
  <c r="H160" i="1"/>
  <c r="H166" i="1" s="1"/>
  <c r="W160" i="1"/>
  <c r="W166" i="1" s="1"/>
  <c r="AL160" i="1"/>
  <c r="AL166" i="1" s="1"/>
  <c r="Z160" i="1"/>
  <c r="Z166" i="1" s="1"/>
  <c r="R160" i="1"/>
  <c r="R166" i="1" s="1"/>
  <c r="J160" i="1"/>
  <c r="J166" i="1" s="1"/>
  <c r="AN160" i="1"/>
  <c r="AN166" i="1" s="1"/>
  <c r="L160" i="1"/>
  <c r="L166" i="1" s="1"/>
  <c r="AA160" i="1"/>
  <c r="AA166" i="1" s="1"/>
  <c r="G160" i="1"/>
  <c r="G166" i="1" s="1"/>
  <c r="AO160" i="1"/>
  <c r="AO166" i="1" s="1"/>
  <c r="AG160" i="1"/>
  <c r="AG166" i="1" s="1"/>
  <c r="U160" i="1"/>
  <c r="U166" i="1" s="1"/>
  <c r="I160" i="1"/>
  <c r="I166" i="1" s="1"/>
  <c r="P160" i="1"/>
  <c r="P166" i="1" s="1"/>
  <c r="D160" i="1"/>
  <c r="D166" i="1" s="1"/>
  <c r="B160" i="1"/>
  <c r="B166" i="1" s="1"/>
  <c r="AH160" i="1"/>
  <c r="AH166" i="1" s="1"/>
  <c r="AC160" i="1"/>
  <c r="M160" i="1"/>
  <c r="AJ160" i="1"/>
  <c r="B158" i="10"/>
  <c r="F158" i="10"/>
  <c r="F164" i="10" s="1"/>
  <c r="D158" i="10"/>
  <c r="D164" i="10" s="1"/>
  <c r="C158" i="10"/>
  <c r="C164" i="10" s="1"/>
  <c r="E158" i="10"/>
  <c r="E164" i="10" s="1"/>
  <c r="G158" i="10"/>
  <c r="G164" i="10" s="1"/>
  <c r="H158" i="10"/>
  <c r="H164" i="10" s="1"/>
  <c r="I158" i="10"/>
  <c r="I164" i="10" s="1"/>
  <c r="J158" i="10"/>
  <c r="J164" i="10" s="1"/>
  <c r="K158" i="10"/>
  <c r="K164" i="10" s="1"/>
  <c r="L158" i="10"/>
  <c r="L164" i="10" s="1"/>
  <c r="M158" i="10"/>
  <c r="M164" i="10" s="1"/>
  <c r="N158" i="10"/>
  <c r="N164" i="10" s="1"/>
  <c r="O158" i="10"/>
  <c r="O164" i="10" s="1"/>
  <c r="P158" i="10"/>
  <c r="P164" i="10" s="1"/>
  <c r="Q158" i="10"/>
  <c r="Q164" i="10" s="1"/>
  <c r="R158" i="10"/>
  <c r="R164" i="10" s="1"/>
  <c r="S158" i="10"/>
  <c r="S164" i="10" s="1"/>
  <c r="T158" i="10"/>
  <c r="T164" i="10" s="1"/>
  <c r="U158" i="10"/>
  <c r="U164" i="10" s="1"/>
  <c r="V158" i="10"/>
  <c r="V164" i="10" s="1"/>
  <c r="W158" i="10"/>
  <c r="W164" i="10" s="1"/>
  <c r="X158" i="10"/>
  <c r="X164" i="10" s="1"/>
  <c r="Y158" i="10"/>
  <c r="Y164" i="10" s="1"/>
  <c r="Z158" i="10"/>
  <c r="Z164" i="10" s="1"/>
  <c r="AA158" i="10"/>
  <c r="AA164" i="10" s="1"/>
  <c r="AB158" i="10"/>
  <c r="AB164" i="10" s="1"/>
  <c r="AC158" i="10"/>
  <c r="AC164" i="10" s="1"/>
  <c r="AD158" i="10"/>
  <c r="AD164" i="10" s="1"/>
  <c r="AE158" i="10"/>
  <c r="AE164" i="10" s="1"/>
  <c r="AF158" i="10"/>
  <c r="AF164" i="10" s="1"/>
  <c r="AG158" i="10"/>
  <c r="AG164" i="10" s="1"/>
  <c r="AH158" i="10"/>
  <c r="AH164" i="10" s="1"/>
  <c r="AI158" i="10"/>
  <c r="AI164" i="10" s="1"/>
  <c r="AJ158" i="10"/>
  <c r="AJ164" i="10" s="1"/>
  <c r="AK158" i="10"/>
  <c r="AK164" i="10" s="1"/>
  <c r="AL158" i="10"/>
  <c r="AL164" i="10" s="1"/>
  <c r="AM158" i="10"/>
  <c r="AM164" i="10" s="1"/>
  <c r="AN158" i="10"/>
  <c r="AN164" i="10" s="1"/>
  <c r="AO158" i="10"/>
  <c r="AO164" i="10" s="1"/>
  <c r="AP158" i="10"/>
  <c r="AP164" i="10" s="1"/>
  <c r="C166" i="1"/>
  <c r="B148" i="1"/>
  <c r="B147" i="1"/>
  <c r="B149" i="1"/>
  <c r="B162" i="1" s="1"/>
  <c r="B218" i="1" l="1"/>
  <c r="B217" i="1"/>
  <c r="B212" i="1"/>
  <c r="B157" i="1"/>
  <c r="B154" i="1"/>
  <c r="AC166" i="1"/>
  <c r="M166" i="1"/>
  <c r="AJ166" i="1"/>
  <c r="B164" i="10"/>
  <c r="B152" i="10"/>
  <c r="C177" i="1" l="1"/>
  <c r="C183" i="1" s="1"/>
  <c r="C180" i="1"/>
  <c r="C172" i="1"/>
  <c r="B162" i="10"/>
  <c r="B161" i="10"/>
  <c r="B153" i="10"/>
  <c r="B154" i="10" s="1"/>
  <c r="B164" i="1"/>
  <c r="B155" i="1"/>
  <c r="B156" i="1" s="1"/>
  <c r="C141" i="1" s="1"/>
  <c r="B163" i="1"/>
  <c r="B161" i="1"/>
  <c r="C179" i="1" l="1"/>
  <c r="C178" i="1"/>
  <c r="C184" i="1"/>
  <c r="C205" i="1" s="1"/>
  <c r="C143" i="10"/>
  <c r="C141" i="10"/>
  <c r="C146" i="10"/>
  <c r="C150" i="10"/>
  <c r="C140" i="10"/>
  <c r="C147" i="10"/>
  <c r="C144" i="10"/>
  <c r="C148" i="10"/>
  <c r="C145" i="10"/>
  <c r="C142" i="10"/>
  <c r="C149" i="10"/>
  <c r="C139" i="10"/>
  <c r="C144" i="1"/>
  <c r="C151" i="1"/>
  <c r="C145" i="1"/>
  <c r="C152" i="1"/>
  <c r="C150" i="1"/>
  <c r="C146" i="1"/>
  <c r="C149" i="1"/>
  <c r="C148" i="1"/>
  <c r="C147" i="1"/>
  <c r="C140" i="1"/>
  <c r="C142" i="1"/>
  <c r="C143" i="1"/>
  <c r="C157" i="1" l="1"/>
  <c r="C162" i="1"/>
  <c r="C154" i="1"/>
  <c r="C155" i="10"/>
  <c r="C159" i="10" s="1"/>
  <c r="C152" i="10"/>
  <c r="C160" i="10"/>
  <c r="C163" i="10"/>
  <c r="C165" i="1"/>
  <c r="C161" i="10" l="1"/>
  <c r="C162" i="10"/>
  <c r="C153" i="10"/>
  <c r="C154" i="10" s="1"/>
  <c r="C161" i="1"/>
  <c r="C163" i="1"/>
  <c r="C164" i="1"/>
  <c r="C155" i="1"/>
  <c r="C156" i="1" s="1"/>
  <c r="D141" i="1" s="1"/>
  <c r="D150" i="10" l="1"/>
  <c r="D145" i="10"/>
  <c r="D139" i="10"/>
  <c r="D140" i="10"/>
  <c r="D144" i="10"/>
  <c r="D147" i="10"/>
  <c r="D146" i="10"/>
  <c r="D141" i="10"/>
  <c r="D148" i="10"/>
  <c r="D142" i="10"/>
  <c r="D149" i="10"/>
  <c r="D143" i="10"/>
  <c r="D148" i="1"/>
  <c r="D145" i="1"/>
  <c r="D152" i="1"/>
  <c r="D140" i="1"/>
  <c r="D149" i="1"/>
  <c r="D147" i="1"/>
  <c r="D150" i="1"/>
  <c r="D143" i="1"/>
  <c r="D144" i="1"/>
  <c r="D146" i="1"/>
  <c r="D151" i="1"/>
  <c r="D142" i="1"/>
  <c r="D157" i="1" l="1"/>
  <c r="D162" i="1"/>
  <c r="D154" i="1"/>
  <c r="D163" i="10"/>
  <c r="D152" i="10"/>
  <c r="D155" i="10"/>
  <c r="D159" i="10" s="1"/>
  <c r="D160" i="10"/>
  <c r="D165" i="1"/>
  <c r="D162" i="10" l="1"/>
  <c r="D153" i="10"/>
  <c r="D154" i="10" s="1"/>
  <c r="D161" i="10"/>
  <c r="D161" i="1"/>
  <c r="D163" i="1"/>
  <c r="D164" i="1"/>
  <c r="D155" i="1"/>
  <c r="D156" i="1" l="1"/>
  <c r="E148" i="1" s="1"/>
  <c r="E143" i="10"/>
  <c r="E146" i="10"/>
  <c r="E142" i="10"/>
  <c r="E149" i="10"/>
  <c r="E141" i="10"/>
  <c r="E148" i="10"/>
  <c r="E147" i="10"/>
  <c r="E144" i="10"/>
  <c r="E140" i="10"/>
  <c r="E139" i="10"/>
  <c r="E145" i="10"/>
  <c r="E150" i="10"/>
  <c r="E146" i="1" l="1"/>
  <c r="E152" i="1"/>
  <c r="E151" i="1"/>
  <c r="E145" i="1"/>
  <c r="E150" i="1"/>
  <c r="E144" i="1"/>
  <c r="E140" i="1"/>
  <c r="E147" i="1"/>
  <c r="E149" i="1"/>
  <c r="E142" i="1"/>
  <c r="E165" i="1" s="1"/>
  <c r="E141" i="1"/>
  <c r="E143" i="1"/>
  <c r="E160" i="10"/>
  <c r="E155" i="10"/>
  <c r="E159" i="10" s="1"/>
  <c r="E152" i="10"/>
  <c r="E163" i="10"/>
  <c r="E157" i="1" l="1"/>
  <c r="E161" i="1" s="1"/>
  <c r="E162" i="1"/>
  <c r="E154" i="1"/>
  <c r="E164" i="1" s="1"/>
  <c r="E161" i="10"/>
  <c r="E162" i="10"/>
  <c r="E153" i="10"/>
  <c r="E154" i="10" s="1"/>
  <c r="E163" i="1" l="1"/>
  <c r="E155" i="1"/>
  <c r="E156" i="1" s="1"/>
  <c r="F141" i="1" s="1"/>
  <c r="F150" i="10"/>
  <c r="F142" i="10"/>
  <c r="F144" i="10"/>
  <c r="F147" i="10"/>
  <c r="F139" i="10"/>
  <c r="F140" i="10"/>
  <c r="F149" i="10"/>
  <c r="F141" i="10"/>
  <c r="F148" i="10"/>
  <c r="F145" i="10"/>
  <c r="F146" i="10"/>
  <c r="F143" i="10"/>
  <c r="F146" i="1" l="1"/>
  <c r="F148" i="1"/>
  <c r="F151" i="1"/>
  <c r="F152" i="1"/>
  <c r="F150" i="1"/>
  <c r="F143" i="1"/>
  <c r="F140" i="1"/>
  <c r="F144" i="1"/>
  <c r="F145" i="1"/>
  <c r="F149" i="1"/>
  <c r="F142" i="1"/>
  <c r="F165" i="1" s="1"/>
  <c r="F147" i="1"/>
  <c r="F160" i="10"/>
  <c r="F163" i="10"/>
  <c r="F152" i="10"/>
  <c r="F155" i="10"/>
  <c r="F159" i="10" s="1"/>
  <c r="F157" i="1" l="1"/>
  <c r="F161" i="1" s="1"/>
  <c r="F162" i="1"/>
  <c r="F154" i="1"/>
  <c r="F155" i="1" s="1"/>
  <c r="F162" i="10"/>
  <c r="F153" i="10"/>
  <c r="F154" i="10" s="1"/>
  <c r="F161" i="10"/>
  <c r="F163" i="1" l="1"/>
  <c r="F164" i="1"/>
  <c r="F156" i="1"/>
  <c r="G145" i="1" s="1"/>
  <c r="G146" i="10"/>
  <c r="G147" i="10"/>
  <c r="G139" i="10"/>
  <c r="G143" i="10"/>
  <c r="G149" i="10"/>
  <c r="G140" i="10"/>
  <c r="G144" i="10"/>
  <c r="G141" i="10"/>
  <c r="G145" i="10"/>
  <c r="G148" i="10"/>
  <c r="G150" i="10"/>
  <c r="G142" i="10"/>
  <c r="G147" i="1" l="1"/>
  <c r="G144" i="1"/>
  <c r="G148" i="1"/>
  <c r="G152" i="1"/>
  <c r="G142" i="1"/>
  <c r="G165" i="1" s="1"/>
  <c r="G141" i="1"/>
  <c r="G149" i="1"/>
  <c r="G140" i="1"/>
  <c r="G151" i="1"/>
  <c r="G143" i="1"/>
  <c r="G146" i="1"/>
  <c r="G150" i="1"/>
  <c r="G152" i="10"/>
  <c r="G155" i="10"/>
  <c r="G159" i="10" s="1"/>
  <c r="G163" i="10"/>
  <c r="G160" i="10"/>
  <c r="G157" i="1" l="1"/>
  <c r="G161" i="1" s="1"/>
  <c r="G154" i="1"/>
  <c r="G164" i="1" s="1"/>
  <c r="G162" i="1"/>
  <c r="G161" i="10"/>
  <c r="G162" i="10"/>
  <c r="G153" i="10"/>
  <c r="G154" i="10" s="1"/>
  <c r="G163" i="1" l="1"/>
  <c r="G155" i="1"/>
  <c r="G156" i="1" s="1"/>
  <c r="H142" i="10"/>
  <c r="H148" i="10"/>
  <c r="H147" i="10"/>
  <c r="H143" i="10"/>
  <c r="H149" i="10"/>
  <c r="H141" i="10"/>
  <c r="H145" i="10"/>
  <c r="H140" i="10"/>
  <c r="H139" i="10"/>
  <c r="H144" i="10"/>
  <c r="H150" i="10"/>
  <c r="H146" i="10"/>
  <c r="H143" i="1" l="1"/>
  <c r="H144" i="1"/>
  <c r="H147" i="1"/>
  <c r="H142" i="1"/>
  <c r="H165" i="1" s="1"/>
  <c r="H140" i="1"/>
  <c r="H152" i="1"/>
  <c r="H145" i="1"/>
  <c r="H151" i="1"/>
  <c r="H148" i="1"/>
  <c r="H146" i="1"/>
  <c r="H149" i="1"/>
  <c r="H150" i="1"/>
  <c r="H141" i="1"/>
  <c r="H163" i="10"/>
  <c r="H160" i="10"/>
  <c r="H152" i="10"/>
  <c r="H155" i="10"/>
  <c r="H159" i="10" s="1"/>
  <c r="H157" i="1" l="1"/>
  <c r="H161" i="1" s="1"/>
  <c r="H154" i="1"/>
  <c r="H164" i="1" s="1"/>
  <c r="H162" i="1"/>
  <c r="H162" i="10"/>
  <c r="H161" i="10"/>
  <c r="H153" i="10"/>
  <c r="H154" i="10" s="1"/>
  <c r="H163" i="1" l="1"/>
  <c r="H155" i="1"/>
  <c r="H156" i="1" s="1"/>
  <c r="I146" i="10"/>
  <c r="I145" i="10"/>
  <c r="I141" i="10"/>
  <c r="I149" i="10"/>
  <c r="I148" i="10"/>
  <c r="I139" i="10"/>
  <c r="I140" i="10"/>
  <c r="I150" i="10"/>
  <c r="I147" i="10"/>
  <c r="I143" i="10"/>
  <c r="I144" i="10"/>
  <c r="I142" i="10"/>
  <c r="I148" i="1" l="1"/>
  <c r="I146" i="1"/>
  <c r="I140" i="1"/>
  <c r="I142" i="1"/>
  <c r="I165" i="1" s="1"/>
  <c r="I147" i="1"/>
  <c r="I149" i="1"/>
  <c r="I141" i="1"/>
  <c r="I143" i="1"/>
  <c r="I152" i="1"/>
  <c r="I144" i="1"/>
  <c r="I151" i="1"/>
  <c r="I150" i="1"/>
  <c r="I145" i="1"/>
  <c r="I163" i="10"/>
  <c r="I155" i="10"/>
  <c r="I159" i="10" s="1"/>
  <c r="I152" i="10"/>
  <c r="I160" i="10"/>
  <c r="I157" i="1" l="1"/>
  <c r="I161" i="1" s="1"/>
  <c r="I162" i="1"/>
  <c r="I154" i="1"/>
  <c r="I164" i="1" s="1"/>
  <c r="I161" i="10"/>
  <c r="I153" i="10"/>
  <c r="I154" i="10" s="1"/>
  <c r="I162" i="10"/>
  <c r="I155" i="1" l="1"/>
  <c r="I156" i="1" s="1"/>
  <c r="J144" i="1" s="1"/>
  <c r="I163" i="1"/>
  <c r="J142" i="10"/>
  <c r="J147" i="10"/>
  <c r="J141" i="10"/>
  <c r="J150" i="10"/>
  <c r="J140" i="10"/>
  <c r="J149" i="10"/>
  <c r="J148" i="10"/>
  <c r="J139" i="10"/>
  <c r="J144" i="10"/>
  <c r="J143" i="10"/>
  <c r="J145" i="10"/>
  <c r="J146" i="10"/>
  <c r="J151" i="1" l="1"/>
  <c r="J142" i="1"/>
  <c r="J165" i="1" s="1"/>
  <c r="J148" i="1"/>
  <c r="J149" i="1"/>
  <c r="J143" i="1"/>
  <c r="J141" i="1"/>
  <c r="J147" i="1"/>
  <c r="J145" i="1"/>
  <c r="J146" i="1"/>
  <c r="J152" i="1"/>
  <c r="J140" i="1"/>
  <c r="J150" i="1"/>
  <c r="J155" i="10"/>
  <c r="J159" i="10" s="1"/>
  <c r="J152" i="10"/>
  <c r="J160" i="10"/>
  <c r="J163" i="10"/>
  <c r="J157" i="1" l="1"/>
  <c r="J161" i="1" s="1"/>
  <c r="J162" i="1"/>
  <c r="J154" i="1"/>
  <c r="J164" i="1" s="1"/>
  <c r="J162" i="10"/>
  <c r="J153" i="10"/>
  <c r="J154" i="10" s="1"/>
  <c r="J161" i="10"/>
  <c r="J155" i="1" l="1"/>
  <c r="J156" i="1" s="1"/>
  <c r="K146" i="1" s="1"/>
  <c r="J163" i="1"/>
  <c r="K146" i="10"/>
  <c r="K150" i="10"/>
  <c r="K143" i="10"/>
  <c r="K144" i="10"/>
  <c r="K145" i="10"/>
  <c r="K149" i="10"/>
  <c r="K148" i="10"/>
  <c r="K140" i="10"/>
  <c r="K139" i="10"/>
  <c r="K141" i="10"/>
  <c r="K147" i="10"/>
  <c r="K142" i="10"/>
  <c r="K152" i="1" l="1"/>
  <c r="K140" i="1"/>
  <c r="K145" i="1"/>
  <c r="K149" i="1"/>
  <c r="K151" i="1"/>
  <c r="K144" i="1"/>
  <c r="K147" i="1"/>
  <c r="K150" i="1"/>
  <c r="K148" i="1"/>
  <c r="K142" i="1"/>
  <c r="K165" i="1" s="1"/>
  <c r="K141" i="1"/>
  <c r="K143" i="1"/>
  <c r="K163" i="10"/>
  <c r="K160" i="10"/>
  <c r="K155" i="10"/>
  <c r="K159" i="10" s="1"/>
  <c r="K152" i="10"/>
  <c r="K157" i="1" l="1"/>
  <c r="K161" i="1" s="1"/>
  <c r="K162" i="1"/>
  <c r="K154" i="1"/>
  <c r="K164" i="1" s="1"/>
  <c r="K161" i="10"/>
  <c r="K162" i="10"/>
  <c r="K153" i="10"/>
  <c r="K154" i="10" s="1"/>
  <c r="K163" i="1" l="1"/>
  <c r="K155" i="1"/>
  <c r="K156" i="1" s="1"/>
  <c r="L142" i="10"/>
  <c r="L148" i="10"/>
  <c r="L141" i="10"/>
  <c r="L140" i="10"/>
  <c r="L145" i="10"/>
  <c r="L143" i="10"/>
  <c r="L149" i="10"/>
  <c r="L139" i="10"/>
  <c r="L150" i="10"/>
  <c r="L144" i="10"/>
  <c r="L147" i="10"/>
  <c r="L146" i="10"/>
  <c r="L149" i="1" l="1"/>
  <c r="L141" i="1"/>
  <c r="L146" i="1"/>
  <c r="L143" i="1"/>
  <c r="L145" i="1"/>
  <c r="L140" i="1"/>
  <c r="L147" i="1"/>
  <c r="L148" i="1"/>
  <c r="L142" i="1"/>
  <c r="L165" i="1" s="1"/>
  <c r="L151" i="1"/>
  <c r="L152" i="1"/>
  <c r="L150" i="1"/>
  <c r="L144" i="1"/>
  <c r="L155" i="10"/>
  <c r="L159" i="10" s="1"/>
  <c r="L152" i="10"/>
  <c r="L163" i="10"/>
  <c r="L160" i="10"/>
  <c r="L157" i="1" l="1"/>
  <c r="L161" i="1" s="1"/>
  <c r="L162" i="1"/>
  <c r="L154" i="1"/>
  <c r="L164" i="1" s="1"/>
  <c r="L162" i="10"/>
  <c r="L161" i="10"/>
  <c r="L153" i="10"/>
  <c r="L154" i="10" s="1"/>
  <c r="L155" i="1" l="1"/>
  <c r="L156" i="1" s="1"/>
  <c r="M152" i="1" s="1"/>
  <c r="L163" i="1"/>
  <c r="M146" i="10"/>
  <c r="M144" i="10"/>
  <c r="M147" i="10"/>
  <c r="M145" i="10"/>
  <c r="M140" i="10"/>
  <c r="M143" i="10"/>
  <c r="M150" i="10"/>
  <c r="M149" i="10"/>
  <c r="M148" i="10"/>
  <c r="M139" i="10"/>
  <c r="M141" i="10"/>
  <c r="M142" i="10"/>
  <c r="M147" i="1" l="1"/>
  <c r="M142" i="1"/>
  <c r="M165" i="1" s="1"/>
  <c r="M143" i="1"/>
  <c r="M150" i="1"/>
  <c r="M145" i="1"/>
  <c r="M146" i="1"/>
  <c r="M141" i="1"/>
  <c r="M144" i="1"/>
  <c r="M149" i="1"/>
  <c r="M148" i="1"/>
  <c r="M140" i="1"/>
  <c r="M151" i="1"/>
  <c r="M160" i="10"/>
  <c r="M155" i="10"/>
  <c r="M159" i="10" s="1"/>
  <c r="M152" i="10"/>
  <c r="M163" i="10"/>
  <c r="M157" i="1" l="1"/>
  <c r="M161" i="1" s="1"/>
  <c r="M162" i="1"/>
  <c r="M154" i="1"/>
  <c r="M164" i="1" s="1"/>
  <c r="M161" i="10"/>
  <c r="M162" i="10"/>
  <c r="M153" i="10"/>
  <c r="M154" i="10" s="1"/>
  <c r="M155" i="1" l="1"/>
  <c r="M156" i="1" s="1"/>
  <c r="N146" i="1" s="1"/>
  <c r="M163" i="1"/>
  <c r="N142" i="10"/>
  <c r="N150" i="10"/>
  <c r="N148" i="10"/>
  <c r="N149" i="10"/>
  <c r="N139" i="10"/>
  <c r="N140" i="10"/>
  <c r="N144" i="10"/>
  <c r="N145" i="10"/>
  <c r="N147" i="10"/>
  <c r="N143" i="10"/>
  <c r="N146" i="10"/>
  <c r="N141" i="10"/>
  <c r="N142" i="1" l="1"/>
  <c r="N165" i="1" s="1"/>
  <c r="N141" i="1"/>
  <c r="N144" i="1"/>
  <c r="N140" i="1"/>
  <c r="N148" i="1"/>
  <c r="N152" i="1"/>
  <c r="N145" i="1"/>
  <c r="N143" i="1"/>
  <c r="N147" i="1"/>
  <c r="N149" i="1"/>
  <c r="N150" i="1"/>
  <c r="N151" i="1"/>
  <c r="N163" i="10"/>
  <c r="N160" i="10"/>
  <c r="N155" i="10"/>
  <c r="N159" i="10" s="1"/>
  <c r="N152" i="10"/>
  <c r="N162" i="1" l="1"/>
  <c r="N157" i="1"/>
  <c r="N161" i="1" s="1"/>
  <c r="N154" i="1"/>
  <c r="N164" i="1" s="1"/>
  <c r="N162" i="10"/>
  <c r="N161" i="10"/>
  <c r="N153" i="10"/>
  <c r="N154" i="10" s="1"/>
  <c r="N155" i="1" l="1"/>
  <c r="N156" i="1" s="1"/>
  <c r="N163" i="1"/>
  <c r="O141" i="10"/>
  <c r="O148" i="10"/>
  <c r="O140" i="10"/>
  <c r="O143" i="10"/>
  <c r="O145" i="10"/>
  <c r="O144" i="10"/>
  <c r="O150" i="10"/>
  <c r="O149" i="10"/>
  <c r="O139" i="10"/>
  <c r="O146" i="10"/>
  <c r="O147" i="10"/>
  <c r="O142" i="10"/>
  <c r="O146" i="1" l="1"/>
  <c r="O140" i="1"/>
  <c r="O148" i="1"/>
  <c r="O147" i="1"/>
  <c r="O149" i="1"/>
  <c r="O151" i="1"/>
  <c r="O141" i="1"/>
  <c r="O152" i="1"/>
  <c r="O150" i="1"/>
  <c r="O143" i="1"/>
  <c r="O144" i="1"/>
  <c r="O145" i="1"/>
  <c r="O142" i="1"/>
  <c r="O163" i="10"/>
  <c r="O160" i="10"/>
  <c r="O152" i="10"/>
  <c r="O155" i="10"/>
  <c r="O159" i="10" s="1"/>
  <c r="O157" i="1" l="1"/>
  <c r="O161" i="1" s="1"/>
  <c r="O162" i="1"/>
  <c r="O154" i="1"/>
  <c r="O164" i="1" s="1"/>
  <c r="O165" i="1"/>
  <c r="O161" i="10"/>
  <c r="O162" i="10"/>
  <c r="O153" i="10"/>
  <c r="O154" i="10" s="1"/>
  <c r="O163" i="1" l="1"/>
  <c r="O155" i="1"/>
  <c r="O156" i="1" s="1"/>
  <c r="P142" i="10"/>
  <c r="P148" i="10"/>
  <c r="P143" i="10"/>
  <c r="P147" i="10"/>
  <c r="P149" i="10"/>
  <c r="P140" i="10"/>
  <c r="P139" i="10"/>
  <c r="P146" i="10"/>
  <c r="P145" i="10"/>
  <c r="P150" i="10"/>
  <c r="P144" i="10"/>
  <c r="P141" i="10"/>
  <c r="P150" i="1" l="1"/>
  <c r="P144" i="1"/>
  <c r="P142" i="1"/>
  <c r="P165" i="1" s="1"/>
  <c r="P146" i="1"/>
  <c r="P148" i="1"/>
  <c r="P147" i="1"/>
  <c r="P141" i="1"/>
  <c r="P143" i="1"/>
  <c r="P152" i="1"/>
  <c r="P151" i="1"/>
  <c r="P145" i="1"/>
  <c r="P140" i="1"/>
  <c r="P149" i="1"/>
  <c r="P160" i="10"/>
  <c r="P155" i="10"/>
  <c r="P159" i="10" s="1"/>
  <c r="P152" i="10"/>
  <c r="P163" i="10"/>
  <c r="P157" i="1" l="1"/>
  <c r="P161" i="1" s="1"/>
  <c r="P162" i="1"/>
  <c r="P154" i="1"/>
  <c r="P164" i="1" s="1"/>
  <c r="P162" i="10"/>
  <c r="P161" i="10"/>
  <c r="P153" i="10"/>
  <c r="P154" i="10" s="1"/>
  <c r="P155" i="1" l="1"/>
  <c r="P156" i="1" s="1"/>
  <c r="Q151" i="1" s="1"/>
  <c r="P163" i="1"/>
  <c r="Q141" i="10"/>
  <c r="Q144" i="10"/>
  <c r="Q143" i="10"/>
  <c r="Q148" i="10"/>
  <c r="Q146" i="10"/>
  <c r="Q150" i="10"/>
  <c r="Q145" i="10"/>
  <c r="Q149" i="10"/>
  <c r="Q147" i="10"/>
  <c r="Q139" i="10"/>
  <c r="Q140" i="10"/>
  <c r="Q142" i="10"/>
  <c r="Q140" i="1" l="1"/>
  <c r="Q147" i="1"/>
  <c r="Q148" i="1"/>
  <c r="Q149" i="1"/>
  <c r="Q143" i="1"/>
  <c r="Q141" i="1"/>
  <c r="Q145" i="1"/>
  <c r="Q146" i="1"/>
  <c r="Q152" i="1"/>
  <c r="Q142" i="1"/>
  <c r="Q165" i="1" s="1"/>
  <c r="Q144" i="1"/>
  <c r="Q150" i="1"/>
  <c r="Q163" i="10"/>
  <c r="Q155" i="10"/>
  <c r="Q159" i="10" s="1"/>
  <c r="Q152" i="10"/>
  <c r="Q160" i="10"/>
  <c r="Q162" i="1" l="1"/>
  <c r="Q157" i="1"/>
  <c r="Q161" i="1" s="1"/>
  <c r="Q154" i="1"/>
  <c r="Q155" i="1" s="1"/>
  <c r="B166" i="10"/>
  <c r="Q161" i="10"/>
  <c r="Q162" i="10"/>
  <c r="Q153" i="10"/>
  <c r="Q154" i="10" s="1"/>
  <c r="Q164" i="1" l="1"/>
  <c r="Q163" i="1"/>
  <c r="Q156" i="1"/>
  <c r="R149" i="1" s="1"/>
  <c r="R142" i="10"/>
  <c r="R140" i="10"/>
  <c r="R148" i="10"/>
  <c r="R150" i="10"/>
  <c r="R149" i="10"/>
  <c r="R145" i="10"/>
  <c r="R139" i="10"/>
  <c r="R147" i="10"/>
  <c r="R143" i="10"/>
  <c r="R146" i="10"/>
  <c r="R144" i="10"/>
  <c r="R141" i="10"/>
  <c r="B167" i="10"/>
  <c r="C167" i="10"/>
  <c r="R147" i="1" l="1"/>
  <c r="R151" i="1"/>
  <c r="R140" i="1"/>
  <c r="R148" i="1"/>
  <c r="R150" i="1"/>
  <c r="R141" i="1"/>
  <c r="R146" i="1"/>
  <c r="R144" i="1"/>
  <c r="R142" i="1"/>
  <c r="R165" i="1" s="1"/>
  <c r="R145" i="1"/>
  <c r="R152" i="1"/>
  <c r="R143" i="1"/>
  <c r="R160" i="10"/>
  <c r="R155" i="10"/>
  <c r="R159" i="10" s="1"/>
  <c r="R152" i="10"/>
  <c r="R163" i="10"/>
  <c r="R157" i="1" l="1"/>
  <c r="R161" i="1" s="1"/>
  <c r="R162" i="1"/>
  <c r="R154" i="1"/>
  <c r="R164" i="1" s="1"/>
  <c r="R161" i="10"/>
  <c r="R162" i="10"/>
  <c r="R153" i="10"/>
  <c r="R154" i="10" s="1"/>
  <c r="R163" i="1" l="1"/>
  <c r="R155" i="1"/>
  <c r="R156" i="1" s="1"/>
  <c r="S141" i="1" s="1"/>
  <c r="S141" i="10"/>
  <c r="S144" i="10"/>
  <c r="S140" i="10"/>
  <c r="S139" i="10"/>
  <c r="S146" i="10"/>
  <c r="S143" i="10"/>
  <c r="S147" i="10"/>
  <c r="S149" i="10"/>
  <c r="S145" i="10"/>
  <c r="S150" i="10"/>
  <c r="S148" i="10"/>
  <c r="S142" i="10"/>
  <c r="S140" i="1" l="1"/>
  <c r="S145" i="1"/>
  <c r="S149" i="1"/>
  <c r="S152" i="1"/>
  <c r="S147" i="1"/>
  <c r="S150" i="1"/>
  <c r="S148" i="1"/>
  <c r="S143" i="1"/>
  <c r="S151" i="1"/>
  <c r="S146" i="1"/>
  <c r="S144" i="1"/>
  <c r="S142" i="1"/>
  <c r="S165" i="1" s="1"/>
  <c r="S152" i="10"/>
  <c r="S155" i="10"/>
  <c r="S159" i="10" s="1"/>
  <c r="S160" i="10"/>
  <c r="S163" i="10"/>
  <c r="S157" i="1" l="1"/>
  <c r="S161" i="1" s="1"/>
  <c r="S162" i="1"/>
  <c r="S154" i="1"/>
  <c r="S164" i="1" s="1"/>
  <c r="S162" i="10"/>
  <c r="S161" i="10"/>
  <c r="S153" i="10"/>
  <c r="S154" i="10" s="1"/>
  <c r="S155" i="1" l="1"/>
  <c r="S156" i="1" s="1"/>
  <c r="S163" i="1"/>
  <c r="T142" i="10"/>
  <c r="T139" i="10"/>
  <c r="T144" i="10"/>
  <c r="T146" i="10"/>
  <c r="T149" i="10"/>
  <c r="T148" i="10"/>
  <c r="T140" i="10"/>
  <c r="T145" i="10"/>
  <c r="T150" i="10"/>
  <c r="T147" i="10"/>
  <c r="T143" i="10"/>
  <c r="T141" i="10"/>
  <c r="T143" i="1" l="1"/>
  <c r="T140" i="1"/>
  <c r="T146" i="1"/>
  <c r="T144" i="1"/>
  <c r="T148" i="1"/>
  <c r="T142" i="1"/>
  <c r="T165" i="1" s="1"/>
  <c r="T147" i="1"/>
  <c r="T145" i="1"/>
  <c r="T152" i="1"/>
  <c r="T149" i="1"/>
  <c r="T150" i="1"/>
  <c r="T151" i="1"/>
  <c r="T141" i="1"/>
  <c r="T163" i="10"/>
  <c r="T160" i="10"/>
  <c r="T155" i="10"/>
  <c r="T159" i="10" s="1"/>
  <c r="T152" i="10"/>
  <c r="T157" i="1" l="1"/>
  <c r="T161" i="1" s="1"/>
  <c r="T154" i="1"/>
  <c r="T164" i="1" s="1"/>
  <c r="T162" i="1"/>
  <c r="T153" i="10"/>
  <c r="T154" i="10" s="1"/>
  <c r="T162" i="10"/>
  <c r="T161" i="10"/>
  <c r="T155" i="1" l="1"/>
  <c r="T156" i="1" s="1"/>
  <c r="U148" i="1" s="1"/>
  <c r="T163" i="1"/>
  <c r="U141" i="10"/>
  <c r="U147" i="10"/>
  <c r="U139" i="10"/>
  <c r="U149" i="10"/>
  <c r="U145" i="10"/>
  <c r="U140" i="10"/>
  <c r="U148" i="10"/>
  <c r="U150" i="10"/>
  <c r="U146" i="10"/>
  <c r="U144" i="10"/>
  <c r="U143" i="10"/>
  <c r="U142" i="10"/>
  <c r="U150" i="1" l="1"/>
  <c r="U151" i="1"/>
  <c r="U147" i="1"/>
  <c r="U149" i="1"/>
  <c r="U146" i="1"/>
  <c r="U144" i="1"/>
  <c r="U145" i="1"/>
  <c r="U152" i="1"/>
  <c r="U140" i="1"/>
  <c r="U142" i="1"/>
  <c r="U165" i="1" s="1"/>
  <c r="U143" i="1"/>
  <c r="U141" i="1"/>
  <c r="U152" i="10"/>
  <c r="U155" i="10"/>
  <c r="U159" i="10" s="1"/>
  <c r="U163" i="10"/>
  <c r="U160" i="10"/>
  <c r="U157" i="1" l="1"/>
  <c r="U161" i="1" s="1"/>
  <c r="U154" i="1"/>
  <c r="U164" i="1" s="1"/>
  <c r="U162" i="1"/>
  <c r="U153" i="10"/>
  <c r="U154" i="10" s="1"/>
  <c r="U161" i="10"/>
  <c r="U162" i="10"/>
  <c r="U163" i="1" l="1"/>
  <c r="U155" i="1"/>
  <c r="U156" i="1" s="1"/>
  <c r="V142" i="10"/>
  <c r="V148" i="10"/>
  <c r="V144" i="10"/>
  <c r="V147" i="10"/>
  <c r="V150" i="10"/>
  <c r="V146" i="10"/>
  <c r="V145" i="10"/>
  <c r="V149" i="10"/>
  <c r="V140" i="10"/>
  <c r="V143" i="10"/>
  <c r="V139" i="10"/>
  <c r="V141" i="10"/>
  <c r="V148" i="1" l="1"/>
  <c r="V151" i="1"/>
  <c r="V145" i="1"/>
  <c r="V149" i="1"/>
  <c r="V150" i="1"/>
  <c r="V152" i="1"/>
  <c r="V141" i="1"/>
  <c r="V142" i="1"/>
  <c r="V165" i="1" s="1"/>
  <c r="V147" i="1"/>
  <c r="V144" i="1"/>
  <c r="V140" i="1"/>
  <c r="V143" i="1"/>
  <c r="V146" i="1"/>
  <c r="V160" i="10"/>
  <c r="V155" i="10"/>
  <c r="V159" i="10" s="1"/>
  <c r="V152" i="10"/>
  <c r="V163" i="10"/>
  <c r="V157" i="1" l="1"/>
  <c r="V161" i="1" s="1"/>
  <c r="V162" i="1"/>
  <c r="V154" i="1"/>
  <c r="V164" i="1" s="1"/>
  <c r="V162" i="10"/>
  <c r="V161" i="10"/>
  <c r="V153" i="10"/>
  <c r="V154" i="10" s="1"/>
  <c r="V155" i="1" l="1"/>
  <c r="V156" i="1" s="1"/>
  <c r="W152" i="1" s="1"/>
  <c r="V163" i="1"/>
  <c r="W141" i="10"/>
  <c r="W144" i="10"/>
  <c r="W149" i="10"/>
  <c r="W143" i="10"/>
  <c r="W140" i="10"/>
  <c r="W139" i="10"/>
  <c r="W146" i="10"/>
  <c r="W150" i="10"/>
  <c r="W147" i="10"/>
  <c r="W145" i="10"/>
  <c r="W148" i="10"/>
  <c r="W142" i="10"/>
  <c r="W146" i="1" l="1"/>
  <c r="W149" i="1"/>
  <c r="W140" i="1"/>
  <c r="W150" i="1"/>
  <c r="W151" i="1"/>
  <c r="W145" i="1"/>
  <c r="W142" i="1"/>
  <c r="W165" i="1" s="1"/>
  <c r="W148" i="1"/>
  <c r="W143" i="1"/>
  <c r="W147" i="1"/>
  <c r="W141" i="1"/>
  <c r="W144" i="1"/>
  <c r="W152" i="10"/>
  <c r="W155" i="10"/>
  <c r="W159" i="10" s="1"/>
  <c r="W160" i="10"/>
  <c r="W163" i="10"/>
  <c r="W157" i="1" l="1"/>
  <c r="W161" i="1" s="1"/>
  <c r="W162" i="1"/>
  <c r="W154" i="1"/>
  <c r="W164" i="1" s="1"/>
  <c r="W153" i="10"/>
  <c r="W154" i="10" s="1"/>
  <c r="W161" i="10"/>
  <c r="W162" i="10"/>
  <c r="W155" i="1" l="1"/>
  <c r="W156" i="1" s="1"/>
  <c r="X146" i="1" s="1"/>
  <c r="W163" i="1"/>
  <c r="X142" i="10"/>
  <c r="X146" i="10"/>
  <c r="X147" i="10"/>
  <c r="X140" i="10"/>
  <c r="X150" i="10"/>
  <c r="X149" i="10"/>
  <c r="X139" i="10"/>
  <c r="X143" i="10"/>
  <c r="X145" i="10"/>
  <c r="X144" i="10"/>
  <c r="X148" i="10"/>
  <c r="X141" i="10"/>
  <c r="X148" i="1" l="1"/>
  <c r="X149" i="1"/>
  <c r="X142" i="1"/>
  <c r="X165" i="1" s="1"/>
  <c r="X145" i="1"/>
  <c r="X150" i="1"/>
  <c r="X141" i="1"/>
  <c r="X152" i="1"/>
  <c r="X151" i="1"/>
  <c r="X143" i="1"/>
  <c r="X140" i="1"/>
  <c r="X147" i="1"/>
  <c r="X144" i="1"/>
  <c r="X163" i="10"/>
  <c r="X155" i="10"/>
  <c r="X159" i="10" s="1"/>
  <c r="X152" i="10"/>
  <c r="X160" i="10"/>
  <c r="X157" i="1" l="1"/>
  <c r="X161" i="1" s="1"/>
  <c r="X162" i="1"/>
  <c r="X154" i="1"/>
  <c r="X164" i="1" s="1"/>
  <c r="X162" i="10"/>
  <c r="X153" i="10"/>
  <c r="X154" i="10" s="1"/>
  <c r="X161" i="10"/>
  <c r="X163" i="1" l="1"/>
  <c r="X155" i="1"/>
  <c r="X156" i="1" s="1"/>
  <c r="Y141" i="1" s="1"/>
  <c r="Y141" i="10"/>
  <c r="Y148" i="10"/>
  <c r="Y146" i="10"/>
  <c r="Y143" i="10"/>
  <c r="Y147" i="10"/>
  <c r="Y145" i="10"/>
  <c r="Y144" i="10"/>
  <c r="Y150" i="10"/>
  <c r="Y140" i="10"/>
  <c r="Y139" i="10"/>
  <c r="Y149" i="10"/>
  <c r="Y142" i="10"/>
  <c r="Y143" i="1" l="1"/>
  <c r="Y142" i="1"/>
  <c r="Y165" i="1" s="1"/>
  <c r="Y151" i="1"/>
  <c r="Y150" i="1"/>
  <c r="Y145" i="1"/>
  <c r="Y144" i="1"/>
  <c r="Y149" i="1"/>
  <c r="Y152" i="1"/>
  <c r="Y147" i="1"/>
  <c r="Y140" i="1"/>
  <c r="Y146" i="1"/>
  <c r="Y148" i="1"/>
  <c r="Y155" i="10"/>
  <c r="Y159" i="10" s="1"/>
  <c r="Y152" i="10"/>
  <c r="Y163" i="10"/>
  <c r="Y160" i="10"/>
  <c r="Y157" i="1" l="1"/>
  <c r="Y161" i="1" s="1"/>
  <c r="Y154" i="1"/>
  <c r="Y164" i="1" s="1"/>
  <c r="Y162" i="1"/>
  <c r="Y162" i="10"/>
  <c r="Y153" i="10"/>
  <c r="Y154" i="10" s="1"/>
  <c r="Y161" i="10"/>
  <c r="Y155" i="1" l="1"/>
  <c r="Y156" i="1" s="1"/>
  <c r="Z143" i="1" s="1"/>
  <c r="Y163" i="1"/>
  <c r="Z142" i="10"/>
  <c r="Z144" i="10"/>
  <c r="Z139" i="10"/>
  <c r="Z140" i="10"/>
  <c r="Z150" i="10"/>
  <c r="Z146" i="10"/>
  <c r="Z145" i="10"/>
  <c r="Z143" i="10"/>
  <c r="Z148" i="10"/>
  <c r="Z147" i="10"/>
  <c r="Z149" i="10"/>
  <c r="Z141" i="10"/>
  <c r="Z151" i="1" l="1"/>
  <c r="Z140" i="1"/>
  <c r="Z148" i="1"/>
  <c r="Z145" i="1"/>
  <c r="Z146" i="1"/>
  <c r="Z152" i="1"/>
  <c r="Z142" i="1"/>
  <c r="Z165" i="1" s="1"/>
  <c r="Z147" i="1"/>
  <c r="Z144" i="1"/>
  <c r="Z149" i="1"/>
  <c r="Z150" i="1"/>
  <c r="Z141" i="1"/>
  <c r="Z163" i="10"/>
  <c r="Z152" i="10"/>
  <c r="Z155" i="10"/>
  <c r="Z159" i="10" s="1"/>
  <c r="Z160" i="10"/>
  <c r="Z157" i="1" l="1"/>
  <c r="Z161" i="1" s="1"/>
  <c r="Z154" i="1"/>
  <c r="Z164" i="1" s="1"/>
  <c r="Z162" i="1"/>
  <c r="Z153" i="10"/>
  <c r="Z154" i="10" s="1"/>
  <c r="Z161" i="10"/>
  <c r="Z162" i="10"/>
  <c r="Z155" i="1" l="1"/>
  <c r="Z156" i="1" s="1"/>
  <c r="AA142" i="1" s="1"/>
  <c r="Z163" i="1"/>
  <c r="AA141" i="10"/>
  <c r="AA149" i="10"/>
  <c r="AA139" i="10"/>
  <c r="AA144" i="10"/>
  <c r="AA143" i="10"/>
  <c r="AA145" i="10"/>
  <c r="AA148" i="10"/>
  <c r="AA147" i="10"/>
  <c r="AA150" i="10"/>
  <c r="AA140" i="10"/>
  <c r="AA146" i="10"/>
  <c r="AA142" i="10"/>
  <c r="AA150" i="1" l="1"/>
  <c r="AA140" i="1"/>
  <c r="AA152" i="1"/>
  <c r="AA143" i="1"/>
  <c r="AA147" i="1"/>
  <c r="AA141" i="1"/>
  <c r="AA151" i="1"/>
  <c r="AA146" i="1"/>
  <c r="AA148" i="1"/>
  <c r="AA145" i="1"/>
  <c r="AA149" i="1"/>
  <c r="AA144" i="1"/>
  <c r="AA160" i="10"/>
  <c r="AA155" i="10"/>
  <c r="AA159" i="10" s="1"/>
  <c r="AA152" i="10"/>
  <c r="AA163" i="10"/>
  <c r="AA165" i="1"/>
  <c r="AA157" i="1" l="1"/>
  <c r="AA161" i="1" s="1"/>
  <c r="AA162" i="1"/>
  <c r="AA154" i="1"/>
  <c r="AA164" i="1" s="1"/>
  <c r="AA162" i="10"/>
  <c r="AA153" i="10"/>
  <c r="AA154" i="10" s="1"/>
  <c r="AA161" i="10"/>
  <c r="AA155" i="1" l="1"/>
  <c r="AA156" i="1" s="1"/>
  <c r="AA163" i="1"/>
  <c r="AB142" i="10"/>
  <c r="AB146" i="10"/>
  <c r="AB139" i="10"/>
  <c r="AB149" i="10"/>
  <c r="AB143" i="10"/>
  <c r="AB148" i="10"/>
  <c r="AB150" i="10"/>
  <c r="AB147" i="10"/>
  <c r="AB140" i="10"/>
  <c r="AB144" i="10"/>
  <c r="AB145" i="10"/>
  <c r="AB141" i="10"/>
  <c r="AB149" i="1" l="1"/>
  <c r="AB146" i="1"/>
  <c r="AB140" i="1"/>
  <c r="AB143" i="1"/>
  <c r="AB152" i="1"/>
  <c r="AB142" i="1"/>
  <c r="AB165" i="1" s="1"/>
  <c r="AB148" i="1"/>
  <c r="AB144" i="1"/>
  <c r="AB147" i="1"/>
  <c r="AB151" i="1"/>
  <c r="AB150" i="1"/>
  <c r="AB145" i="1"/>
  <c r="AB141" i="1"/>
  <c r="AB160" i="10"/>
  <c r="AB152" i="10"/>
  <c r="AB155" i="10"/>
  <c r="AB159" i="10" s="1"/>
  <c r="AB163" i="10"/>
  <c r="AB157" i="1" l="1"/>
  <c r="AB161" i="1" s="1"/>
  <c r="AB154" i="1"/>
  <c r="AB164" i="1" s="1"/>
  <c r="AB162" i="1"/>
  <c r="AB161" i="10"/>
  <c r="AB153" i="10"/>
  <c r="AB154" i="10" s="1"/>
  <c r="AB162" i="10"/>
  <c r="AB163" i="1" l="1"/>
  <c r="AB155" i="1"/>
  <c r="AB156" i="1" s="1"/>
  <c r="AC141" i="10"/>
  <c r="AC145" i="10"/>
  <c r="AC139" i="10"/>
  <c r="AC150" i="10"/>
  <c r="AC144" i="10"/>
  <c r="AC140" i="10"/>
  <c r="AC142" i="10"/>
  <c r="AC147" i="10"/>
  <c r="AC148" i="10"/>
  <c r="AC143" i="10"/>
  <c r="AC149" i="10"/>
  <c r="AC146" i="10"/>
  <c r="AC150" i="1" l="1"/>
  <c r="AC146" i="1"/>
  <c r="AC148" i="1"/>
  <c r="AC152" i="1"/>
  <c r="AC151" i="1"/>
  <c r="AC149" i="1"/>
  <c r="AC144" i="1"/>
  <c r="AC140" i="1"/>
  <c r="AC142" i="1"/>
  <c r="AC165" i="1" s="1"/>
  <c r="AC141" i="1"/>
  <c r="AC145" i="1"/>
  <c r="AC143" i="1"/>
  <c r="AC147" i="1"/>
  <c r="AC160" i="10"/>
  <c r="AC163" i="10"/>
  <c r="AC152" i="10"/>
  <c r="AC155" i="10"/>
  <c r="AC159" i="10" s="1"/>
  <c r="AC157" i="1" l="1"/>
  <c r="AC161" i="1" s="1"/>
  <c r="AC162" i="1"/>
  <c r="AC154" i="1"/>
  <c r="AC164" i="1" s="1"/>
  <c r="AC161" i="10"/>
  <c r="AC162" i="10"/>
  <c r="AC153" i="10"/>
  <c r="AC154" i="10" s="1"/>
  <c r="AC163" i="1" l="1"/>
  <c r="AC155" i="1"/>
  <c r="AC156" i="1" s="1"/>
  <c r="AD146" i="10"/>
  <c r="AD143" i="10"/>
  <c r="AD150" i="10"/>
  <c r="AD139" i="10"/>
  <c r="AD147" i="10"/>
  <c r="AD145" i="10"/>
  <c r="AD141" i="10"/>
  <c r="AD149" i="10"/>
  <c r="AD148" i="10"/>
  <c r="AD140" i="10"/>
  <c r="AD144" i="10"/>
  <c r="AD142" i="10"/>
  <c r="AD146" i="1" l="1"/>
  <c r="AD147" i="1"/>
  <c r="AD148" i="1"/>
  <c r="AD144" i="1"/>
  <c r="AD142" i="1"/>
  <c r="AD165" i="1" s="1"/>
  <c r="AD149" i="1"/>
  <c r="AD150" i="1"/>
  <c r="AD152" i="1"/>
  <c r="AD140" i="1"/>
  <c r="AD143" i="1"/>
  <c r="AD141" i="1"/>
  <c r="AD151" i="1"/>
  <c r="AD145" i="1"/>
  <c r="AD155" i="10"/>
  <c r="AD159" i="10" s="1"/>
  <c r="AD152" i="10"/>
  <c r="AD163" i="10"/>
  <c r="AD160" i="10"/>
  <c r="AD157" i="1" l="1"/>
  <c r="AD161" i="1" s="1"/>
  <c r="AD154" i="1"/>
  <c r="AD164" i="1" s="1"/>
  <c r="AD162" i="1"/>
  <c r="AD162" i="10"/>
  <c r="AD161" i="10"/>
  <c r="AD153" i="10"/>
  <c r="AD154" i="10" s="1"/>
  <c r="AD163" i="1" l="1"/>
  <c r="AD155" i="1"/>
  <c r="AD156" i="1" s="1"/>
  <c r="AE142" i="10"/>
  <c r="AE139" i="10"/>
  <c r="AE148" i="10"/>
  <c r="AE149" i="10"/>
  <c r="AE144" i="10"/>
  <c r="AE140" i="10"/>
  <c r="AE146" i="10"/>
  <c r="AE141" i="10"/>
  <c r="AE145" i="10"/>
  <c r="AE147" i="10"/>
  <c r="AE150" i="10"/>
  <c r="AE143" i="10"/>
  <c r="AE143" i="1" l="1"/>
  <c r="AE150" i="1"/>
  <c r="AE152" i="1"/>
  <c r="AE144" i="1"/>
  <c r="AE148" i="1"/>
  <c r="AE145" i="1"/>
  <c r="AE149" i="1"/>
  <c r="AE146" i="1"/>
  <c r="AE151" i="1"/>
  <c r="AE141" i="1"/>
  <c r="AE142" i="1"/>
  <c r="AE165" i="1" s="1"/>
  <c r="AE140" i="1"/>
  <c r="AE147" i="1"/>
  <c r="AE160" i="10"/>
  <c r="AE163" i="10"/>
  <c r="AE152" i="10"/>
  <c r="AE155" i="10"/>
  <c r="AE159" i="10" s="1"/>
  <c r="AE157" i="1" l="1"/>
  <c r="AE161" i="1" s="1"/>
  <c r="AE162" i="1"/>
  <c r="AE154" i="1"/>
  <c r="AE164" i="1" s="1"/>
  <c r="AE162" i="10"/>
  <c r="AE153" i="10"/>
  <c r="AE154" i="10" s="1"/>
  <c r="AE161" i="10"/>
  <c r="AE163" i="1" l="1"/>
  <c r="AE155" i="1"/>
  <c r="AE156" i="1" s="1"/>
  <c r="AF141" i="1" s="1"/>
  <c r="AF143" i="10"/>
  <c r="AF146" i="10"/>
  <c r="AF139" i="10"/>
  <c r="AF149" i="10"/>
  <c r="AF144" i="10"/>
  <c r="AF147" i="10"/>
  <c r="AF142" i="10"/>
  <c r="AF141" i="10"/>
  <c r="AF148" i="10"/>
  <c r="AF140" i="10"/>
  <c r="AF145" i="10"/>
  <c r="AF150" i="10"/>
  <c r="AF140" i="1" l="1"/>
  <c r="AF142" i="1"/>
  <c r="AF165" i="1" s="1"/>
  <c r="AF152" i="1"/>
  <c r="AF143" i="1"/>
  <c r="AF151" i="1"/>
  <c r="AF148" i="1"/>
  <c r="AF149" i="1"/>
  <c r="AF146" i="1"/>
  <c r="AF150" i="1"/>
  <c r="AF147" i="1"/>
  <c r="AF145" i="1"/>
  <c r="AF144" i="1"/>
  <c r="AF155" i="10"/>
  <c r="AF159" i="10" s="1"/>
  <c r="AF152" i="10"/>
  <c r="AF163" i="10"/>
  <c r="AF160" i="10"/>
  <c r="AF157" i="1" l="1"/>
  <c r="AF161" i="1" s="1"/>
  <c r="AF154" i="1"/>
  <c r="AF164" i="1" s="1"/>
  <c r="AF162" i="1"/>
  <c r="AF161" i="10"/>
  <c r="AF153" i="10"/>
  <c r="AF154" i="10" s="1"/>
  <c r="AF162" i="10"/>
  <c r="AF163" i="1" l="1"/>
  <c r="AF155" i="1"/>
  <c r="AF156" i="1" s="1"/>
  <c r="AG150" i="10"/>
  <c r="AG142" i="10"/>
  <c r="AG146" i="10"/>
  <c r="AG148" i="10"/>
  <c r="AG149" i="10"/>
  <c r="AG141" i="10"/>
  <c r="AG140" i="10"/>
  <c r="AG144" i="10"/>
  <c r="AG145" i="10"/>
  <c r="AG139" i="10"/>
  <c r="AG147" i="10"/>
  <c r="AG143" i="10"/>
  <c r="AG144" i="1" l="1"/>
  <c r="AG143" i="1"/>
  <c r="AG149" i="1"/>
  <c r="AG146" i="1"/>
  <c r="AG147" i="1"/>
  <c r="AG140" i="1"/>
  <c r="AG150" i="1"/>
  <c r="AG142" i="1"/>
  <c r="AG165" i="1" s="1"/>
  <c r="AG152" i="1"/>
  <c r="AG141" i="1"/>
  <c r="AG148" i="1"/>
  <c r="AG145" i="1"/>
  <c r="AG151" i="1"/>
  <c r="AG155" i="10"/>
  <c r="AG159" i="10" s="1"/>
  <c r="AG152" i="10"/>
  <c r="AG160" i="10"/>
  <c r="AG163" i="10"/>
  <c r="AG162" i="1" l="1"/>
  <c r="AG157" i="1"/>
  <c r="AG161" i="1" s="1"/>
  <c r="AG154" i="1"/>
  <c r="AG164" i="1" s="1"/>
  <c r="AG161" i="10"/>
  <c r="AG162" i="10"/>
  <c r="AG153" i="10"/>
  <c r="AG154" i="10" s="1"/>
  <c r="AG163" i="1" l="1"/>
  <c r="AG155" i="1"/>
  <c r="AG156" i="1" s="1"/>
  <c r="AH143" i="10"/>
  <c r="AH150" i="10"/>
  <c r="AH140" i="10"/>
  <c r="AH139" i="10"/>
  <c r="AH148" i="10"/>
  <c r="AH147" i="10"/>
  <c r="AH141" i="10"/>
  <c r="AH144" i="10"/>
  <c r="AH149" i="10"/>
  <c r="AH142" i="10"/>
  <c r="AH145" i="10"/>
  <c r="AH146" i="10"/>
  <c r="AH147" i="1" l="1"/>
  <c r="AH142" i="1"/>
  <c r="AH165" i="1" s="1"/>
  <c r="AH140" i="1"/>
  <c r="AH152" i="1"/>
  <c r="AH145" i="1"/>
  <c r="AH150" i="1"/>
  <c r="AH148" i="1"/>
  <c r="AH143" i="1"/>
  <c r="AH149" i="1"/>
  <c r="AH146" i="1"/>
  <c r="AH144" i="1"/>
  <c r="AH141" i="1"/>
  <c r="AH151" i="1"/>
  <c r="AH160" i="10"/>
  <c r="AH152" i="10"/>
  <c r="AH155" i="10"/>
  <c r="AH159" i="10" s="1"/>
  <c r="AH163" i="10"/>
  <c r="AH157" i="1" l="1"/>
  <c r="AH161" i="1" s="1"/>
  <c r="AH162" i="1"/>
  <c r="AH154" i="1"/>
  <c r="AH164" i="1" s="1"/>
  <c r="AH162" i="10"/>
  <c r="AH161" i="10"/>
  <c r="AH153" i="10"/>
  <c r="AH154" i="10" s="1"/>
  <c r="AH155" i="1" l="1"/>
  <c r="AH156" i="1" s="1"/>
  <c r="AH163" i="1"/>
  <c r="AI141" i="10"/>
  <c r="AI150" i="10"/>
  <c r="AI149" i="10"/>
  <c r="AI140" i="10"/>
  <c r="AI147" i="10"/>
  <c r="AI146" i="10"/>
  <c r="AI139" i="10"/>
  <c r="AI148" i="10"/>
  <c r="AI144" i="10"/>
  <c r="AI145" i="10"/>
  <c r="AI142" i="10"/>
  <c r="AI143" i="10"/>
  <c r="AI144" i="1" l="1"/>
  <c r="AI151" i="1"/>
  <c r="AI143" i="1"/>
  <c r="AI147" i="1"/>
  <c r="AI152" i="1"/>
  <c r="AI142" i="1"/>
  <c r="AI165" i="1" s="1"/>
  <c r="AI148" i="1"/>
  <c r="AI150" i="1"/>
  <c r="AI149" i="1"/>
  <c r="AI145" i="1"/>
  <c r="AI146" i="1"/>
  <c r="AI141" i="1"/>
  <c r="AI140" i="1"/>
  <c r="AI163" i="10"/>
  <c r="AI155" i="10"/>
  <c r="AI159" i="10" s="1"/>
  <c r="AI152" i="10"/>
  <c r="AI160" i="10"/>
  <c r="AI157" i="1" l="1"/>
  <c r="AI161" i="1" s="1"/>
  <c r="AI162" i="1"/>
  <c r="AI154" i="1"/>
  <c r="AI164" i="1" s="1"/>
  <c r="AI161" i="10"/>
  <c r="AI162" i="10"/>
  <c r="AI153" i="10"/>
  <c r="AI154" i="10" s="1"/>
  <c r="AI163" i="1" l="1"/>
  <c r="AI155" i="1"/>
  <c r="AI156" i="1" s="1"/>
  <c r="AJ141" i="1" s="1"/>
  <c r="AJ143" i="10"/>
  <c r="AJ142" i="10"/>
  <c r="AJ149" i="10"/>
  <c r="AJ144" i="10"/>
  <c r="AJ148" i="10"/>
  <c r="AJ145" i="10"/>
  <c r="AJ139" i="10"/>
  <c r="AJ141" i="10"/>
  <c r="AJ146" i="10"/>
  <c r="AJ147" i="10"/>
  <c r="AJ140" i="10"/>
  <c r="AJ150" i="10"/>
  <c r="AJ144" i="1" l="1"/>
  <c r="AJ148" i="1"/>
  <c r="AJ142" i="1"/>
  <c r="AJ165" i="1" s="1"/>
  <c r="AJ152" i="1"/>
  <c r="AJ143" i="1"/>
  <c r="AJ151" i="1"/>
  <c r="AJ145" i="1"/>
  <c r="AJ150" i="1"/>
  <c r="AJ147" i="1"/>
  <c r="AJ149" i="1"/>
  <c r="AJ146" i="1"/>
  <c r="AJ140" i="1"/>
  <c r="AJ163" i="10"/>
  <c r="AJ155" i="10"/>
  <c r="AJ159" i="10" s="1"/>
  <c r="AJ152" i="10"/>
  <c r="AJ160" i="10"/>
  <c r="AJ157" i="1" l="1"/>
  <c r="AJ161" i="1" s="1"/>
  <c r="AJ162" i="1"/>
  <c r="AJ154" i="1"/>
  <c r="AJ164" i="1" s="1"/>
  <c r="AJ162" i="10"/>
  <c r="AJ161" i="10"/>
  <c r="AJ153" i="10"/>
  <c r="AJ154" i="10" s="1"/>
  <c r="AJ155" i="1" l="1"/>
  <c r="AJ156" i="1" s="1"/>
  <c r="AJ163" i="1"/>
  <c r="AK150" i="10"/>
  <c r="AK140" i="10"/>
  <c r="AK149" i="10"/>
  <c r="AK147" i="10"/>
  <c r="AK141" i="10"/>
  <c r="AK145" i="10"/>
  <c r="AK146" i="10"/>
  <c r="AK144" i="10"/>
  <c r="AK142" i="10"/>
  <c r="AK148" i="10"/>
  <c r="AK139" i="10"/>
  <c r="AK143" i="10"/>
  <c r="AK144" i="1" l="1"/>
  <c r="AK146" i="1"/>
  <c r="AK145" i="1"/>
  <c r="AK147" i="1"/>
  <c r="AK148" i="1"/>
  <c r="AK152" i="1"/>
  <c r="AK142" i="1"/>
  <c r="AK165" i="1" s="1"/>
  <c r="AK151" i="1"/>
  <c r="AK149" i="1"/>
  <c r="AK150" i="1"/>
  <c r="AK141" i="1"/>
  <c r="AK143" i="1"/>
  <c r="AK140" i="1"/>
  <c r="AK160" i="10"/>
  <c r="AK152" i="10"/>
  <c r="AK155" i="10"/>
  <c r="AK159" i="10" s="1"/>
  <c r="AK163" i="10"/>
  <c r="AK157" i="1" l="1"/>
  <c r="AK161" i="1" s="1"/>
  <c r="AK162" i="1"/>
  <c r="AK154" i="1"/>
  <c r="AK164" i="1" s="1"/>
  <c r="AK161" i="10"/>
  <c r="AK162" i="10"/>
  <c r="AK153" i="10"/>
  <c r="AK154" i="10" s="1"/>
  <c r="AK163" i="1" l="1"/>
  <c r="AK155" i="1"/>
  <c r="AK156" i="1" s="1"/>
  <c r="AL141" i="1" s="1"/>
  <c r="AL143" i="10"/>
  <c r="AL149" i="10"/>
  <c r="AL140" i="10"/>
  <c r="AL144" i="10"/>
  <c r="AL148" i="10"/>
  <c r="AL142" i="10"/>
  <c r="AL139" i="10"/>
  <c r="AL145" i="10"/>
  <c r="AL141" i="10"/>
  <c r="AL147" i="10"/>
  <c r="AL146" i="10"/>
  <c r="AL150" i="10"/>
  <c r="AL148" i="1" l="1"/>
  <c r="AL140" i="1"/>
  <c r="AL149" i="1"/>
  <c r="AL145" i="1"/>
  <c r="AL150" i="1"/>
  <c r="AL146" i="1"/>
  <c r="AL152" i="1"/>
  <c r="AL142" i="1"/>
  <c r="AL165" i="1" s="1"/>
  <c r="AL147" i="1"/>
  <c r="AL144" i="1"/>
  <c r="AL151" i="1"/>
  <c r="AL143" i="1"/>
  <c r="AL155" i="10"/>
  <c r="AL159" i="10" s="1"/>
  <c r="AL152" i="10"/>
  <c r="AL163" i="10"/>
  <c r="AL160" i="10"/>
  <c r="AL157" i="1" l="1"/>
  <c r="AL161" i="1" s="1"/>
  <c r="AL154" i="1"/>
  <c r="AL164" i="1" s="1"/>
  <c r="AL162" i="1"/>
  <c r="AL162" i="10"/>
  <c r="AL161" i="10"/>
  <c r="AL153" i="10"/>
  <c r="AL154" i="10" s="1"/>
  <c r="AL163" i="1" l="1"/>
  <c r="AL155" i="1"/>
  <c r="AL156" i="1" s="1"/>
  <c r="AM150" i="10"/>
  <c r="AM140" i="10"/>
  <c r="AM149" i="10"/>
  <c r="AM148" i="10"/>
  <c r="AM145" i="10"/>
  <c r="AM141" i="10"/>
  <c r="AM144" i="10"/>
  <c r="AM139" i="10"/>
  <c r="AM147" i="10"/>
  <c r="AM146" i="10"/>
  <c r="AM142" i="10"/>
  <c r="AM143" i="10"/>
  <c r="AM148" i="1" l="1"/>
  <c r="AM142" i="1"/>
  <c r="AM165" i="1" s="1"/>
  <c r="AM140" i="1"/>
  <c r="AM151" i="1"/>
  <c r="AM145" i="1"/>
  <c r="AM141" i="1"/>
  <c r="AM144" i="1"/>
  <c r="AM146" i="1"/>
  <c r="AM143" i="1"/>
  <c r="AM147" i="1"/>
  <c r="AM149" i="1"/>
  <c r="AM150" i="1"/>
  <c r="AM152" i="1"/>
  <c r="AM152" i="10"/>
  <c r="AM155" i="10"/>
  <c r="AM159" i="10" s="1"/>
  <c r="AM163" i="10"/>
  <c r="AM160" i="10"/>
  <c r="AM157" i="1" l="1"/>
  <c r="AM161" i="1" s="1"/>
  <c r="AM162" i="1"/>
  <c r="AM154" i="1"/>
  <c r="AM164" i="1" s="1"/>
  <c r="AM161" i="10"/>
  <c r="AM162" i="10"/>
  <c r="AM153" i="10"/>
  <c r="AM154" i="10" s="1"/>
  <c r="AM163" i="1" l="1"/>
  <c r="AM155" i="1"/>
  <c r="AM156" i="1" s="1"/>
  <c r="AN151" i="1" s="1"/>
  <c r="AN143" i="10"/>
  <c r="AN148" i="10"/>
  <c r="AN146" i="10"/>
  <c r="AN147" i="10"/>
  <c r="AN142" i="10"/>
  <c r="AN141" i="10"/>
  <c r="AN144" i="10"/>
  <c r="AN145" i="10"/>
  <c r="AN139" i="10"/>
  <c r="AN149" i="10"/>
  <c r="AN140" i="10"/>
  <c r="AN150" i="10"/>
  <c r="AN144" i="1" l="1"/>
  <c r="AN146" i="1"/>
  <c r="AN140" i="1"/>
  <c r="AN143" i="1"/>
  <c r="AN150" i="1"/>
  <c r="AN145" i="1"/>
  <c r="AN147" i="1"/>
  <c r="AN152" i="1"/>
  <c r="AN148" i="1"/>
  <c r="AN142" i="1"/>
  <c r="AN165" i="1" s="1"/>
  <c r="AN149" i="1"/>
  <c r="AN141" i="1"/>
  <c r="AN160" i="10"/>
  <c r="AN163" i="10"/>
  <c r="AN155" i="10"/>
  <c r="AN159" i="10" s="1"/>
  <c r="AN152" i="10"/>
  <c r="AN157" i="1" l="1"/>
  <c r="AN161" i="1" s="1"/>
  <c r="AN154" i="1"/>
  <c r="AN164" i="1" s="1"/>
  <c r="AN162" i="1"/>
  <c r="AN162" i="10"/>
  <c r="AN161" i="10"/>
  <c r="AN153" i="10"/>
  <c r="AN154" i="10" s="1"/>
  <c r="AN163" i="1" l="1"/>
  <c r="AN155" i="1"/>
  <c r="AO150" i="10"/>
  <c r="AO149" i="10"/>
  <c r="AO145" i="10"/>
  <c r="AO140" i="10"/>
  <c r="AO141" i="10"/>
  <c r="AO139" i="10"/>
  <c r="AO144" i="10"/>
  <c r="AO148" i="10"/>
  <c r="AO142" i="10"/>
  <c r="AO147" i="10"/>
  <c r="AO146" i="10"/>
  <c r="AO143" i="10"/>
  <c r="AN156" i="1" l="1"/>
  <c r="AO149" i="1" s="1"/>
  <c r="AO163" i="10"/>
  <c r="AO160" i="10"/>
  <c r="AO152" i="10"/>
  <c r="AO155" i="10"/>
  <c r="AO159" i="10" s="1"/>
  <c r="AO141" i="1" l="1"/>
  <c r="AO151" i="1"/>
  <c r="AO144" i="1"/>
  <c r="AO152" i="1"/>
  <c r="AO150" i="1"/>
  <c r="AO142" i="1"/>
  <c r="AO165" i="1" s="1"/>
  <c r="AO143" i="1"/>
  <c r="AO145" i="1"/>
  <c r="AO146" i="1"/>
  <c r="AO148" i="1"/>
  <c r="AO147" i="1"/>
  <c r="AO140" i="1"/>
  <c r="AO161" i="10"/>
  <c r="AO162" i="10"/>
  <c r="AO153" i="10"/>
  <c r="AO154" i="10" s="1"/>
  <c r="AO162" i="1" l="1"/>
  <c r="AO157" i="1"/>
  <c r="AO161" i="1" s="1"/>
  <c r="AO154" i="1"/>
  <c r="AP143" i="10"/>
  <c r="AP146" i="10"/>
  <c r="AP147" i="10"/>
  <c r="AP149" i="10"/>
  <c r="AP148" i="10"/>
  <c r="AP144" i="10"/>
  <c r="AP142" i="10"/>
  <c r="AP145" i="10"/>
  <c r="AP141" i="10"/>
  <c r="AP140" i="10"/>
  <c r="AP163" i="10" s="1"/>
  <c r="AP139" i="10"/>
  <c r="AP150" i="10"/>
  <c r="AO164" i="1" l="1"/>
  <c r="AO163" i="1"/>
  <c r="AO155" i="1"/>
  <c r="AO156" i="1" s="1"/>
  <c r="AP160" i="10"/>
  <c r="AP155" i="10"/>
  <c r="AP159" i="10" s="1"/>
  <c r="AP152" i="10"/>
  <c r="AP149" i="1" l="1"/>
  <c r="AP150" i="1"/>
  <c r="AP148" i="1"/>
  <c r="AP151" i="1"/>
  <c r="AP152" i="1"/>
  <c r="AP146" i="1"/>
  <c r="AP141" i="1"/>
  <c r="AP143" i="1"/>
  <c r="AP144" i="1"/>
  <c r="AP140" i="1"/>
  <c r="AP147" i="1"/>
  <c r="AP145" i="1"/>
  <c r="AP142" i="1"/>
  <c r="AP165" i="1" s="1"/>
  <c r="AP162" i="10"/>
  <c r="AP161" i="10"/>
  <c r="AP153" i="10"/>
  <c r="AP154" i="10" s="1"/>
  <c r="AP154" i="1" l="1"/>
  <c r="AP157" i="1"/>
  <c r="AP161" i="1" s="1"/>
  <c r="AP162" i="1"/>
  <c r="AP164" i="1" l="1"/>
  <c r="AP155" i="1"/>
  <c r="AP156" i="1" s="1"/>
  <c r="AP163" i="1"/>
  <c r="B182" i="1" l="1"/>
  <c r="B192" i="1" s="1"/>
  <c r="B194" i="1" l="1"/>
  <c r="B197" i="1"/>
  <c r="B196" i="1"/>
  <c r="B195" i="1"/>
  <c r="B193" i="1"/>
  <c r="B213" i="1" l="1"/>
  <c r="B216" i="1" s="1"/>
  <c r="B199" i="1"/>
  <c r="B221" i="1" s="1"/>
  <c r="B207" i="1"/>
  <c r="B202" i="1"/>
  <c r="B206" i="1" s="1"/>
  <c r="B224" i="1" l="1"/>
  <c r="C176" i="1"/>
  <c r="C182" i="1" s="1"/>
  <c r="B222" i="1"/>
  <c r="C204" i="1" s="1"/>
  <c r="C175" i="1"/>
  <c r="C181" i="1" s="1"/>
  <c r="C212" i="1"/>
  <c r="B209" i="1"/>
  <c r="B208" i="1"/>
  <c r="B200" i="1"/>
  <c r="B201" i="1" s="1"/>
  <c r="C185" i="1" s="1"/>
  <c r="C186" i="1" l="1"/>
  <c r="C219" i="1" s="1"/>
  <c r="C193" i="1"/>
  <c r="C189" i="1"/>
  <c r="C190" i="1"/>
  <c r="C196" i="1"/>
  <c r="C197" i="1"/>
  <c r="C194" i="1"/>
  <c r="C195" i="1"/>
  <c r="C192" i="1"/>
  <c r="C191" i="1"/>
  <c r="C188" i="1"/>
  <c r="C211" i="1" s="1"/>
  <c r="C187" i="1"/>
  <c r="C210" i="1" s="1"/>
  <c r="C223" i="1" s="1"/>
  <c r="C198" i="1"/>
  <c r="C220" i="1" l="1"/>
  <c r="C218" i="1" s="1"/>
  <c r="C202" i="1"/>
  <c r="C206" i="1" s="1"/>
  <c r="C199" i="1"/>
  <c r="C221" i="1" s="1"/>
  <c r="C213" i="1"/>
  <c r="C207" i="1"/>
  <c r="D174" i="1" l="1"/>
  <c r="D180" i="1" s="1"/>
  <c r="D171" i="1"/>
  <c r="D173" i="1"/>
  <c r="D179" i="1" s="1"/>
  <c r="C209" i="1"/>
  <c r="C208" i="1"/>
  <c r="C200" i="1"/>
  <c r="C201" i="1" s="1"/>
  <c r="D172" i="1" l="1"/>
  <c r="D178" i="1" s="1"/>
  <c r="C217" i="1"/>
  <c r="D177" i="1" l="1"/>
  <c r="D184" i="1" s="1"/>
  <c r="D205" i="1" s="1"/>
  <c r="C216" i="1"/>
  <c r="D186" i="1"/>
  <c r="D185" i="1"/>
  <c r="D219" i="1" l="1"/>
  <c r="C215" i="1"/>
  <c r="D220" i="1"/>
  <c r="D183" i="1"/>
  <c r="D198" i="1" s="1"/>
  <c r="D218" i="1" l="1"/>
  <c r="C224" i="1"/>
  <c r="B225" i="1" s="1"/>
  <c r="D212" i="1"/>
  <c r="D175" i="1"/>
  <c r="D181" i="1" s="1"/>
  <c r="D189" i="1" s="1"/>
  <c r="D176" i="1"/>
  <c r="D182" i="1" s="1"/>
  <c r="D193" i="1" s="1"/>
  <c r="D188" i="1"/>
  <c r="D211" i="1" s="1"/>
  <c r="D187" i="1"/>
  <c r="D210" i="1" s="1"/>
  <c r="D223" i="1" s="1"/>
  <c r="C222" i="1"/>
  <c r="D204" i="1" s="1"/>
  <c r="E174" i="1"/>
  <c r="E180" i="1" s="1"/>
  <c r="E171" i="1"/>
  <c r="E173" i="1"/>
  <c r="E179" i="1" s="1"/>
  <c r="D197" i="1" l="1"/>
  <c r="D191" i="1"/>
  <c r="D195" i="1"/>
  <c r="D190" i="1"/>
  <c r="D192" i="1"/>
  <c r="D196" i="1"/>
  <c r="D194" i="1"/>
  <c r="D217" i="1"/>
  <c r="E177" i="1" s="1"/>
  <c r="E183" i="1" s="1"/>
  <c r="E172" i="1"/>
  <c r="D207" i="1" l="1"/>
  <c r="D199" i="1"/>
  <c r="D209" i="1" s="1"/>
  <c r="D213" i="1"/>
  <c r="D216" i="1" s="1"/>
  <c r="D215" i="1" s="1"/>
  <c r="D202" i="1"/>
  <c r="D206" i="1" s="1"/>
  <c r="E184" i="1"/>
  <c r="E205" i="1" s="1"/>
  <c r="E178" i="1"/>
  <c r="D208" i="1" l="1"/>
  <c r="D221" i="1"/>
  <c r="D224" i="1" s="1"/>
  <c r="D200" i="1"/>
  <c r="D201" i="1" s="1"/>
  <c r="E198" i="1" s="1"/>
  <c r="E176" i="1"/>
  <c r="E182" i="1" s="1"/>
  <c r="D222" i="1"/>
  <c r="E204" i="1" s="1"/>
  <c r="E175" i="1"/>
  <c r="E181" i="1" s="1"/>
  <c r="E188" i="1"/>
  <c r="E211" i="1" s="1"/>
  <c r="E212" i="1"/>
  <c r="E187" i="1"/>
  <c r="E210" i="1" s="1"/>
  <c r="E223" i="1" s="1"/>
  <c r="E186" i="1" l="1"/>
  <c r="E185" i="1"/>
  <c r="C225" i="1"/>
  <c r="E197" i="1"/>
  <c r="E193" i="1"/>
  <c r="E191" i="1"/>
  <c r="E190" i="1"/>
  <c r="E195" i="1"/>
  <c r="E196" i="1"/>
  <c r="E194" i="1"/>
  <c r="E192" i="1"/>
  <c r="E189" i="1"/>
  <c r="E219" i="1" l="1"/>
  <c r="E220" i="1"/>
  <c r="F174" i="1" s="1"/>
  <c r="F180" i="1" s="1"/>
  <c r="E207" i="1"/>
  <c r="E213" i="1"/>
  <c r="E199" i="1"/>
  <c r="E221" i="1" s="1"/>
  <c r="E202" i="1"/>
  <c r="E206" i="1" s="1"/>
  <c r="E218" i="1" l="1"/>
  <c r="F172" i="1" s="1"/>
  <c r="F173" i="1"/>
  <c r="F179" i="1" s="1"/>
  <c r="F171" i="1"/>
  <c r="E217" i="1"/>
  <c r="F177" i="1" s="1"/>
  <c r="F184" i="1" s="1"/>
  <c r="F205" i="1" s="1"/>
  <c r="E208" i="1"/>
  <c r="E209" i="1"/>
  <c r="E200" i="1"/>
  <c r="E201" i="1" s="1"/>
  <c r="E216" i="1" l="1"/>
  <c r="E215" i="1" s="1"/>
  <c r="E224" i="1" s="1"/>
  <c r="F178" i="1"/>
  <c r="F183" i="1"/>
  <c r="F198" i="1" s="1"/>
  <c r="F187" i="1" l="1"/>
  <c r="F210" i="1" s="1"/>
  <c r="F223" i="1" s="1"/>
  <c r="F212" i="1"/>
  <c r="F176" i="1"/>
  <c r="F182" i="1" s="1"/>
  <c r="F193" i="1" s="1"/>
  <c r="E222" i="1"/>
  <c r="F204" i="1" s="1"/>
  <c r="F175" i="1"/>
  <c r="F181" i="1" s="1"/>
  <c r="F191" i="1" s="1"/>
  <c r="D225" i="1"/>
  <c r="F188" i="1"/>
  <c r="F211" i="1" s="1"/>
  <c r="F186" i="1"/>
  <c r="F185" i="1"/>
  <c r="F219" i="1" l="1"/>
  <c r="F189" i="1"/>
  <c r="F195" i="1"/>
  <c r="F194" i="1"/>
  <c r="F207" i="1" s="1"/>
  <c r="F192" i="1"/>
  <c r="F197" i="1"/>
  <c r="F196" i="1"/>
  <c r="F190" i="1"/>
  <c r="F220" i="1"/>
  <c r="F218" i="1" s="1"/>
  <c r="F213" i="1" l="1"/>
  <c r="F202" i="1"/>
  <c r="F206" i="1" s="1"/>
  <c r="F199" i="1"/>
  <c r="F200" i="1" s="1"/>
  <c r="F201" i="1" s="1"/>
  <c r="G173" i="1"/>
  <c r="G179" i="1" s="1"/>
  <c r="G171" i="1"/>
  <c r="G174" i="1"/>
  <c r="G180" i="1" s="1"/>
  <c r="F209" i="1" l="1"/>
  <c r="F208" i="1"/>
  <c r="F221" i="1"/>
  <c r="F217" i="1"/>
  <c r="G177" i="1" s="1"/>
  <c r="G183" i="1" s="1"/>
  <c r="G198" i="1" s="1"/>
  <c r="G172" i="1"/>
  <c r="G178" i="1" s="1"/>
  <c r="F216" i="1" l="1"/>
  <c r="F215" i="1" s="1"/>
  <c r="F224" i="1" s="1"/>
  <c r="G184" i="1"/>
  <c r="G205" i="1" s="1"/>
  <c r="G186" i="1"/>
  <c r="G185" i="1"/>
  <c r="G219" i="1" l="1"/>
  <c r="G212" i="1"/>
  <c r="G175" i="1"/>
  <c r="G181" i="1" s="1"/>
  <c r="G189" i="1" s="1"/>
  <c r="G187" i="1"/>
  <c r="G210" i="1" s="1"/>
  <c r="G223" i="1" s="1"/>
  <c r="E225" i="1"/>
  <c r="G176" i="1"/>
  <c r="G182" i="1" s="1"/>
  <c r="G193" i="1" s="1"/>
  <c r="G188" i="1"/>
  <c r="G211" i="1" s="1"/>
  <c r="F222" i="1"/>
  <c r="G204" i="1" s="1"/>
  <c r="G220" i="1"/>
  <c r="G218" i="1" l="1"/>
  <c r="G190" i="1"/>
  <c r="G191" i="1"/>
  <c r="G195" i="1"/>
  <c r="G192" i="1"/>
  <c r="G197" i="1"/>
  <c r="G194" i="1"/>
  <c r="G196" i="1"/>
  <c r="H174" i="1"/>
  <c r="H180" i="1" s="1"/>
  <c r="H171" i="1"/>
  <c r="H173" i="1"/>
  <c r="H179" i="1" s="1"/>
  <c r="G207" i="1" l="1"/>
  <c r="G202" i="1"/>
  <c r="G206" i="1" s="1"/>
  <c r="G199" i="1"/>
  <c r="G208" i="1" s="1"/>
  <c r="G213" i="1"/>
  <c r="G217" i="1"/>
  <c r="H177" i="1" s="1"/>
  <c r="H172" i="1"/>
  <c r="G200" i="1" l="1"/>
  <c r="G201" i="1" s="1"/>
  <c r="G209" i="1"/>
  <c r="G221" i="1"/>
  <c r="H178" i="1"/>
  <c r="G216" i="1"/>
  <c r="G215" i="1" s="1"/>
  <c r="G224" i="1" l="1"/>
  <c r="F225" i="1" s="1"/>
  <c r="H176" i="1"/>
  <c r="H182" i="1" s="1"/>
  <c r="H193" i="1" s="1"/>
  <c r="G222" i="1"/>
  <c r="H204" i="1" s="1"/>
  <c r="H175" i="1"/>
  <c r="H181" i="1" s="1"/>
  <c r="H186" i="1"/>
  <c r="H185" i="1"/>
  <c r="H188" i="1"/>
  <c r="H211" i="1" s="1"/>
  <c r="H183" i="1"/>
  <c r="H198" i="1" s="1"/>
  <c r="H184" i="1"/>
  <c r="H205" i="1" s="1"/>
  <c r="H212" i="1" s="1"/>
  <c r="H187" i="1"/>
  <c r="H210" i="1" s="1"/>
  <c r="H223" i="1" s="1"/>
  <c r="H219" i="1" l="1"/>
  <c r="H191" i="1"/>
  <c r="H190" i="1"/>
  <c r="H196" i="1"/>
  <c r="H197" i="1"/>
  <c r="H194" i="1"/>
  <c r="H195" i="1"/>
  <c r="H192" i="1"/>
  <c r="H189" i="1"/>
  <c r="H220" i="1"/>
  <c r="H218" i="1" l="1"/>
  <c r="I174" i="1"/>
  <c r="I180" i="1" s="1"/>
  <c r="I171" i="1"/>
  <c r="I173" i="1"/>
  <c r="I179" i="1" s="1"/>
  <c r="H199" i="1"/>
  <c r="H213" i="1"/>
  <c r="H207" i="1"/>
  <c r="H202" i="1"/>
  <c r="H206" i="1" s="1"/>
  <c r="H209" i="1" l="1"/>
  <c r="H221" i="1"/>
  <c r="H208" i="1"/>
  <c r="H200" i="1"/>
  <c r="H201" i="1" s="1"/>
  <c r="I172" i="1"/>
  <c r="H217" i="1"/>
  <c r="I177" i="1" s="1"/>
  <c r="H216" i="1" l="1"/>
  <c r="H215" i="1" s="1"/>
  <c r="H224" i="1" s="1"/>
  <c r="I178" i="1"/>
  <c r="I176" i="1" l="1"/>
  <c r="I182" i="1" s="1"/>
  <c r="G225" i="1"/>
  <c r="H222" i="1"/>
  <c r="I175" i="1"/>
  <c r="I181" i="1" s="1"/>
  <c r="I186" i="1"/>
  <c r="I185" i="1"/>
  <c r="I204" i="1"/>
  <c r="I188" i="1"/>
  <c r="I211" i="1" s="1"/>
  <c r="I183" i="1"/>
  <c r="I198" i="1" s="1"/>
  <c r="I184" i="1"/>
  <c r="I205" i="1" s="1"/>
  <c r="I212" i="1" s="1"/>
  <c r="I187" i="1"/>
  <c r="I210" i="1" s="1"/>
  <c r="I223" i="1" s="1"/>
  <c r="I219" i="1" l="1"/>
  <c r="I197" i="1"/>
  <c r="I193" i="1"/>
  <c r="I191" i="1"/>
  <c r="I190" i="1"/>
  <c r="I195" i="1"/>
  <c r="I196" i="1"/>
  <c r="I194" i="1"/>
  <c r="I192" i="1"/>
  <c r="I189" i="1"/>
  <c r="I220" i="1"/>
  <c r="I218" i="1" l="1"/>
  <c r="J174" i="1"/>
  <c r="J180" i="1" s="1"/>
  <c r="J171" i="1"/>
  <c r="J173" i="1"/>
  <c r="J179" i="1" s="1"/>
  <c r="I207" i="1"/>
  <c r="I213" i="1"/>
  <c r="I202" i="1"/>
  <c r="I206" i="1" s="1"/>
  <c r="I199" i="1"/>
  <c r="I217" i="1" l="1"/>
  <c r="J177" i="1" s="1"/>
  <c r="J172" i="1"/>
  <c r="I208" i="1"/>
  <c r="I221" i="1"/>
  <c r="I209" i="1"/>
  <c r="I200" i="1"/>
  <c r="I201" i="1" s="1"/>
  <c r="I216" i="1" l="1"/>
  <c r="I215" i="1" s="1"/>
  <c r="I224" i="1" s="1"/>
  <c r="J178" i="1"/>
  <c r="J183" i="1"/>
  <c r="J198" i="1" s="1"/>
  <c r="J184" i="1"/>
  <c r="J205" i="1" s="1"/>
  <c r="H225" i="1" l="1"/>
  <c r="J212" i="1"/>
  <c r="I222" i="1"/>
  <c r="J204" i="1" s="1"/>
  <c r="J176" i="1"/>
  <c r="J182" i="1" s="1"/>
  <c r="J193" i="1" s="1"/>
  <c r="J175" i="1"/>
  <c r="J181" i="1" s="1"/>
  <c r="J190" i="1" s="1"/>
  <c r="J187" i="1"/>
  <c r="J210" i="1" s="1"/>
  <c r="J223" i="1" s="1"/>
  <c r="J188" i="1"/>
  <c r="J211" i="1" s="1"/>
  <c r="J186" i="1"/>
  <c r="J185" i="1"/>
  <c r="J219" i="1" l="1"/>
  <c r="J192" i="1"/>
  <c r="J196" i="1"/>
  <c r="J194" i="1"/>
  <c r="J191" i="1"/>
  <c r="J189" i="1"/>
  <c r="J195" i="1"/>
  <c r="J197" i="1"/>
  <c r="J220" i="1"/>
  <c r="K224" i="1" s="1"/>
  <c r="J218" i="1" l="1"/>
  <c r="J207" i="1"/>
  <c r="J199" i="1"/>
  <c r="J208" i="1" s="1"/>
  <c r="J202" i="1"/>
  <c r="J206" i="1" s="1"/>
  <c r="J213" i="1"/>
  <c r="K174" i="1"/>
  <c r="K180" i="1" s="1"/>
  <c r="K171" i="1"/>
  <c r="K173" i="1"/>
  <c r="K179" i="1" s="1"/>
  <c r="J221" i="1" l="1"/>
  <c r="J200" i="1"/>
  <c r="J201" i="1" s="1"/>
  <c r="J209" i="1"/>
  <c r="J217" i="1"/>
  <c r="K177" i="1" s="1"/>
  <c r="K172" i="1"/>
  <c r="J216" i="1" l="1"/>
  <c r="J215" i="1" s="1"/>
  <c r="J224" i="1" s="1"/>
  <c r="K178" i="1"/>
  <c r="K184" i="1"/>
  <c r="K205" i="1" s="1"/>
  <c r="K183" i="1"/>
  <c r="K198" i="1" s="1"/>
  <c r="I225" i="1" l="1"/>
  <c r="K188" i="1"/>
  <c r="K211" i="1" s="1"/>
  <c r="K175" i="1"/>
  <c r="K181" i="1" s="1"/>
  <c r="K190" i="1" s="1"/>
  <c r="K212" i="1"/>
  <c r="K176" i="1"/>
  <c r="K182" i="1" s="1"/>
  <c r="K193" i="1" s="1"/>
  <c r="K187" i="1"/>
  <c r="K210" i="1" s="1"/>
  <c r="K223" i="1" s="1"/>
  <c r="J222" i="1"/>
  <c r="K204" i="1" s="1"/>
  <c r="K186" i="1"/>
  <c r="K185" i="1"/>
  <c r="K219" i="1" l="1"/>
  <c r="K197" i="1"/>
  <c r="K192" i="1"/>
  <c r="K195" i="1"/>
  <c r="K191" i="1"/>
  <c r="K189" i="1"/>
  <c r="K194" i="1"/>
  <c r="K196" i="1"/>
  <c r="K220" i="1"/>
  <c r="L224" i="1" s="1"/>
  <c r="K218" i="1" l="1"/>
  <c r="K213" i="1"/>
  <c r="K207" i="1"/>
  <c r="K202" i="1"/>
  <c r="K206" i="1" s="1"/>
  <c r="K199" i="1"/>
  <c r="K200" i="1" s="1"/>
  <c r="K201" i="1" s="1"/>
  <c r="L174" i="1"/>
  <c r="L180" i="1" s="1"/>
  <c r="L173" i="1"/>
  <c r="L179" i="1" s="1"/>
  <c r="L171" i="1"/>
  <c r="K209" i="1" l="1"/>
  <c r="K208" i="1"/>
  <c r="K221" i="1"/>
  <c r="L172" i="1"/>
  <c r="L178" i="1" s="1"/>
  <c r="K217" i="1"/>
  <c r="L177" i="1" s="1"/>
  <c r="L183" i="1" s="1"/>
  <c r="L198" i="1" s="1"/>
  <c r="L185" i="1" l="1"/>
  <c r="L186" i="1"/>
  <c r="K216" i="1"/>
  <c r="K215" i="1" s="1"/>
  <c r="J225" i="1" s="1"/>
  <c r="L184" i="1"/>
  <c r="L205" i="1" s="1"/>
  <c r="L219" i="1" l="1"/>
  <c r="L220" i="1"/>
  <c r="M224" i="1" s="1"/>
  <c r="K222" i="1"/>
  <c r="L204" i="1" s="1"/>
  <c r="L187" i="1"/>
  <c r="L210" i="1" s="1"/>
  <c r="L223" i="1" s="1"/>
  <c r="L175" i="1"/>
  <c r="L181" i="1" s="1"/>
  <c r="L191" i="1" s="1"/>
  <c r="L212" i="1"/>
  <c r="L188" i="1"/>
  <c r="L211" i="1" s="1"/>
  <c r="L176" i="1"/>
  <c r="L182" i="1" s="1"/>
  <c r="L193" i="1" s="1"/>
  <c r="L218" i="1" l="1"/>
  <c r="M172" i="1" s="1"/>
  <c r="M178" i="1" s="1"/>
  <c r="M174" i="1"/>
  <c r="M180" i="1" s="1"/>
  <c r="M171" i="1"/>
  <c r="M173" i="1"/>
  <c r="M179" i="1" s="1"/>
  <c r="L196" i="1"/>
  <c r="L195" i="1"/>
  <c r="L192" i="1"/>
  <c r="L190" i="1"/>
  <c r="L189" i="1"/>
  <c r="L197" i="1"/>
  <c r="L194" i="1"/>
  <c r="L207" i="1" s="1"/>
  <c r="L217" i="1"/>
  <c r="M177" i="1" s="1"/>
  <c r="L213" i="1" l="1"/>
  <c r="L216" i="1" s="1"/>
  <c r="L215" i="1" s="1"/>
  <c r="L202" i="1"/>
  <c r="L206" i="1" s="1"/>
  <c r="L199" i="1"/>
  <c r="L209" i="1" s="1"/>
  <c r="M183" i="1"/>
  <c r="L208" i="1" l="1"/>
  <c r="L221" i="1"/>
  <c r="K225" i="1" s="1"/>
  <c r="L200" i="1"/>
  <c r="L201" i="1" s="1"/>
  <c r="M185" i="1" s="1"/>
  <c r="M176" i="1"/>
  <c r="M182" i="1" s="1"/>
  <c r="L222" i="1"/>
  <c r="M204" i="1" s="1"/>
  <c r="M175" i="1"/>
  <c r="M181" i="1" s="1"/>
  <c r="M184" i="1"/>
  <c r="M205" i="1" s="1"/>
  <c r="M212" i="1" s="1"/>
  <c r="M188" i="1" l="1"/>
  <c r="M211" i="1" s="1"/>
  <c r="M187" i="1"/>
  <c r="M210" i="1" s="1"/>
  <c r="M223" i="1" s="1"/>
  <c r="M198" i="1"/>
  <c r="M186" i="1"/>
  <c r="M220" i="1" s="1"/>
  <c r="N224" i="1" s="1"/>
  <c r="M197" i="1"/>
  <c r="M193" i="1"/>
  <c r="M191" i="1"/>
  <c r="M190" i="1"/>
  <c r="M195" i="1"/>
  <c r="M196" i="1"/>
  <c r="M194" i="1"/>
  <c r="M192" i="1"/>
  <c r="M189" i="1"/>
  <c r="M219" i="1" l="1"/>
  <c r="M217" i="1" s="1"/>
  <c r="N177" i="1" s="1"/>
  <c r="N174" i="1"/>
  <c r="N180" i="1" s="1"/>
  <c r="N171" i="1"/>
  <c r="N173" i="1"/>
  <c r="N179" i="1" s="1"/>
  <c r="M207" i="1"/>
  <c r="M199" i="1"/>
  <c r="M213" i="1"/>
  <c r="M202" i="1"/>
  <c r="M206" i="1" s="1"/>
  <c r="M218" i="1" l="1"/>
  <c r="N172" i="1" s="1"/>
  <c r="M200" i="1"/>
  <c r="M201" i="1" s="1"/>
  <c r="M221" i="1"/>
  <c r="M208" i="1"/>
  <c r="M209" i="1"/>
  <c r="M216" i="1"/>
  <c r="M215" i="1" s="1"/>
  <c r="L225" i="1" l="1"/>
  <c r="N175" i="1"/>
  <c r="N181" i="1" s="1"/>
  <c r="N176" i="1"/>
  <c r="N182" i="1" s="1"/>
  <c r="N178" i="1"/>
  <c r="M222" i="1"/>
  <c r="N204" i="1" s="1"/>
  <c r="N188" i="1"/>
  <c r="N211" i="1" s="1"/>
  <c r="N184" i="1"/>
  <c r="N205" i="1" s="1"/>
  <c r="N183" i="1"/>
  <c r="N198" i="1" s="1"/>
  <c r="N187" i="1"/>
  <c r="N210" i="1" s="1"/>
  <c r="N223" i="1" s="1"/>
  <c r="N186" i="1" l="1"/>
  <c r="N185" i="1"/>
  <c r="N197" i="1"/>
  <c r="N193" i="1"/>
  <c r="N191" i="1"/>
  <c r="N190" i="1"/>
  <c r="N195" i="1"/>
  <c r="N196" i="1"/>
  <c r="N194" i="1"/>
  <c r="N192" i="1"/>
  <c r="N189" i="1"/>
  <c r="N212" i="1"/>
  <c r="N219" i="1" l="1"/>
  <c r="N220" i="1"/>
  <c r="O224" i="1" s="1"/>
  <c r="N213" i="1"/>
  <c r="N202" i="1"/>
  <c r="N206" i="1" s="1"/>
  <c r="N207" i="1"/>
  <c r="N199" i="1"/>
  <c r="N221" i="1" s="1"/>
  <c r="N218" i="1" l="1"/>
  <c r="O174" i="1"/>
  <c r="O180" i="1" s="1"/>
  <c r="O171" i="1"/>
  <c r="O173" i="1"/>
  <c r="O179" i="1" s="1"/>
  <c r="N208" i="1"/>
  <c r="N209" i="1"/>
  <c r="N200" i="1"/>
  <c r="N201" i="1" s="1"/>
  <c r="O172" i="1" l="1"/>
  <c r="O178" i="1" s="1"/>
  <c r="N217" i="1"/>
  <c r="O177" i="1" s="1"/>
  <c r="N216" i="1" l="1"/>
  <c r="N215" i="1" s="1"/>
  <c r="O186" i="1"/>
  <c r="O185" i="1"/>
  <c r="O183" i="1"/>
  <c r="O198" i="1" s="1"/>
  <c r="O184" i="1"/>
  <c r="O205" i="1" s="1"/>
  <c r="O219" i="1" l="1"/>
  <c r="O212" i="1"/>
  <c r="M225" i="1"/>
  <c r="O187" i="1"/>
  <c r="O210" i="1" s="1"/>
  <c r="O223" i="1" s="1"/>
  <c r="O175" i="1"/>
  <c r="O181" i="1" s="1"/>
  <c r="O190" i="1" s="1"/>
  <c r="O188" i="1"/>
  <c r="O211" i="1" s="1"/>
  <c r="O176" i="1"/>
  <c r="O182" i="1" s="1"/>
  <c r="O193" i="1" s="1"/>
  <c r="N222" i="1"/>
  <c r="O204" i="1"/>
  <c r="O220" i="1"/>
  <c r="P224" i="1" s="1"/>
  <c r="O218" i="1" l="1"/>
  <c r="O191" i="1"/>
  <c r="O189" i="1"/>
  <c r="O195" i="1"/>
  <c r="O194" i="1"/>
  <c r="O197" i="1"/>
  <c r="O192" i="1"/>
  <c r="O196" i="1"/>
  <c r="P174" i="1"/>
  <c r="P180" i="1" s="1"/>
  <c r="P171" i="1"/>
  <c r="P173" i="1"/>
  <c r="P179" i="1" s="1"/>
  <c r="O207" i="1" l="1"/>
  <c r="O213" i="1"/>
  <c r="O199" i="1"/>
  <c r="O221" i="1" s="1"/>
  <c r="O202" i="1"/>
  <c r="O206" i="1" s="1"/>
  <c r="P172" i="1"/>
  <c r="O217" i="1"/>
  <c r="P177" i="1" s="1"/>
  <c r="O209" i="1" l="1"/>
  <c r="O200" i="1"/>
  <c r="O201" i="1" s="1"/>
  <c r="O208" i="1"/>
  <c r="P178" i="1"/>
  <c r="O216" i="1"/>
  <c r="O215" i="1" s="1"/>
  <c r="P176" i="1" l="1"/>
  <c r="P182" i="1" s="1"/>
  <c r="P193" i="1" s="1"/>
  <c r="N225" i="1"/>
  <c r="O222" i="1"/>
  <c r="P175" i="1"/>
  <c r="P181" i="1" s="1"/>
  <c r="P186" i="1"/>
  <c r="P185" i="1"/>
  <c r="P204" i="1"/>
  <c r="P188" i="1"/>
  <c r="P211" i="1" s="1"/>
  <c r="P187" i="1"/>
  <c r="P210" i="1" s="1"/>
  <c r="P223" i="1" s="1"/>
  <c r="P183" i="1"/>
  <c r="P198" i="1" s="1"/>
  <c r="P184" i="1"/>
  <c r="P205" i="1" s="1"/>
  <c r="P212" i="1" s="1"/>
  <c r="P219" i="1" l="1"/>
  <c r="P191" i="1"/>
  <c r="P190" i="1"/>
  <c r="P196" i="1"/>
  <c r="P197" i="1"/>
  <c r="P194" i="1"/>
  <c r="P195" i="1"/>
  <c r="P192" i="1"/>
  <c r="P189" i="1"/>
  <c r="P220" i="1"/>
  <c r="Q224" i="1" s="1"/>
  <c r="P218" i="1" l="1"/>
  <c r="Q174" i="1"/>
  <c r="Q180" i="1" s="1"/>
  <c r="Q171" i="1"/>
  <c r="Q173" i="1"/>
  <c r="Q179" i="1" s="1"/>
  <c r="P207" i="1"/>
  <c r="P213" i="1"/>
  <c r="P199" i="1"/>
  <c r="P202" i="1"/>
  <c r="P206" i="1" s="1"/>
  <c r="P200" i="1" l="1"/>
  <c r="P201" i="1" s="1"/>
  <c r="P221" i="1"/>
  <c r="P209" i="1"/>
  <c r="P208" i="1"/>
  <c r="Q172" i="1"/>
  <c r="P217" i="1"/>
  <c r="Q177" i="1" s="1"/>
  <c r="Q178" i="1" l="1"/>
  <c r="P216" i="1"/>
  <c r="P215" i="1" s="1"/>
  <c r="Q176" i="1" l="1"/>
  <c r="Q182" i="1" s="1"/>
  <c r="Q193" i="1" s="1"/>
  <c r="O225" i="1"/>
  <c r="P222" i="1"/>
  <c r="Q175" i="1"/>
  <c r="Q181" i="1" s="1"/>
  <c r="Q186" i="1"/>
  <c r="Q185" i="1"/>
  <c r="Q204" i="1"/>
  <c r="Q188" i="1"/>
  <c r="Q211" i="1" s="1"/>
  <c r="Q187" i="1"/>
  <c r="Q210" i="1" s="1"/>
  <c r="Q223" i="1" s="1"/>
  <c r="Q183" i="1"/>
  <c r="Q198" i="1" s="1"/>
  <c r="Q184" i="1"/>
  <c r="Q205" i="1" s="1"/>
  <c r="Q219" i="1" l="1"/>
  <c r="Q191" i="1"/>
  <c r="Q190" i="1"/>
  <c r="Q196" i="1"/>
  <c r="Q197" i="1"/>
  <c r="Q194" i="1"/>
  <c r="Q195" i="1"/>
  <c r="Q192" i="1"/>
  <c r="Q189" i="1"/>
  <c r="Q220" i="1"/>
  <c r="R224" i="1" s="1"/>
  <c r="Q212" i="1"/>
  <c r="Q218" i="1" l="1"/>
  <c r="R174" i="1"/>
  <c r="R180" i="1" s="1"/>
  <c r="R171" i="1"/>
  <c r="R173" i="1"/>
  <c r="R179" i="1" s="1"/>
  <c r="Q207" i="1"/>
  <c r="Q202" i="1"/>
  <c r="Q206" i="1" s="1"/>
  <c r="Q199" i="1"/>
  <c r="Q213" i="1"/>
  <c r="R172" i="1" l="1"/>
  <c r="R178" i="1" s="1"/>
  <c r="Q208" i="1"/>
  <c r="Q221" i="1"/>
  <c r="Q217" i="1"/>
  <c r="R177" i="1" s="1"/>
  <c r="Q209" i="1"/>
  <c r="Q200" i="1"/>
  <c r="Q201" i="1" s="1"/>
  <c r="R186" i="1" l="1"/>
  <c r="R185" i="1"/>
  <c r="R184" i="1"/>
  <c r="R205" i="1" s="1"/>
  <c r="Q216" i="1"/>
  <c r="Q215" i="1" s="1"/>
  <c r="R219" i="1" l="1"/>
  <c r="R176" i="1"/>
  <c r="R182" i="1" s="1"/>
  <c r="R193" i="1" s="1"/>
  <c r="P225" i="1"/>
  <c r="Q222" i="1"/>
  <c r="R204" i="1" s="1"/>
  <c r="R175" i="1"/>
  <c r="R181" i="1" s="1"/>
  <c r="R190" i="1" s="1"/>
  <c r="R183" i="1"/>
  <c r="R198" i="1" s="1"/>
  <c r="R188" i="1"/>
  <c r="R211" i="1" s="1"/>
  <c r="R187" i="1"/>
  <c r="R210" i="1" s="1"/>
  <c r="R223" i="1" s="1"/>
  <c r="R212" i="1"/>
  <c r="R220" i="1"/>
  <c r="S224" i="1" s="1"/>
  <c r="R218" i="1" l="1"/>
  <c r="S174" i="1"/>
  <c r="S180" i="1" s="1"/>
  <c r="S171" i="1"/>
  <c r="S173" i="1"/>
  <c r="S179" i="1" s="1"/>
  <c r="R195" i="1"/>
  <c r="R197" i="1"/>
  <c r="R194" i="1"/>
  <c r="R196" i="1"/>
  <c r="R192" i="1"/>
  <c r="R191" i="1"/>
  <c r="R189" i="1"/>
  <c r="S172" i="1" l="1"/>
  <c r="S178" i="1" s="1"/>
  <c r="R207" i="1"/>
  <c r="R213" i="1"/>
  <c r="R199" i="1"/>
  <c r="R202" i="1"/>
  <c r="R206" i="1" s="1"/>
  <c r="R217" i="1"/>
  <c r="S177" i="1" s="1"/>
  <c r="R208" i="1" l="1"/>
  <c r="R221" i="1"/>
  <c r="R200" i="1"/>
  <c r="R201" i="1" s="1"/>
  <c r="R209" i="1"/>
  <c r="S183" i="1"/>
  <c r="R216" i="1"/>
  <c r="R215" i="1" s="1"/>
  <c r="S176" i="1" l="1"/>
  <c r="S182" i="1" s="1"/>
  <c r="Q225" i="1"/>
  <c r="R222" i="1"/>
  <c r="S175" i="1"/>
  <c r="S181" i="1" s="1"/>
  <c r="S186" i="1"/>
  <c r="S185" i="1"/>
  <c r="S198" i="1"/>
  <c r="S184" i="1"/>
  <c r="S205" i="1" s="1"/>
  <c r="S212" i="1" s="1"/>
  <c r="S204" i="1"/>
  <c r="S188" i="1"/>
  <c r="S211" i="1" s="1"/>
  <c r="S187" i="1"/>
  <c r="S210" i="1" s="1"/>
  <c r="S223" i="1" s="1"/>
  <c r="S219" i="1" l="1"/>
  <c r="S220" i="1"/>
  <c r="T224" i="1" s="1"/>
  <c r="S197" i="1"/>
  <c r="S193" i="1"/>
  <c r="S191" i="1"/>
  <c r="S190" i="1"/>
  <c r="S195" i="1"/>
  <c r="S196" i="1"/>
  <c r="S192" i="1"/>
  <c r="S194" i="1"/>
  <c r="S189" i="1"/>
  <c r="S218" i="1" l="1"/>
  <c r="T174" i="1"/>
  <c r="T180" i="1" s="1"/>
  <c r="T171" i="1"/>
  <c r="T173" i="1"/>
  <c r="T179" i="1" s="1"/>
  <c r="S207" i="1"/>
  <c r="S213" i="1"/>
  <c r="S199" i="1"/>
  <c r="S202" i="1"/>
  <c r="S206" i="1" s="1"/>
  <c r="S217" i="1" l="1"/>
  <c r="S216" i="1" s="1"/>
  <c r="S215" i="1" s="1"/>
  <c r="T172" i="1"/>
  <c r="T178" i="1" s="1"/>
  <c r="S209" i="1"/>
  <c r="S221" i="1"/>
  <c r="S200" i="1"/>
  <c r="S201" i="1" s="1"/>
  <c r="S208" i="1"/>
  <c r="T177" i="1" l="1"/>
  <c r="T183" i="1" s="1"/>
  <c r="T198" i="1" s="1"/>
  <c r="R225" i="1"/>
  <c r="T175" i="1"/>
  <c r="T181" i="1" s="1"/>
  <c r="T190" i="1" s="1"/>
  <c r="T176" i="1"/>
  <c r="T182" i="1" s="1"/>
  <c r="T193" i="1" s="1"/>
  <c r="S222" i="1"/>
  <c r="T204" i="1" s="1"/>
  <c r="T185" i="1"/>
  <c r="T186" i="1"/>
  <c r="T187" i="1"/>
  <c r="T210" i="1" s="1"/>
  <c r="T223" i="1" s="1"/>
  <c r="T188" i="1"/>
  <c r="T211" i="1" s="1"/>
  <c r="T184" i="1" l="1"/>
  <c r="T205" i="1" s="1"/>
  <c r="T212" i="1" s="1"/>
  <c r="T191" i="1"/>
  <c r="T189" i="1"/>
  <c r="T195" i="1"/>
  <c r="T197" i="1"/>
  <c r="T194" i="1"/>
  <c r="T192" i="1"/>
  <c r="T196" i="1"/>
  <c r="T220" i="1"/>
  <c r="U224" i="1" s="1"/>
  <c r="T219" i="1" l="1"/>
  <c r="T218" i="1" s="1"/>
  <c r="U174" i="1"/>
  <c r="U180" i="1" s="1"/>
  <c r="T202" i="1"/>
  <c r="T206" i="1" s="1"/>
  <c r="T199" i="1"/>
  <c r="T221" i="1" s="1"/>
  <c r="T213" i="1"/>
  <c r="T207" i="1"/>
  <c r="U171" i="1"/>
  <c r="U173" i="1"/>
  <c r="U179" i="1" s="1"/>
  <c r="T217" i="1" l="1"/>
  <c r="U177" i="1" s="1"/>
  <c r="U183" i="1" s="1"/>
  <c r="U172" i="1"/>
  <c r="T209" i="1"/>
  <c r="T208" i="1"/>
  <c r="T200" i="1"/>
  <c r="T201" i="1" s="1"/>
  <c r="T216" i="1" l="1"/>
  <c r="T215" i="1" s="1"/>
  <c r="S225" i="1" s="1"/>
  <c r="U198" i="1"/>
  <c r="U184" i="1"/>
  <c r="U205" i="1" s="1"/>
  <c r="U178" i="1"/>
  <c r="U186" i="1" s="1"/>
  <c r="T222" i="1" l="1"/>
  <c r="U188" i="1"/>
  <c r="U211" i="1" s="1"/>
  <c r="U187" i="1"/>
  <c r="U210" i="1" s="1"/>
  <c r="U223" i="1" s="1"/>
  <c r="U175" i="1"/>
  <c r="U181" i="1" s="1"/>
  <c r="U191" i="1" s="1"/>
  <c r="U212" i="1"/>
  <c r="U204" i="1"/>
  <c r="U176" i="1"/>
  <c r="U182" i="1" s="1"/>
  <c r="U193" i="1" s="1"/>
  <c r="U185" i="1"/>
  <c r="U219" i="1" s="1"/>
  <c r="U196" i="1" l="1"/>
  <c r="U192" i="1"/>
  <c r="U197" i="1"/>
  <c r="U194" i="1"/>
  <c r="U207" i="1" s="1"/>
  <c r="U195" i="1"/>
  <c r="U189" i="1"/>
  <c r="U190" i="1"/>
  <c r="U220" i="1"/>
  <c r="V224" i="1" s="1"/>
  <c r="U218" i="1" l="1"/>
  <c r="V173" i="1"/>
  <c r="V179" i="1" s="1"/>
  <c r="U213" i="1"/>
  <c r="U199" i="1"/>
  <c r="U200" i="1" s="1"/>
  <c r="U201" i="1" s="1"/>
  <c r="U202" i="1"/>
  <c r="U206" i="1" s="1"/>
  <c r="V174" i="1"/>
  <c r="V180" i="1" s="1"/>
  <c r="V171" i="1"/>
  <c r="U208" i="1" l="1"/>
  <c r="U221" i="1"/>
  <c r="U209" i="1"/>
  <c r="U217" i="1"/>
  <c r="V172" i="1"/>
  <c r="V178" i="1" s="1"/>
  <c r="V185" i="1" s="1"/>
  <c r="U216" i="1" l="1"/>
  <c r="U215" i="1" s="1"/>
  <c r="V177" i="1"/>
  <c r="V186" i="1"/>
  <c r="U222" i="1" l="1"/>
  <c r="T225" i="1"/>
  <c r="V175" i="1"/>
  <c r="V181" i="1" s="1"/>
  <c r="V204" i="1"/>
  <c r="V188" i="1"/>
  <c r="V211" i="1" s="1"/>
  <c r="V187" i="1"/>
  <c r="V210" i="1" s="1"/>
  <c r="V223" i="1" s="1"/>
  <c r="V176" i="1"/>
  <c r="V182" i="1" s="1"/>
  <c r="V183" i="1"/>
  <c r="V198" i="1" s="1"/>
  <c r="V184" i="1"/>
  <c r="V205" i="1" s="1"/>
  <c r="V212" i="1" s="1"/>
  <c r="V220" i="1"/>
  <c r="W224" i="1" s="1"/>
  <c r="V219" i="1" l="1"/>
  <c r="V218" i="1" s="1"/>
  <c r="V197" i="1"/>
  <c r="V192" i="1"/>
  <c r="V195" i="1"/>
  <c r="V193" i="1"/>
  <c r="V196" i="1"/>
  <c r="V194" i="1"/>
  <c r="V190" i="1"/>
  <c r="V189" i="1"/>
  <c r="V191" i="1"/>
  <c r="W174" i="1"/>
  <c r="W180" i="1" s="1"/>
  <c r="W171" i="1"/>
  <c r="W173" i="1"/>
  <c r="W179" i="1" s="1"/>
  <c r="V199" i="1" l="1"/>
  <c r="V221" i="1" s="1"/>
  <c r="V213" i="1"/>
  <c r="V207" i="1"/>
  <c r="V202" i="1"/>
  <c r="V206" i="1" s="1"/>
  <c r="V217" i="1"/>
  <c r="W177" i="1" s="1"/>
  <c r="W183" i="1" s="1"/>
  <c r="W172" i="1"/>
  <c r="W178" i="1" s="1"/>
  <c r="V208" i="1" l="1"/>
  <c r="V209" i="1"/>
  <c r="V200" i="1"/>
  <c r="V201" i="1" s="1"/>
  <c r="W198" i="1" s="1"/>
  <c r="V216" i="1"/>
  <c r="V215" i="1" s="1"/>
  <c r="W175" i="1" s="1"/>
  <c r="W181" i="1" s="1"/>
  <c r="W184" i="1"/>
  <c r="W205" i="1" s="1"/>
  <c r="W185" i="1" l="1"/>
  <c r="W186" i="1"/>
  <c r="W190" i="1"/>
  <c r="W212" i="1"/>
  <c r="U225" i="1"/>
  <c r="W204" i="1"/>
  <c r="W188" i="1"/>
  <c r="W211" i="1" s="1"/>
  <c r="V222" i="1"/>
  <c r="W187" i="1"/>
  <c r="W210" i="1" s="1"/>
  <c r="W223" i="1" s="1"/>
  <c r="W176" i="1"/>
  <c r="W182" i="1" s="1"/>
  <c r="W195" i="1" s="1"/>
  <c r="W191" i="1"/>
  <c r="W189" i="1"/>
  <c r="W219" i="1" l="1"/>
  <c r="W220" i="1"/>
  <c r="X224" i="1" s="1"/>
  <c r="W194" i="1"/>
  <c r="W207" i="1" s="1"/>
  <c r="W193" i="1"/>
  <c r="W197" i="1"/>
  <c r="W192" i="1"/>
  <c r="W196" i="1"/>
  <c r="W218" i="1" l="1"/>
  <c r="X172" i="1" s="1"/>
  <c r="X178" i="1" s="1"/>
  <c r="X173" i="1"/>
  <c r="X179" i="1" s="1"/>
  <c r="X174" i="1"/>
  <c r="X180" i="1" s="1"/>
  <c r="X171" i="1"/>
  <c r="W217" i="1"/>
  <c r="X177" i="1" s="1"/>
  <c r="X184" i="1" s="1"/>
  <c r="X205" i="1" s="1"/>
  <c r="W202" i="1"/>
  <c r="W206" i="1" s="1"/>
  <c r="W213" i="1"/>
  <c r="W199" i="1"/>
  <c r="W208" i="1" s="1"/>
  <c r="W216" i="1" l="1"/>
  <c r="W215" i="1" s="1"/>
  <c r="X176" i="1" s="1"/>
  <c r="X182" i="1" s="1"/>
  <c r="V225" i="1"/>
  <c r="W221" i="1"/>
  <c r="W209" i="1"/>
  <c r="W200" i="1"/>
  <c r="W201" i="1" s="1"/>
  <c r="X183" i="1"/>
  <c r="X175" i="1" l="1"/>
  <c r="X181" i="1" s="1"/>
  <c r="X189" i="1" s="1"/>
  <c r="X204" i="1"/>
  <c r="X187" i="1"/>
  <c r="X210" i="1" s="1"/>
  <c r="X223" i="1" s="1"/>
  <c r="W222" i="1"/>
  <c r="X212" i="1"/>
  <c r="X198" i="1"/>
  <c r="X186" i="1"/>
  <c r="X185" i="1"/>
  <c r="X188" i="1"/>
  <c r="X211" i="1" s="1"/>
  <c r="X197" i="1"/>
  <c r="X192" i="1"/>
  <c r="X194" i="1"/>
  <c r="X196" i="1"/>
  <c r="X193" i="1"/>
  <c r="X195" i="1"/>
  <c r="X190" i="1" l="1"/>
  <c r="X219" i="1"/>
  <c r="X191" i="1"/>
  <c r="X220" i="1"/>
  <c r="Y224" i="1" s="1"/>
  <c r="X213" i="1"/>
  <c r="X202" i="1" l="1"/>
  <c r="X206" i="1" s="1"/>
  <c r="X218" i="1"/>
  <c r="Y172" i="1" s="1"/>
  <c r="Y178" i="1" s="1"/>
  <c r="X207" i="1"/>
  <c r="X199" i="1"/>
  <c r="X208" i="1" s="1"/>
  <c r="X217" i="1"/>
  <c r="Y177" i="1" s="1"/>
  <c r="Y184" i="1" s="1"/>
  <c r="Y205" i="1" s="1"/>
  <c r="Y171" i="1"/>
  <c r="Y174" i="1"/>
  <c r="Y180" i="1" s="1"/>
  <c r="Y173" i="1"/>
  <c r="Y179" i="1" s="1"/>
  <c r="X200" i="1" l="1"/>
  <c r="X201" i="1" s="1"/>
  <c r="Y185" i="1" s="1"/>
  <c r="X209" i="1"/>
  <c r="X221" i="1"/>
  <c r="Y183" i="1"/>
  <c r="X216" i="1"/>
  <c r="X215" i="1" s="1"/>
  <c r="Y175" i="1" s="1"/>
  <c r="Y181" i="1" s="1"/>
  <c r="Y190" i="1" s="1"/>
  <c r="W225" i="1"/>
  <c r="Y198" i="1" l="1"/>
  <c r="Y186" i="1"/>
  <c r="Y219" i="1" s="1"/>
  <c r="Y188" i="1"/>
  <c r="Y211" i="1" s="1"/>
  <c r="Y212" i="1"/>
  <c r="Y189" i="1"/>
  <c r="Y204" i="1"/>
  <c r="Y191" i="1"/>
  <c r="X222" i="1"/>
  <c r="Y187" i="1"/>
  <c r="Y210" i="1" s="1"/>
  <c r="Y223" i="1" s="1"/>
  <c r="Y176" i="1"/>
  <c r="Y182" i="1" s="1"/>
  <c r="Y195" i="1" s="1"/>
  <c r="Y220" i="1" l="1"/>
  <c r="Z224" i="1" s="1"/>
  <c r="Y194" i="1"/>
  <c r="Y207" i="1" s="1"/>
  <c r="Y197" i="1"/>
  <c r="Y193" i="1"/>
  <c r="Y192" i="1"/>
  <c r="Y196" i="1"/>
  <c r="Z173" i="1" l="1"/>
  <c r="Z179" i="1" s="1"/>
  <c r="Y217" i="1"/>
  <c r="Z177" i="1" s="1"/>
  <c r="Z171" i="1"/>
  <c r="Z174" i="1"/>
  <c r="Z180" i="1" s="1"/>
  <c r="Y218" i="1"/>
  <c r="Z172" i="1" s="1"/>
  <c r="Z178" i="1" s="1"/>
  <c r="Y199" i="1"/>
  <c r="Y221" i="1" s="1"/>
  <c r="Y202" i="1"/>
  <c r="Y206" i="1" s="1"/>
  <c r="Y213" i="1"/>
  <c r="Y216" i="1" l="1"/>
  <c r="Y215" i="1" s="1"/>
  <c r="Y222" i="1" s="1"/>
  <c r="Z204" i="1" s="1"/>
  <c r="Y209" i="1"/>
  <c r="Y208" i="1"/>
  <c r="Y200" i="1"/>
  <c r="Y201" i="1" s="1"/>
  <c r="Z186" i="1" s="1"/>
  <c r="X225" i="1"/>
  <c r="Z183" i="1"/>
  <c r="Z184" i="1"/>
  <c r="Z205" i="1" s="1"/>
  <c r="Z187" i="1" l="1"/>
  <c r="Z210" i="1" s="1"/>
  <c r="Z223" i="1" s="1"/>
  <c r="Z175" i="1"/>
  <c r="Z181" i="1" s="1"/>
  <c r="Z191" i="1" s="1"/>
  <c r="Z188" i="1"/>
  <c r="Z211" i="1" s="1"/>
  <c r="Z176" i="1"/>
  <c r="Z182" i="1" s="1"/>
  <c r="Z192" i="1" s="1"/>
  <c r="Z198" i="1"/>
  <c r="Z185" i="1"/>
  <c r="Z219" i="1" s="1"/>
  <c r="Z212" i="1"/>
  <c r="Z195" i="1" l="1"/>
  <c r="Z193" i="1"/>
  <c r="Z189" i="1"/>
  <c r="Z194" i="1"/>
  <c r="Z207" i="1" s="1"/>
  <c r="Z196" i="1"/>
  <c r="Z197" i="1"/>
  <c r="Z190" i="1"/>
  <c r="Z220" i="1"/>
  <c r="AA224" i="1" s="1"/>
  <c r="Z202" i="1" l="1"/>
  <c r="Z206" i="1" s="1"/>
  <c r="Z213" i="1"/>
  <c r="Z199" i="1"/>
  <c r="Z221" i="1" s="1"/>
  <c r="Z218" i="1"/>
  <c r="AA172" i="1" s="1"/>
  <c r="AA178" i="1" s="1"/>
  <c r="Z217" i="1"/>
  <c r="AA177" i="1" s="1"/>
  <c r="AA183" i="1" s="1"/>
  <c r="AA174" i="1"/>
  <c r="AA180" i="1" s="1"/>
  <c r="AA173" i="1"/>
  <c r="AA179" i="1" s="1"/>
  <c r="AA171" i="1"/>
  <c r="Z208" i="1" l="1"/>
  <c r="Z200" i="1"/>
  <c r="Z201" i="1" s="1"/>
  <c r="AA198" i="1" s="1"/>
  <c r="Z209" i="1"/>
  <c r="Z216" i="1"/>
  <c r="Z215" i="1" s="1"/>
  <c r="AA175" i="1" s="1"/>
  <c r="AA181" i="1" s="1"/>
  <c r="AA184" i="1"/>
  <c r="AA205" i="1" s="1"/>
  <c r="Y225" i="1"/>
  <c r="AA185" i="1" l="1"/>
  <c r="AA186" i="1"/>
  <c r="AA212" i="1"/>
  <c r="AA204" i="1"/>
  <c r="AA187" i="1"/>
  <c r="AA210" i="1" s="1"/>
  <c r="AA223" i="1" s="1"/>
  <c r="AA188" i="1"/>
  <c r="AA211" i="1" s="1"/>
  <c r="AA176" i="1"/>
  <c r="AA182" i="1" s="1"/>
  <c r="AA193" i="1" s="1"/>
  <c r="Z222" i="1"/>
  <c r="AA191" i="1"/>
  <c r="AA190" i="1"/>
  <c r="AA189" i="1"/>
  <c r="AA219" i="1" l="1"/>
  <c r="AA220" i="1"/>
  <c r="AB224" i="1" s="1"/>
  <c r="AA194" i="1"/>
  <c r="AA207" i="1" s="1"/>
  <c r="AA195" i="1"/>
  <c r="AA197" i="1"/>
  <c r="AA192" i="1"/>
  <c r="AA196" i="1"/>
  <c r="AB171" i="1" l="1"/>
  <c r="AB174" i="1"/>
  <c r="AB180" i="1" s="1"/>
  <c r="AB173" i="1"/>
  <c r="AB179" i="1" s="1"/>
  <c r="AA218" i="1"/>
  <c r="AB172" i="1" s="1"/>
  <c r="AA199" i="1"/>
  <c r="AA200" i="1" s="1"/>
  <c r="AA201" i="1" s="1"/>
  <c r="AA213" i="1"/>
  <c r="AA202" i="1"/>
  <c r="AA206" i="1" s="1"/>
  <c r="AA217" i="1"/>
  <c r="AB177" i="1" s="1"/>
  <c r="AA209" i="1" l="1"/>
  <c r="AA208" i="1"/>
  <c r="AA221" i="1"/>
  <c r="AA216" i="1"/>
  <c r="AA215" i="1" s="1"/>
  <c r="AB176" i="1" s="1"/>
  <c r="AB182" i="1" s="1"/>
  <c r="AB193" i="1" s="1"/>
  <c r="Z225" i="1"/>
  <c r="AB178" i="1"/>
  <c r="AB183" i="1"/>
  <c r="AB198" i="1" s="1"/>
  <c r="AB184" i="1"/>
  <c r="AB205" i="1" s="1"/>
  <c r="AB188" i="1" l="1"/>
  <c r="AB211" i="1" s="1"/>
  <c r="AB204" i="1"/>
  <c r="AB175" i="1"/>
  <c r="AB181" i="1" s="1"/>
  <c r="AB191" i="1" s="1"/>
  <c r="AA222" i="1"/>
  <c r="AB187" i="1"/>
  <c r="AB210" i="1" s="1"/>
  <c r="AB223" i="1" s="1"/>
  <c r="AB186" i="1"/>
  <c r="AB185" i="1"/>
  <c r="AB196" i="1"/>
  <c r="AB197" i="1"/>
  <c r="AB194" i="1"/>
  <c r="AB195" i="1"/>
  <c r="AB192" i="1"/>
  <c r="AB212" i="1"/>
  <c r="AB219" i="1" l="1"/>
  <c r="AB190" i="1"/>
  <c r="AB189" i="1"/>
  <c r="AB220" i="1"/>
  <c r="AC224" i="1" s="1"/>
  <c r="AB207" i="1"/>
  <c r="AB213" i="1"/>
  <c r="AB218" i="1" l="1"/>
  <c r="AB202" i="1"/>
  <c r="AB206" i="1" s="1"/>
  <c r="AB199" i="1"/>
  <c r="AB209" i="1" s="1"/>
  <c r="AC174" i="1"/>
  <c r="AC180" i="1" s="1"/>
  <c r="AC173" i="1"/>
  <c r="AC179" i="1" s="1"/>
  <c r="AC171" i="1"/>
  <c r="AB200" i="1" l="1"/>
  <c r="AB201" i="1" s="1"/>
  <c r="AB221" i="1"/>
  <c r="AB208" i="1"/>
  <c r="AC172" i="1"/>
  <c r="AC178" i="1" s="1"/>
  <c r="AB217" i="1"/>
  <c r="AC177" i="1" s="1"/>
  <c r="AC183" i="1" s="1"/>
  <c r="AC198" i="1" s="1"/>
  <c r="AC186" i="1" l="1"/>
  <c r="AC185" i="1"/>
  <c r="AC184" i="1"/>
  <c r="AC205" i="1" s="1"/>
  <c r="AB216" i="1"/>
  <c r="AB215" i="1" s="1"/>
  <c r="AC219" i="1" l="1"/>
  <c r="AC220" i="1"/>
  <c r="AD224" i="1" s="1"/>
  <c r="AB222" i="1"/>
  <c r="AA225" i="1"/>
  <c r="AC176" i="1"/>
  <c r="AC182" i="1" s="1"/>
  <c r="AC187" i="1"/>
  <c r="AC210" i="1" s="1"/>
  <c r="AC223" i="1" s="1"/>
  <c r="AC188" i="1"/>
  <c r="AC211" i="1" s="1"/>
  <c r="AC204" i="1"/>
  <c r="AC212" i="1"/>
  <c r="AC175" i="1"/>
  <c r="AC181" i="1" s="1"/>
  <c r="AC218" i="1" l="1"/>
  <c r="AD172" i="1" s="1"/>
  <c r="AD178" i="1" s="1"/>
  <c r="AD173" i="1"/>
  <c r="AD179" i="1" s="1"/>
  <c r="AC217" i="1"/>
  <c r="AD177" i="1" s="1"/>
  <c r="AD171" i="1"/>
  <c r="AD174" i="1"/>
  <c r="AD180" i="1" s="1"/>
  <c r="AC191" i="1"/>
  <c r="AC190" i="1"/>
  <c r="AC189" i="1"/>
  <c r="AC193" i="1"/>
  <c r="AC196" i="1"/>
  <c r="AC194" i="1"/>
  <c r="AC192" i="1"/>
  <c r="AC195" i="1"/>
  <c r="AC197" i="1"/>
  <c r="AC213" i="1" l="1"/>
  <c r="AC216" i="1" s="1"/>
  <c r="AC215" i="1" s="1"/>
  <c r="AC207" i="1"/>
  <c r="AC202" i="1"/>
  <c r="AC206" i="1" s="1"/>
  <c r="AC199" i="1"/>
  <c r="AD183" i="1"/>
  <c r="AD184" i="1"/>
  <c r="AD205" i="1" s="1"/>
  <c r="AD176" i="1" l="1"/>
  <c r="AD182" i="1" s="1"/>
  <c r="AD175" i="1"/>
  <c r="AD181" i="1" s="1"/>
  <c r="AD212" i="1"/>
  <c r="AD204" i="1"/>
  <c r="AC222" i="1"/>
  <c r="AC221" i="1"/>
  <c r="AB225" i="1" s="1"/>
  <c r="AC209" i="1"/>
  <c r="AC208" i="1"/>
  <c r="AC200" i="1"/>
  <c r="AC201" i="1" s="1"/>
  <c r="AD198" i="1" s="1"/>
  <c r="AD187" i="1" l="1"/>
  <c r="AD210" i="1" s="1"/>
  <c r="AD223" i="1" s="1"/>
  <c r="AD188" i="1"/>
  <c r="AD211" i="1" s="1"/>
  <c r="AD189" i="1"/>
  <c r="AD194" i="1"/>
  <c r="AD197" i="1"/>
  <c r="AD191" i="1"/>
  <c r="AD192" i="1"/>
  <c r="AD196" i="1"/>
  <c r="AD195" i="1"/>
  <c r="AD190" i="1"/>
  <c r="AD185" i="1"/>
  <c r="AD186" i="1"/>
  <c r="AD193" i="1"/>
  <c r="AD219" i="1" l="1"/>
  <c r="AD213" i="1"/>
  <c r="AD207" i="1"/>
  <c r="AD220" i="1"/>
  <c r="AE224" i="1" s="1"/>
  <c r="AD202" i="1"/>
  <c r="AD206" i="1" s="1"/>
  <c r="AD199" i="1"/>
  <c r="AD221" i="1" s="1"/>
  <c r="AD218" i="1" l="1"/>
  <c r="AE173" i="1"/>
  <c r="AE179" i="1" s="1"/>
  <c r="AD200" i="1"/>
  <c r="AD201" i="1" s="1"/>
  <c r="AE174" i="1"/>
  <c r="AE180" i="1" s="1"/>
  <c r="AD208" i="1"/>
  <c r="AE171" i="1"/>
  <c r="AD209" i="1"/>
  <c r="AD217" i="1" l="1"/>
  <c r="AE177" i="1" s="1"/>
  <c r="AE172" i="1"/>
  <c r="AE178" i="1" s="1"/>
  <c r="AE186" i="1" s="1"/>
  <c r="AD216" i="1" l="1"/>
  <c r="AD215" i="1" s="1"/>
  <c r="AC225" i="1" s="1"/>
  <c r="AE185" i="1"/>
  <c r="AE183" i="1"/>
  <c r="AE198" i="1" s="1"/>
  <c r="AE184" i="1"/>
  <c r="AE205" i="1" s="1"/>
  <c r="AE219" i="1" l="1"/>
  <c r="AE204" i="1"/>
  <c r="AE175" i="1"/>
  <c r="AE181" i="1" s="1"/>
  <c r="AE189" i="1" s="1"/>
  <c r="AE188" i="1"/>
  <c r="AE211" i="1" s="1"/>
  <c r="AE187" i="1"/>
  <c r="AE210" i="1" s="1"/>
  <c r="AE223" i="1" s="1"/>
  <c r="AE212" i="1"/>
  <c r="AE176" i="1"/>
  <c r="AE182" i="1" s="1"/>
  <c r="AE196" i="1" s="1"/>
  <c r="AD222" i="1"/>
  <c r="AE220" i="1"/>
  <c r="AF224" i="1" s="1"/>
  <c r="AE218" i="1" l="1"/>
  <c r="AF171" i="1"/>
  <c r="AE195" i="1"/>
  <c r="AE190" i="1"/>
  <c r="AF174" i="1"/>
  <c r="AF180" i="1" s="1"/>
  <c r="AE194" i="1"/>
  <c r="AE197" i="1"/>
  <c r="AE192" i="1"/>
  <c r="AE191" i="1"/>
  <c r="AE193" i="1"/>
  <c r="AF173" i="1"/>
  <c r="AF179" i="1" s="1"/>
  <c r="AE199" i="1" l="1"/>
  <c r="AE208" i="1" s="1"/>
  <c r="AE207" i="1"/>
  <c r="AE213" i="1"/>
  <c r="AE202" i="1"/>
  <c r="AE206" i="1" s="1"/>
  <c r="AE217" i="1"/>
  <c r="AF177" i="1" s="1"/>
  <c r="AF172" i="1"/>
  <c r="AF178" i="1" s="1"/>
  <c r="AE221" i="1" l="1"/>
  <c r="AD225" i="1" s="1"/>
  <c r="AE200" i="1"/>
  <c r="AE201" i="1" s="1"/>
  <c r="AF185" i="1" s="1"/>
  <c r="AE209" i="1"/>
  <c r="AF184" i="1"/>
  <c r="AF205" i="1" s="1"/>
  <c r="AF183" i="1"/>
  <c r="AE216" i="1"/>
  <c r="AE215" i="1" s="1"/>
  <c r="AF187" i="1" s="1"/>
  <c r="AF210" i="1" s="1"/>
  <c r="AF223" i="1" s="1"/>
  <c r="AF198" i="1" l="1"/>
  <c r="AF186" i="1"/>
  <c r="AF219" i="1" s="1"/>
  <c r="AF188" i="1"/>
  <c r="AF211" i="1" s="1"/>
  <c r="AF212" i="1"/>
  <c r="AE222" i="1"/>
  <c r="AF204" i="1" s="1"/>
  <c r="AF175" i="1"/>
  <c r="AF181" i="1" s="1"/>
  <c r="AF176" i="1"/>
  <c r="AF182" i="1" s="1"/>
  <c r="AF220" i="1" l="1"/>
  <c r="AG224" i="1" s="1"/>
  <c r="AF189" i="1"/>
  <c r="AF190" i="1"/>
  <c r="AF191" i="1"/>
  <c r="AF195" i="1"/>
  <c r="AF194" i="1"/>
  <c r="AF196" i="1"/>
  <c r="AF192" i="1"/>
  <c r="AF193" i="1"/>
  <c r="AF197" i="1"/>
  <c r="AF218" i="1" l="1"/>
  <c r="AG172" i="1" s="1"/>
  <c r="AG178" i="1" s="1"/>
  <c r="AG173" i="1"/>
  <c r="AG179" i="1" s="1"/>
  <c r="AG174" i="1"/>
  <c r="AG180" i="1" s="1"/>
  <c r="AG171" i="1"/>
  <c r="AF213" i="1"/>
  <c r="AF207" i="1"/>
  <c r="AF199" i="1"/>
  <c r="AF202" i="1"/>
  <c r="AF206" i="1" s="1"/>
  <c r="AF217" i="1"/>
  <c r="AG177" i="1" s="1"/>
  <c r="AE225" i="1"/>
  <c r="AF221" i="1" l="1"/>
  <c r="AF209" i="1"/>
  <c r="AF208" i="1"/>
  <c r="AF200" i="1"/>
  <c r="AF201" i="1" s="1"/>
  <c r="AG185" i="1" s="1"/>
  <c r="AF216" i="1"/>
  <c r="AF215" i="1" s="1"/>
  <c r="AG184" i="1"/>
  <c r="AG205" i="1" s="1"/>
  <c r="AG183" i="1"/>
  <c r="AG198" i="1" l="1"/>
  <c r="AG186" i="1"/>
  <c r="AG219" i="1" s="1"/>
  <c r="AG176" i="1"/>
  <c r="AG182" i="1" s="1"/>
  <c r="AG204" i="1"/>
  <c r="AG212" i="1"/>
  <c r="AG175" i="1"/>
  <c r="AG181" i="1" s="1"/>
  <c r="AF222" i="1"/>
  <c r="AG187" i="1"/>
  <c r="AG210" i="1" s="1"/>
  <c r="AG223" i="1" s="1"/>
  <c r="AG188" i="1"/>
  <c r="AG211" i="1" s="1"/>
  <c r="AG220" i="1" l="1"/>
  <c r="AG194" i="1"/>
  <c r="AG192" i="1"/>
  <c r="AG193" i="1"/>
  <c r="AG195" i="1"/>
  <c r="AG196" i="1"/>
  <c r="AG197" i="1"/>
  <c r="AG189" i="1"/>
  <c r="AG191" i="1"/>
  <c r="AG190" i="1"/>
  <c r="AH224" i="1" l="1"/>
  <c r="AG218" i="1"/>
  <c r="AG207" i="1"/>
  <c r="AG213" i="1"/>
  <c r="AH174" i="1"/>
  <c r="AH180" i="1" s="1"/>
  <c r="AH171" i="1"/>
  <c r="AH173" i="1"/>
  <c r="AH179" i="1" s="1"/>
  <c r="AG202" i="1"/>
  <c r="AG206" i="1" s="1"/>
  <c r="AG199" i="1"/>
  <c r="AG208" i="1" l="1"/>
  <c r="AG221" i="1"/>
  <c r="AG209" i="1"/>
  <c r="AG200" i="1"/>
  <c r="AG201" i="1" s="1"/>
  <c r="AH172" i="1"/>
  <c r="AH178" i="1" s="1"/>
  <c r="AG217" i="1"/>
  <c r="AF225" i="1"/>
  <c r="AH185" i="1" l="1"/>
  <c r="AH186" i="1"/>
  <c r="AH177" i="1"/>
  <c r="AG216" i="1"/>
  <c r="AG215" i="1" s="1"/>
  <c r="AH220" i="1" l="1"/>
  <c r="AI224" i="1" s="1"/>
  <c r="AH184" i="1"/>
  <c r="AH205" i="1" s="1"/>
  <c r="AH219" i="1" s="1"/>
  <c r="AH183" i="1"/>
  <c r="AH198" i="1" s="1"/>
  <c r="AH188" i="1"/>
  <c r="AH211" i="1" s="1"/>
  <c r="AH204" i="1"/>
  <c r="AH187" i="1"/>
  <c r="AH210" i="1" s="1"/>
  <c r="AH223" i="1" s="1"/>
  <c r="AH212" i="1"/>
  <c r="AG222" i="1"/>
  <c r="AH176" i="1"/>
  <c r="AH182" i="1" s="1"/>
  <c r="AH175" i="1"/>
  <c r="AH181" i="1" s="1"/>
  <c r="AH218" i="1" l="1"/>
  <c r="AI171" i="1"/>
  <c r="AI174" i="1"/>
  <c r="AI180" i="1" s="1"/>
  <c r="AI173" i="1"/>
  <c r="AI179" i="1" s="1"/>
  <c r="AH197" i="1"/>
  <c r="AH196" i="1"/>
  <c r="AH193" i="1"/>
  <c r="AH192" i="1"/>
  <c r="AH195" i="1"/>
  <c r="AH194" i="1"/>
  <c r="AH189" i="1"/>
  <c r="AH191" i="1"/>
  <c r="AH190" i="1"/>
  <c r="AH217" i="1"/>
  <c r="AI177" i="1" s="1"/>
  <c r="AI184" i="1" s="1"/>
  <c r="AI205" i="1" s="1"/>
  <c r="AG225" i="1"/>
  <c r="AH202" i="1" l="1"/>
  <c r="AH206" i="1" s="1"/>
  <c r="AH213" i="1"/>
  <c r="AH216" i="1" s="1"/>
  <c r="AH215" i="1" s="1"/>
  <c r="AI172" i="1"/>
  <c r="AI178" i="1" s="1"/>
  <c r="AH199" i="1"/>
  <c r="AI183" i="1"/>
  <c r="AH207" i="1"/>
  <c r="AI176" i="1" l="1"/>
  <c r="AI182" i="1" s="1"/>
  <c r="AI188" i="1"/>
  <c r="AI211" i="1" s="1"/>
  <c r="AH222" i="1"/>
  <c r="AI212" i="1"/>
  <c r="AI175" i="1"/>
  <c r="AI181" i="1" s="1"/>
  <c r="AI187" i="1"/>
  <c r="AI210" i="1" s="1"/>
  <c r="AI223" i="1" s="1"/>
  <c r="AI204" i="1"/>
  <c r="AH208" i="1"/>
  <c r="AH221" i="1"/>
  <c r="AH209" i="1"/>
  <c r="AH200" i="1"/>
  <c r="AH201" i="1" s="1"/>
  <c r="AI185" i="1" s="1"/>
  <c r="AI186" i="1" l="1"/>
  <c r="AI220" i="1" s="1"/>
  <c r="AJ224" i="1" s="1"/>
  <c r="AI198" i="1"/>
  <c r="AI191" i="1"/>
  <c r="AI189" i="1"/>
  <c r="AI190" i="1"/>
  <c r="AI197" i="1"/>
  <c r="AI193" i="1"/>
  <c r="AI195" i="1"/>
  <c r="AI196" i="1"/>
  <c r="AI192" i="1"/>
  <c r="AI194" i="1"/>
  <c r="AI219" i="1" l="1"/>
  <c r="AI217" i="1" s="1"/>
  <c r="AJ177" i="1" s="1"/>
  <c r="AJ183" i="1" s="1"/>
  <c r="AI202" i="1"/>
  <c r="AI206" i="1" s="1"/>
  <c r="AI199" i="1"/>
  <c r="AI209" i="1" s="1"/>
  <c r="AI213" i="1"/>
  <c r="AJ171" i="1"/>
  <c r="AJ174" i="1"/>
  <c r="AJ180" i="1" s="1"/>
  <c r="AJ173" i="1"/>
  <c r="AJ179" i="1" s="1"/>
  <c r="AI207" i="1"/>
  <c r="AI218" i="1" l="1"/>
  <c r="AJ172" i="1" s="1"/>
  <c r="AJ178" i="1" s="1"/>
  <c r="AI216" i="1"/>
  <c r="AI215" i="1" s="1"/>
  <c r="AJ187" i="1" s="1"/>
  <c r="AJ210" i="1" s="1"/>
  <c r="AJ223" i="1" s="1"/>
  <c r="AI208" i="1"/>
  <c r="AI200" i="1"/>
  <c r="AI201" i="1" s="1"/>
  <c r="AI221" i="1"/>
  <c r="AH225" i="1"/>
  <c r="AJ184" i="1"/>
  <c r="AJ205" i="1" s="1"/>
  <c r="AI222" i="1" l="1"/>
  <c r="AJ204" i="1"/>
  <c r="AJ186" i="1"/>
  <c r="AJ188" i="1"/>
  <c r="AJ211" i="1" s="1"/>
  <c r="AJ175" i="1"/>
  <c r="AJ181" i="1" s="1"/>
  <c r="AJ191" i="1" s="1"/>
  <c r="AJ176" i="1"/>
  <c r="AJ182" i="1" s="1"/>
  <c r="AJ193" i="1" s="1"/>
  <c r="AJ185" i="1"/>
  <c r="AJ219" i="1" s="1"/>
  <c r="AJ212" i="1"/>
  <c r="AJ198" i="1"/>
  <c r="AJ190" i="1" l="1"/>
  <c r="AJ196" i="1"/>
  <c r="AJ194" i="1"/>
  <c r="AJ207" i="1" s="1"/>
  <c r="AJ197" i="1"/>
  <c r="AJ192" i="1"/>
  <c r="AJ189" i="1"/>
  <c r="AJ195" i="1"/>
  <c r="AJ220" i="1"/>
  <c r="AK224" i="1" s="1"/>
  <c r="AJ218" i="1" l="1"/>
  <c r="AK172" i="1" s="1"/>
  <c r="AK178" i="1" s="1"/>
  <c r="AJ202" i="1"/>
  <c r="AJ206" i="1" s="1"/>
  <c r="AJ217" i="1"/>
  <c r="AK177" i="1" s="1"/>
  <c r="AK183" i="1" s="1"/>
  <c r="AK171" i="1"/>
  <c r="AJ199" i="1"/>
  <c r="AJ208" i="1" s="1"/>
  <c r="AJ213" i="1"/>
  <c r="AK174" i="1"/>
  <c r="AK180" i="1" s="1"/>
  <c r="AK173" i="1"/>
  <c r="AK179" i="1" s="1"/>
  <c r="AK184" i="1" l="1"/>
  <c r="AK205" i="1" s="1"/>
  <c r="AJ216" i="1"/>
  <c r="AJ215" i="1" s="1"/>
  <c r="AK176" i="1" s="1"/>
  <c r="AK182" i="1" s="1"/>
  <c r="AJ200" i="1"/>
  <c r="AJ201" i="1" s="1"/>
  <c r="AK185" i="1" s="1"/>
  <c r="AJ221" i="1"/>
  <c r="AI225" i="1" s="1"/>
  <c r="AJ209" i="1"/>
  <c r="AJ222" i="1" l="1"/>
  <c r="AK175" i="1"/>
  <c r="AK181" i="1" s="1"/>
  <c r="AK191" i="1" s="1"/>
  <c r="AK212" i="1"/>
  <c r="AK188" i="1"/>
  <c r="AK211" i="1" s="1"/>
  <c r="AK198" i="1"/>
  <c r="AK204" i="1"/>
  <c r="AK187" i="1"/>
  <c r="AK210" i="1" s="1"/>
  <c r="AK223" i="1" s="1"/>
  <c r="AK196" i="1"/>
  <c r="AK193" i="1"/>
  <c r="AK192" i="1"/>
  <c r="AK197" i="1"/>
  <c r="AK195" i="1"/>
  <c r="AK194" i="1"/>
  <c r="AK186" i="1"/>
  <c r="AK220" i="1" s="1"/>
  <c r="AL224" i="1" s="1"/>
  <c r="AK189" i="1" l="1"/>
  <c r="AK219" i="1"/>
  <c r="AK218" i="1" s="1"/>
  <c r="AK190" i="1"/>
  <c r="AL174" i="1"/>
  <c r="AL180" i="1" s="1"/>
  <c r="AK207" i="1"/>
  <c r="AL171" i="1"/>
  <c r="AL173" i="1"/>
  <c r="AL179" i="1" s="1"/>
  <c r="AK213" i="1"/>
  <c r="AK199" i="1" l="1"/>
  <c r="AK221" i="1" s="1"/>
  <c r="AL172" i="1"/>
  <c r="AL178" i="1" s="1"/>
  <c r="AK202" i="1"/>
  <c r="AK206" i="1" s="1"/>
  <c r="AK217" i="1"/>
  <c r="AK216" i="1" s="1"/>
  <c r="AK215" i="1" s="1"/>
  <c r="AK222" i="1" s="1"/>
  <c r="AJ225" i="1"/>
  <c r="AK208" i="1" l="1"/>
  <c r="AK200" i="1"/>
  <c r="AK201" i="1" s="1"/>
  <c r="AL186" i="1" s="1"/>
  <c r="AK209" i="1"/>
  <c r="AL177" i="1"/>
  <c r="AL183" i="1" s="1"/>
  <c r="AL187" i="1"/>
  <c r="AL210" i="1" s="1"/>
  <c r="AL223" i="1" s="1"/>
  <c r="AL175" i="1"/>
  <c r="AL181" i="1" s="1"/>
  <c r="AL190" i="1" s="1"/>
  <c r="AL176" i="1"/>
  <c r="AL182" i="1" s="1"/>
  <c r="AL204" i="1"/>
  <c r="AL188" i="1"/>
  <c r="AL211" i="1" s="1"/>
  <c r="AL185" i="1"/>
  <c r="AL198" i="1" l="1"/>
  <c r="AL192" i="1"/>
  <c r="AL184" i="1"/>
  <c r="AL205" i="1" s="1"/>
  <c r="AL212" i="1" s="1"/>
  <c r="AL191" i="1"/>
  <c r="AL194" i="1"/>
  <c r="AL196" i="1"/>
  <c r="AL193" i="1"/>
  <c r="AL197" i="1"/>
  <c r="AL195" i="1"/>
  <c r="AL189" i="1"/>
  <c r="AL220" i="1"/>
  <c r="AM224" i="1" s="1"/>
  <c r="AL219" i="1" l="1"/>
  <c r="AL218" i="1" s="1"/>
  <c r="AM172" i="1" s="1"/>
  <c r="AL207" i="1"/>
  <c r="AL199" i="1"/>
  <c r="AL208" i="1" s="1"/>
  <c r="AM171" i="1"/>
  <c r="AL213" i="1"/>
  <c r="AL202" i="1"/>
  <c r="AL206" i="1" s="1"/>
  <c r="AM173" i="1"/>
  <c r="AM179" i="1" s="1"/>
  <c r="AM174" i="1"/>
  <c r="AM180" i="1" s="1"/>
  <c r="AL217" i="1" l="1"/>
  <c r="AM177" i="1" s="1"/>
  <c r="AM183" i="1" s="1"/>
  <c r="AL200" i="1"/>
  <c r="AL201" i="1" s="1"/>
  <c r="AL209" i="1"/>
  <c r="AL221" i="1"/>
  <c r="AK225" i="1"/>
  <c r="AM178" i="1"/>
  <c r="AL216" i="1" l="1"/>
  <c r="AL215" i="1" s="1"/>
  <c r="AM176" i="1" s="1"/>
  <c r="AM182" i="1" s="1"/>
  <c r="AM196" i="1" s="1"/>
  <c r="AM184" i="1"/>
  <c r="AM205" i="1" s="1"/>
  <c r="AM198" i="1"/>
  <c r="AM186" i="1"/>
  <c r="AM185" i="1"/>
  <c r="AM188" i="1" l="1"/>
  <c r="AM211" i="1" s="1"/>
  <c r="AM193" i="1"/>
  <c r="AM194" i="1"/>
  <c r="AM197" i="1"/>
  <c r="AM175" i="1"/>
  <c r="AM181" i="1" s="1"/>
  <c r="AM190" i="1" s="1"/>
  <c r="AM192" i="1"/>
  <c r="AM195" i="1"/>
  <c r="AL222" i="1"/>
  <c r="AM212" i="1"/>
  <c r="AM187" i="1"/>
  <c r="AM210" i="1" s="1"/>
  <c r="AM223" i="1" s="1"/>
  <c r="AM204" i="1"/>
  <c r="AM219" i="1"/>
  <c r="AM220" i="1"/>
  <c r="AN224" i="1" s="1"/>
  <c r="AM191" i="1" l="1"/>
  <c r="AM207" i="1" s="1"/>
  <c r="AM189" i="1"/>
  <c r="AM213" i="1"/>
  <c r="AM218" i="1"/>
  <c r="AN173" i="1"/>
  <c r="AN179" i="1" s="1"/>
  <c r="AN174" i="1"/>
  <c r="AN180" i="1" s="1"/>
  <c r="AN171" i="1"/>
  <c r="AM199" i="1" l="1"/>
  <c r="AM209" i="1" s="1"/>
  <c r="AM202" i="1"/>
  <c r="AM206" i="1" s="1"/>
  <c r="AM217" i="1"/>
  <c r="AN177" i="1" s="1"/>
  <c r="AN184" i="1" s="1"/>
  <c r="AN205" i="1" s="1"/>
  <c r="AN172" i="1"/>
  <c r="AN178" i="1" s="1"/>
  <c r="AM200" i="1" l="1"/>
  <c r="AM201" i="1" s="1"/>
  <c r="AN185" i="1" s="1"/>
  <c r="AM208" i="1"/>
  <c r="AM221" i="1"/>
  <c r="AM216" i="1"/>
  <c r="AM215" i="1" s="1"/>
  <c r="AN212" i="1" s="1"/>
  <c r="AN183" i="1"/>
  <c r="AN198" i="1" s="1"/>
  <c r="AL225" i="1"/>
  <c r="AN186" i="1" l="1"/>
  <c r="AN219" i="1" s="1"/>
  <c r="AN176" i="1"/>
  <c r="AN182" i="1" s="1"/>
  <c r="AN194" i="1" s="1"/>
  <c r="AN175" i="1"/>
  <c r="AN181" i="1" s="1"/>
  <c r="AN189" i="1" s="1"/>
  <c r="AN204" i="1"/>
  <c r="AN188" i="1"/>
  <c r="AN211" i="1" s="1"/>
  <c r="AN187" i="1"/>
  <c r="AN210" i="1" s="1"/>
  <c r="AN223" i="1" s="1"/>
  <c r="AM222" i="1"/>
  <c r="AN220" i="1" l="1"/>
  <c r="AO224" i="1" s="1"/>
  <c r="AN192" i="1"/>
  <c r="AN190" i="1"/>
  <c r="AN191" i="1"/>
  <c r="AN207" i="1" s="1"/>
  <c r="AN195" i="1"/>
  <c r="AN197" i="1"/>
  <c r="AN193" i="1"/>
  <c r="AN196" i="1"/>
  <c r="AO171" i="1" l="1"/>
  <c r="AO173" i="1"/>
  <c r="AO179" i="1" s="1"/>
  <c r="AO174" i="1"/>
  <c r="AO180" i="1" s="1"/>
  <c r="AN218" i="1"/>
  <c r="AN213" i="1"/>
  <c r="AN199" i="1"/>
  <c r="AN208" i="1" s="1"/>
  <c r="AN202" i="1"/>
  <c r="AN206" i="1" s="1"/>
  <c r="AN217" i="1"/>
  <c r="AO177" i="1" s="1"/>
  <c r="AN200" i="1" l="1"/>
  <c r="AN201" i="1" s="1"/>
  <c r="AN221" i="1"/>
  <c r="AN209" i="1"/>
  <c r="AO172" i="1"/>
  <c r="AO178" i="1" s="1"/>
  <c r="AN216" i="1"/>
  <c r="AN215" i="1" s="1"/>
  <c r="AM225" i="1" s="1"/>
  <c r="AO175" i="1" l="1"/>
  <c r="AO181" i="1" s="1"/>
  <c r="AO176" i="1"/>
  <c r="AO182" i="1" s="1"/>
  <c r="AO186" i="1"/>
  <c r="AO185" i="1"/>
  <c r="AN222" i="1"/>
  <c r="AO204" i="1"/>
  <c r="AO187" i="1"/>
  <c r="AO210" i="1" s="1"/>
  <c r="AO223" i="1" s="1"/>
  <c r="AO188" i="1"/>
  <c r="AO211" i="1" s="1"/>
  <c r="AO184" i="1"/>
  <c r="AO205" i="1" s="1"/>
  <c r="AO212" i="1" s="1"/>
  <c r="AO183" i="1"/>
  <c r="AO198" i="1" s="1"/>
  <c r="AO219" i="1" l="1"/>
  <c r="AO220" i="1"/>
  <c r="AP224" i="1" s="1"/>
  <c r="AO190" i="1"/>
  <c r="AO189" i="1"/>
  <c r="AO191" i="1"/>
  <c r="AO195" i="1"/>
  <c r="AO197" i="1"/>
  <c r="AO192" i="1"/>
  <c r="AO194" i="1"/>
  <c r="AO193" i="1"/>
  <c r="AO196" i="1"/>
  <c r="AO218" i="1" l="1"/>
  <c r="AN225" i="1"/>
  <c r="AP173" i="1"/>
  <c r="AP179" i="1" s="1"/>
  <c r="AP174" i="1"/>
  <c r="AP180" i="1" s="1"/>
  <c r="AP171" i="1"/>
  <c r="AO199" i="1"/>
  <c r="AO209" i="1" s="1"/>
  <c r="AO207" i="1"/>
  <c r="AO213" i="1"/>
  <c r="AO202" i="1"/>
  <c r="AO206" i="1" s="1"/>
  <c r="AP172" i="1" l="1"/>
  <c r="AP178" i="1" s="1"/>
  <c r="AO217" i="1"/>
  <c r="AP177" i="1" s="1"/>
  <c r="AP183" i="1" s="1"/>
  <c r="AO200" i="1"/>
  <c r="AO201" i="1" s="1"/>
  <c r="AO208" i="1"/>
  <c r="AO221" i="1"/>
  <c r="AP186" i="1" l="1"/>
  <c r="AP198" i="1"/>
  <c r="AP184" i="1"/>
  <c r="AP205" i="1" s="1"/>
  <c r="AO216" i="1"/>
  <c r="AO215" i="1" s="1"/>
  <c r="AP176" i="1" s="1"/>
  <c r="AP182" i="1" s="1"/>
  <c r="AP195" i="1" s="1"/>
  <c r="AP185" i="1"/>
  <c r="AP219" i="1" l="1"/>
  <c r="AP220" i="1"/>
  <c r="AP204" i="1"/>
  <c r="AO222" i="1"/>
  <c r="AP188" i="1"/>
  <c r="AP211" i="1" s="1"/>
  <c r="AP212" i="1"/>
  <c r="AP175" i="1"/>
  <c r="AP181" i="1" s="1"/>
  <c r="AP190" i="1" s="1"/>
  <c r="AP187" i="1"/>
  <c r="AP210" i="1" s="1"/>
  <c r="AP223" i="1" s="1"/>
  <c r="AP194" i="1"/>
  <c r="AP192" i="1"/>
  <c r="AP196" i="1"/>
  <c r="AP197" i="1"/>
  <c r="AP193" i="1"/>
  <c r="AP218" i="1" l="1"/>
  <c r="AP217" i="1"/>
  <c r="AP191" i="1"/>
  <c r="AP207" i="1" s="1"/>
  <c r="AP189" i="1"/>
  <c r="AO225" i="1"/>
  <c r="AP225" i="1"/>
  <c r="AP213" i="1"/>
  <c r="B226" i="1" l="1" a="1"/>
  <c r="B226" i="1" s="1"/>
  <c r="AP216" i="1"/>
  <c r="AP215" i="1" s="1"/>
  <c r="AP222" i="1" s="1"/>
  <c r="AP199" i="1"/>
  <c r="AP209" i="1" s="1"/>
  <c r="AP202" i="1"/>
  <c r="AP206" i="1" s="1"/>
  <c r="AP208" i="1" l="1"/>
  <c r="AP200" i="1"/>
  <c r="AP201" i="1" s="1"/>
  <c r="AP221" i="1"/>
</calcChain>
</file>

<file path=xl/sharedStrings.xml><?xml version="1.0" encoding="utf-8"?>
<sst xmlns="http://schemas.openxmlformats.org/spreadsheetml/2006/main" count="1399" uniqueCount="330">
  <si>
    <t>650 м</t>
  </si>
  <si>
    <t>350 м</t>
  </si>
  <si>
    <t>средние</t>
  </si>
  <si>
    <t>Эпюра шпал, шт/км</t>
  </si>
  <si>
    <t>Вертикальная жесткость, м-1</t>
  </si>
  <si>
    <t>Горизонтальная жесткость, м-1</t>
  </si>
  <si>
    <t>Силы, напряжения итп</t>
  </si>
  <si>
    <t>Н.К., МПа</t>
  </si>
  <si>
    <t>В.К., МПа</t>
  </si>
  <si>
    <t>23,5 тс</t>
  </si>
  <si>
    <t>25 тс</t>
  </si>
  <si>
    <t>27 тс</t>
  </si>
  <si>
    <t>40 км/ч</t>
  </si>
  <si>
    <t>60 км/ч</t>
  </si>
  <si>
    <t>80 км/ч</t>
  </si>
  <si>
    <t>100 км/ч</t>
  </si>
  <si>
    <t>выход рельсов, шт/км</t>
  </si>
  <si>
    <t>выход скреп, шт/км</t>
  </si>
  <si>
    <t>выход шпал, шт/км</t>
  </si>
  <si>
    <t>ШК &lt;10-20 мм, шт/км</t>
  </si>
  <si>
    <t>ШК &lt;20-30 мм, шт/км</t>
  </si>
  <si>
    <t>ШК &gt;30 мм, шт/км</t>
  </si>
  <si>
    <t>П,Пр,У &lt;10-20 мм, шт/км</t>
  </si>
  <si>
    <t>П,Пр,У &lt;20-30 мм, шт/км</t>
  </si>
  <si>
    <t>П,Пр,У &gt;30 мм, шт/км</t>
  </si>
  <si>
    <t>Напряжения на ОПЗП, кПа</t>
  </si>
  <si>
    <t>Рельсы</t>
  </si>
  <si>
    <t>Х+</t>
  </si>
  <si>
    <t>Х-</t>
  </si>
  <si>
    <t>dр</t>
  </si>
  <si>
    <t>Шпалы</t>
  </si>
  <si>
    <t>Скрепления</t>
  </si>
  <si>
    <t>Хp</t>
  </si>
  <si>
    <t>Хн</t>
  </si>
  <si>
    <t>dскр</t>
  </si>
  <si>
    <t>dшп</t>
  </si>
  <si>
    <t>П, Пр, Ур</t>
  </si>
  <si>
    <t>Хбалл</t>
  </si>
  <si>
    <t>dп,Пр,Ур</t>
  </si>
  <si>
    <t>Зем.полотно</t>
  </si>
  <si>
    <t>dопзп</t>
  </si>
  <si>
    <t>Ш.К.</t>
  </si>
  <si>
    <t>dшк</t>
  </si>
  <si>
    <t>Рихт</t>
  </si>
  <si>
    <t>Хpихт</t>
  </si>
  <si>
    <t>dРихт</t>
  </si>
  <si>
    <t>Загрязн</t>
  </si>
  <si>
    <t>dзагр</t>
  </si>
  <si>
    <t>СКО</t>
  </si>
  <si>
    <t>Прямая</t>
  </si>
  <si>
    <t>Вертикальная сила на шпалу, кН</t>
  </si>
  <si>
    <t>Горизонтальная сила на шпалу, кН</t>
  </si>
  <si>
    <t>вертикальная сила от колеса на рельс, кН</t>
  </si>
  <si>
    <t>боковая сила от колеса на рельс, кН</t>
  </si>
  <si>
    <t>Площадь опирания полушпалы, см2</t>
  </si>
  <si>
    <t xml:space="preserve">порожние </t>
  </si>
  <si>
    <t>Пассажирские</t>
  </si>
  <si>
    <t>Локомотивы</t>
  </si>
  <si>
    <t>Эксплуатационные условия</t>
  </si>
  <si>
    <t>Грузонапряженность</t>
  </si>
  <si>
    <t>Климатический коэффициент</t>
  </si>
  <si>
    <t>Значение</t>
  </si>
  <si>
    <t>доля прямых и кривых до 1200 м</t>
  </si>
  <si>
    <t>Коэффициент перевальных участков</t>
  </si>
  <si>
    <t>Данные для поездопотока</t>
  </si>
  <si>
    <t>порожние вагоны</t>
  </si>
  <si>
    <t>вагоны с осевой нагрузкой 23.5 тс</t>
  </si>
  <si>
    <t>вагоны с осевой нагрузкой 25 тс</t>
  </si>
  <si>
    <t>вагоны с осевой нагрузкой 27 тс</t>
  </si>
  <si>
    <t>локомотивы</t>
  </si>
  <si>
    <t>доля в потоке</t>
  </si>
  <si>
    <t>доля для    &lt; 80 кмч</t>
  </si>
  <si>
    <t>Пасажирские вагоны</t>
  </si>
  <si>
    <t>Деградационные кривые = a*(x^5)+b*(x^4)+c*(x^3)+d*(x^2)+e*(x)+f</t>
  </si>
  <si>
    <t>Приведенная повреждаемость di</t>
  </si>
  <si>
    <t>a</t>
  </si>
  <si>
    <t>b</t>
  </si>
  <si>
    <t>c</t>
  </si>
  <si>
    <t>d</t>
  </si>
  <si>
    <t>e</t>
  </si>
  <si>
    <t>f</t>
  </si>
  <si>
    <t>доля для 40 кмч и менее</t>
  </si>
  <si>
    <t>доля для 41-60 кмч</t>
  </si>
  <si>
    <t>доля для 61-80 кмч</t>
  </si>
  <si>
    <t>год расчета</t>
  </si>
  <si>
    <t>пропущенный тоннаж</t>
  </si>
  <si>
    <t>Коэфф. Готовности</t>
  </si>
  <si>
    <t>Норма готовности</t>
  </si>
  <si>
    <t>Коэфф. Восстановления готовности</t>
  </si>
  <si>
    <t>загрязненность щебня, %</t>
  </si>
  <si>
    <t>Индекс предотказа</t>
  </si>
  <si>
    <t>частота отказов, шт/км в год</t>
  </si>
  <si>
    <t>доля от амортизации</t>
  </si>
  <si>
    <t>коэффициент прямых расходов</t>
  </si>
  <si>
    <t>Ш.К. (допустимое)</t>
  </si>
  <si>
    <t>Ш.К. (нежелательное)</t>
  </si>
  <si>
    <t>Ш.К. (недопустимое)</t>
  </si>
  <si>
    <t>П,Пр,У (допустимое)</t>
  </si>
  <si>
    <t>П,Пр,У  (недопустимое)</t>
  </si>
  <si>
    <t>П,Пр,У (нежелательное)</t>
  </si>
  <si>
    <t>Рихтовки (допустимое)</t>
  </si>
  <si>
    <t>Рихтовки (нежелательное)</t>
  </si>
  <si>
    <t>Рихтовки  (недопустимое)</t>
  </si>
  <si>
    <t>Киннов (верт)</t>
  </si>
  <si>
    <t>Киннов (гор)</t>
  </si>
  <si>
    <t>Средние значения</t>
  </si>
  <si>
    <t>С.К.О.</t>
  </si>
  <si>
    <t>Проверка долей скоростей</t>
  </si>
  <si>
    <t>Толщина балласта, мм</t>
  </si>
  <si>
    <t>Напряжения в баласте под шпалой, кПа</t>
  </si>
  <si>
    <t>[Sопзп]</t>
  </si>
  <si>
    <t>Тип ВСП (1-б.п., 2 - з.п)</t>
  </si>
  <si>
    <t>ОПЗП</t>
  </si>
  <si>
    <t>[Sбалл], кПа</t>
  </si>
  <si>
    <t>di (приведение по плану)</t>
  </si>
  <si>
    <t>di (приведение по плану+скорость)</t>
  </si>
  <si>
    <t>di (итого)</t>
  </si>
  <si>
    <t>доля кривых 1200-500 м</t>
  </si>
  <si>
    <t>доля кривых менее500 м</t>
  </si>
  <si>
    <t>Момент сопротивления изгиба, см3</t>
  </si>
  <si>
    <t>средняя осевая нагрузка</t>
  </si>
  <si>
    <t>Пропущенный тоннаж, млн.т брутто</t>
  </si>
  <si>
    <t>ср. за год</t>
  </si>
  <si>
    <t>ср. (-зима)</t>
  </si>
  <si>
    <t>Сужение</t>
  </si>
  <si>
    <t>Уширение</t>
  </si>
  <si>
    <t>Уровень</t>
  </si>
  <si>
    <t>Перекос</t>
  </si>
  <si>
    <t>Просадки</t>
  </si>
  <si>
    <t>Рихтовка</t>
  </si>
  <si>
    <t>Суж+Ушир</t>
  </si>
  <si>
    <t>П+ПР+УР</t>
  </si>
  <si>
    <t>Пропущенный тоннаж, т брутто</t>
  </si>
  <si>
    <t>Средняя осевая нагрузка, т</t>
  </si>
  <si>
    <t>Количество осей, шт</t>
  </si>
  <si>
    <t>Единичная повреждаемость</t>
  </si>
  <si>
    <t>Накопленная повреждаемость</t>
  </si>
  <si>
    <t>H доп</t>
  </si>
  <si>
    <t>H нежел</t>
  </si>
  <si>
    <t>H недоп</t>
  </si>
  <si>
    <t>ШИРИНА КОЛЕИ</t>
  </si>
  <si>
    <t>РИХТОВКА</t>
  </si>
  <si>
    <t>ПЕРЕКОС+ПРОСАДКА+УРОВЕНЬ</t>
  </si>
  <si>
    <t>средняя осевая нагрузка, тс</t>
  </si>
  <si>
    <t>число циклов</t>
  </si>
  <si>
    <t>Рихтовка &lt;10-20 мм, шт/км</t>
  </si>
  <si>
    <t>Рихтовка &lt;20-30 мм, шт/км</t>
  </si>
  <si>
    <t>Рихтовка &gt;30 мм, шт/км</t>
  </si>
  <si>
    <t>Неисправности земляного полотна</t>
  </si>
  <si>
    <t>стоимость устранения одной неисправности, тыс.руб.</t>
  </si>
  <si>
    <t>Весовой коэфф готовности</t>
  </si>
  <si>
    <t>Выход рельсов, шт/км (кат Т1)</t>
  </si>
  <si>
    <t>H (Т1), шт/км</t>
  </si>
  <si>
    <t xml:space="preserve">Выход шпал (ЖБ), шт/км </t>
  </si>
  <si>
    <t xml:space="preserve">Выход скреплений (КБ), шт/км </t>
  </si>
  <si>
    <t>Загрязненность балласта, %</t>
  </si>
  <si>
    <t>Плановые затраты на текущее содержание, тыс.руб/год</t>
  </si>
  <si>
    <t>Фактические затраты на текущее содержание</t>
  </si>
  <si>
    <t>Коэфф. полноты финансирования</t>
  </si>
  <si>
    <t>Рабочие</t>
  </si>
  <si>
    <t>Рабочие (разряд)</t>
  </si>
  <si>
    <t>стоимость чел.час, руб.</t>
  </si>
  <si>
    <t>машинисты (разряд)</t>
  </si>
  <si>
    <t>стоимость материалов ВСП</t>
  </si>
  <si>
    <t>рельсы</t>
  </si>
  <si>
    <t>шпалы</t>
  </si>
  <si>
    <t>скрепления (узел)</t>
  </si>
  <si>
    <t>балласт</t>
  </si>
  <si>
    <t>ед. измерения</t>
  </si>
  <si>
    <t>стоимость, руб</t>
  </si>
  <si>
    <t>шт.</t>
  </si>
  <si>
    <t>элементы</t>
  </si>
  <si>
    <t>м3</t>
  </si>
  <si>
    <t xml:space="preserve">Наименование работы </t>
  </si>
  <si>
    <t>Исправление просадок и перекосов (КБ)</t>
  </si>
  <si>
    <t>Исправление просадок и перекосов (ДО)</t>
  </si>
  <si>
    <t>Тарифный разряд</t>
  </si>
  <si>
    <t>Единица измерения</t>
  </si>
  <si>
    <t>10 шпал</t>
  </si>
  <si>
    <t>Машинисты</t>
  </si>
  <si>
    <t>Затраты материалов</t>
  </si>
  <si>
    <t>Норма времени, чел.час</t>
  </si>
  <si>
    <t>скрепл.</t>
  </si>
  <si>
    <t>затраты на КБ</t>
  </si>
  <si>
    <t>затраты на ДО</t>
  </si>
  <si>
    <t>дер</t>
  </si>
  <si>
    <t>жб</t>
  </si>
  <si>
    <t>кб</t>
  </si>
  <si>
    <t>Смена деревянных шпал (8 кост.на шпале)</t>
  </si>
  <si>
    <t>Смена деревянных шпал (10 кост.на шпале)</t>
  </si>
  <si>
    <t>до</t>
  </si>
  <si>
    <t>затраты на 8 кост</t>
  </si>
  <si>
    <t>затраты на 10 кост</t>
  </si>
  <si>
    <t>1 шпала</t>
  </si>
  <si>
    <t>Смена ж/б шпал</t>
  </si>
  <si>
    <t>100 м пути</t>
  </si>
  <si>
    <t>Регулировка РШР в плане (на ж/б, щеб балласт)</t>
  </si>
  <si>
    <t>Регулировка РШР в плане (на дереве, щеб балласт)</t>
  </si>
  <si>
    <t>затраты на ж/б</t>
  </si>
  <si>
    <t>затраты надереве</t>
  </si>
  <si>
    <t>Регулировка ширины колеи  (на ж/б)</t>
  </si>
  <si>
    <t>Регулировка ширины колеи  (на дереве)</t>
  </si>
  <si>
    <t>10 концов шпал</t>
  </si>
  <si>
    <t>Одиночная смена рельсов Р65 длиной 25 м (при 6-ти дырных накладках)</t>
  </si>
  <si>
    <t>Одиночная смена рельсов Р65 длиной 25 м (при 4-ех дырных накладках)</t>
  </si>
  <si>
    <t>1 рельс</t>
  </si>
  <si>
    <t>Смена подкладок при раздельном скреплении (КБ)</t>
  </si>
  <si>
    <t>1 подкладка</t>
  </si>
  <si>
    <t>подкладка</t>
  </si>
  <si>
    <t>заклад.болты</t>
  </si>
  <si>
    <t>изолир.втулки</t>
  </si>
  <si>
    <t>прокладки</t>
  </si>
  <si>
    <t>10 заклад.болтов</t>
  </si>
  <si>
    <t>Смена закладных болтов  (КБ)</t>
  </si>
  <si>
    <t>Смена изолирующих втулок (КБ)</t>
  </si>
  <si>
    <t>10 изолир.втулок</t>
  </si>
  <si>
    <t>Смена резиновых прокладок (КБ)</t>
  </si>
  <si>
    <t>10 резин.прокладок</t>
  </si>
  <si>
    <t>Смена скрепления КБ</t>
  </si>
  <si>
    <t>затраты на 1 скрепл.КБ</t>
  </si>
  <si>
    <t>норма накладных расходов,%</t>
  </si>
  <si>
    <t>Смена клеммных болтов(КБ)</t>
  </si>
  <si>
    <t>57 Смена клеммных болтов  КБ</t>
  </si>
  <si>
    <t>10 клеммных болтов</t>
  </si>
  <si>
    <t>58 Смена клемм  КБ</t>
  </si>
  <si>
    <t>10 клемм</t>
  </si>
  <si>
    <t>59 Смена пружинных шайб  КБ</t>
  </si>
  <si>
    <t>Смена клемм(КБ)</t>
  </si>
  <si>
    <t>Смена пружинных шайб(КБ)</t>
  </si>
  <si>
    <t>10 пружинных шайб</t>
  </si>
  <si>
    <t>клеммный болт</t>
  </si>
  <si>
    <t>клемма</t>
  </si>
  <si>
    <t>пруж.шайба</t>
  </si>
  <si>
    <t>руб.</t>
  </si>
  <si>
    <t>?</t>
  </si>
  <si>
    <t>на 50 м в пути, тыс.руб., с учетом наклад.расходов</t>
  </si>
  <si>
    <t>на 1 шпалу, тыс.руб. с учетом наклад.расходов</t>
  </si>
  <si>
    <t>на 50 шпал, тыс.руб, с учетом наклад.расходов</t>
  </si>
  <si>
    <t>в тыс.руб. с уч.накл.расходов</t>
  </si>
  <si>
    <t>х на 5</t>
  </si>
  <si>
    <t>на 50 концов шпал, тыс.руб., с учетом накл.расх.</t>
  </si>
  <si>
    <t>в тыс.руб с учетом накл.расх.</t>
  </si>
  <si>
    <t xml:space="preserve">41, 42 Регулировка ширины колеи </t>
  </si>
  <si>
    <t xml:space="preserve">3 Исправление просадок и перекосов пути на щебеночном балласте  подбивкой шпал </t>
  </si>
  <si>
    <t>20 Смена деревянных шпал, щебеночный балласт</t>
  </si>
  <si>
    <t>21 Смена ж/б шпал, щебеночный балласт</t>
  </si>
  <si>
    <t xml:space="preserve"> 38 Регулировка РШР в плане (в кривой)</t>
  </si>
  <si>
    <t xml:space="preserve"> 45 Одиночная смена рельсов Р65 длиной 25 м</t>
  </si>
  <si>
    <t xml:space="preserve"> 50 Смена подкладок при раздельном скреплении </t>
  </si>
  <si>
    <t xml:space="preserve"> 53 Смена закладных болтов КБ</t>
  </si>
  <si>
    <t xml:space="preserve"> 54 Смена изолирующих втулок КБ</t>
  </si>
  <si>
    <t xml:space="preserve"> 55 Смена резиновых прокладок КБ</t>
  </si>
  <si>
    <t>ТИП скреплений (1 - АРС, 2- КБ,    3-ЖБР, 4-Д0, 5 - КД)</t>
  </si>
  <si>
    <t>Количество негодных скрпелений, %</t>
  </si>
  <si>
    <t>Стоимость ВСП</t>
  </si>
  <si>
    <t>аммортизация</t>
  </si>
  <si>
    <t>С</t>
  </si>
  <si>
    <t>PИC</t>
  </si>
  <si>
    <t>П</t>
  </si>
  <si>
    <t>РИ</t>
  </si>
  <si>
    <t>В</t>
  </si>
  <si>
    <t>ТС</t>
  </si>
  <si>
    <t>По расчету</t>
  </si>
  <si>
    <t>Кн</t>
  </si>
  <si>
    <t>Крс</t>
  </si>
  <si>
    <t>ж/б шпалы</t>
  </si>
  <si>
    <t>H (), %</t>
  </si>
  <si>
    <t>Число шпал с выплесками, %</t>
  </si>
  <si>
    <t>-</t>
  </si>
  <si>
    <t>Негодных подрельсовых прокладок, %, более</t>
  </si>
  <si>
    <t>Количество негодных шпал, %</t>
  </si>
  <si>
    <t>Индекс предотказов</t>
  </si>
  <si>
    <t>Частота отказов, шт. в год/км</t>
  </si>
  <si>
    <t>Коэффициент прямых расходов</t>
  </si>
  <si>
    <t>Доля от амортизации</t>
  </si>
  <si>
    <t>Количество отступлений 2ст., шт./км</t>
  </si>
  <si>
    <t>Загрязненность щебня, %</t>
  </si>
  <si>
    <t>Количество шпал с выплесками, %</t>
  </si>
  <si>
    <t>Стоимость , тыс.руб</t>
  </si>
  <si>
    <t>Пропущенный тоннаж, млн. т брутто</t>
  </si>
  <si>
    <t>Количество негодных скреплений, %</t>
  </si>
  <si>
    <t>выход ОДР, шт/км</t>
  </si>
  <si>
    <t>выход ДР, шт/км</t>
  </si>
  <si>
    <t>Рельсы ДР</t>
  </si>
  <si>
    <t>Рельсы ОДР</t>
  </si>
  <si>
    <t>ДР</t>
  </si>
  <si>
    <t>ОДР</t>
  </si>
  <si>
    <t>Основная площадка зем.полотна</t>
  </si>
  <si>
    <t>Неисправности основной площадки земляного полотна</t>
  </si>
  <si>
    <t>Одиночный выход рельсов (ДР+ОДР)</t>
  </si>
  <si>
    <t>ШК (допустимое), шт/км</t>
  </si>
  <si>
    <t>ШК (недопустимое), шт/км</t>
  </si>
  <si>
    <t>ШК (нежелательное), шт/км</t>
  </si>
  <si>
    <t>П,Пр,У (допустимое), шт/км</t>
  </si>
  <si>
    <t>Рихтовка(допустимое), шт/км</t>
  </si>
  <si>
    <t>П,Пр,У (недопустимое), шт/км</t>
  </si>
  <si>
    <t>Рихтовка (недопустимое), шт/км</t>
  </si>
  <si>
    <t>П,Пр,У (нежелательное), шт/км</t>
  </si>
  <si>
    <t>Рихтовка (нежелательное), шт/км</t>
  </si>
  <si>
    <t>общий пропущенный тоннаж</t>
  </si>
  <si>
    <t>пропущенный тоннаж для рельсов</t>
  </si>
  <si>
    <t>пропущенный тоннаж для скреплений</t>
  </si>
  <si>
    <t>пропущенный тоннаж для ширины колеи</t>
  </si>
  <si>
    <t>пропущенный тоннаж для загрязненности балласта</t>
  </si>
  <si>
    <t>пропущенный тоннаж для шпал</t>
  </si>
  <si>
    <t>число циклов для рельсов</t>
  </si>
  <si>
    <t xml:space="preserve">число циклов для шпал </t>
  </si>
  <si>
    <t xml:space="preserve">число циклов для скреплений </t>
  </si>
  <si>
    <t>число циклов для ширины колеи</t>
  </si>
  <si>
    <t>число циклов для загрязненности балласта</t>
  </si>
  <si>
    <t>число циклов для П, ПР, УР + Рихт</t>
  </si>
  <si>
    <t>число циклов для опзп</t>
  </si>
  <si>
    <t>Признак ремонта</t>
  </si>
  <si>
    <t>РИС</t>
  </si>
  <si>
    <t>К</t>
  </si>
  <si>
    <t>Количество отступлений 2 ст.</t>
  </si>
  <si>
    <t>пропущенный тоннаж для П, ПР, УР + Рихт</t>
  </si>
  <si>
    <t>Загрязн (шпалы с выплесками)</t>
  </si>
  <si>
    <t>Общее число ремонтов</t>
  </si>
  <si>
    <t>Доля замены скреплений, %</t>
  </si>
  <si>
    <t>Итого, тыс.руб./км в год</t>
  </si>
  <si>
    <t>СЖЦ, тыс.руб./км</t>
  </si>
  <si>
    <t xml:space="preserve">10 вырезка, прогрохотка и заброска в путь щебеночного балласта </t>
  </si>
  <si>
    <t xml:space="preserve">вырезка, прогрохотка и заброска в путь щебеночного балласта </t>
  </si>
  <si>
    <t xml:space="preserve">1 м пути </t>
  </si>
  <si>
    <t xml:space="preserve">замена загрязненного грав и грав-песч балласта до подошвы шпалы </t>
  </si>
  <si>
    <t xml:space="preserve">10 м пути </t>
  </si>
  <si>
    <t>затраты на щеб</t>
  </si>
  <si>
    <t>затраты на грав</t>
  </si>
  <si>
    <t>на 1 м пути, с учетом накладных расходов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</si>
</sst>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₽_-;\-* #,##0.00\ _₽_-;_-* &quot;-&quot;??\ _₽_-;_-@_-"/>
    <numFmt numFmtId="164" formatCode="0.0"/>
    <numFmt numFmtId="165" formatCode="0.000"/>
    <numFmt numFmtId="166" formatCode="#,##0.00_ ;\-#,##0.00\ "/>
    <numFmt numFmtId="167" formatCode="#,##0.000_ ;\-#,##0.000\ "/>
    <numFmt numFmtId="168" formatCode="0.0000E+00"/>
    <numFmt numFmtId="169" formatCode="0.000E+00"/>
    <numFmt numFmtId="170" formatCode="0.0000"/>
  </numFmts>
  <fonts count="1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theme="1"/>
      <name val="Baskerville Old Face"/>
      <family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/>
  </cellStyleXfs>
  <cellXfs count="313">
    <xf numFmtId="0" fontId="0" fillId="0" borderId="0" xfId="0"/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" borderId="5" xfId="0" applyFill="1" applyBorder="1"/>
    <xf numFmtId="0" fontId="0" fillId="2" borderId="1" xfId="0" applyFill="1" applyBorder="1"/>
    <xf numFmtId="0" fontId="0" fillId="3" borderId="5" xfId="0" applyFill="1" applyBorder="1"/>
    <xf numFmtId="0" fontId="0" fillId="3" borderId="1" xfId="0" applyFill="1" applyBorder="1"/>
    <xf numFmtId="0" fontId="0" fillId="4" borderId="5" xfId="0" applyFill="1" applyBorder="1"/>
    <xf numFmtId="0" fontId="0" fillId="4" borderId="1" xfId="0" applyFill="1" applyBorder="1"/>
    <xf numFmtId="0" fontId="0" fillId="5" borderId="5" xfId="0" applyFill="1" applyBorder="1"/>
    <xf numFmtId="0" fontId="0" fillId="5" borderId="1" xfId="0" applyFill="1" applyBorder="1"/>
    <xf numFmtId="0" fontId="1" fillId="0" borderId="1" xfId="0" applyFont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3" borderId="0" xfId="0" applyFill="1" applyBorder="1"/>
    <xf numFmtId="0" fontId="0" fillId="0" borderId="1" xfId="0" applyBorder="1"/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0" fillId="0" borderId="4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0" fillId="2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Fill="1"/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0" fillId="11" borderId="1" xfId="0" applyFill="1" applyBorder="1"/>
    <xf numFmtId="0" fontId="0" fillId="11" borderId="5" xfId="0" applyFill="1" applyBorder="1"/>
    <xf numFmtId="164" fontId="0" fillId="11" borderId="1" xfId="0" applyNumberFormat="1" applyFill="1" applyBorder="1"/>
    <xf numFmtId="164" fontId="0" fillId="4" borderId="1" xfId="0" applyNumberFormat="1" applyFill="1" applyBorder="1"/>
    <xf numFmtId="164" fontId="0" fillId="12" borderId="5" xfId="0" applyNumberFormat="1" applyFill="1" applyBorder="1"/>
    <xf numFmtId="164" fontId="0" fillId="4" borderId="5" xfId="0" applyNumberFormat="1" applyFill="1" applyBorder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13" borderId="1" xfId="2" applyFill="1" applyBorder="1" applyAlignment="1">
      <alignment horizontal="center" vertical="center"/>
    </xf>
    <xf numFmtId="0" fontId="4" fillId="13" borderId="1" xfId="2" applyFill="1" applyBorder="1"/>
    <xf numFmtId="165" fontId="4" fillId="13" borderId="1" xfId="2" applyNumberFormat="1" applyFill="1" applyBorder="1" applyAlignment="1">
      <alignment horizontal="center" vertical="center"/>
    </xf>
    <xf numFmtId="0" fontId="4" fillId="13" borderId="4" xfId="2" applyFill="1" applyBorder="1" applyAlignment="1">
      <alignment horizontal="center" vertical="center"/>
    </xf>
    <xf numFmtId="165" fontId="0" fillId="13" borderId="1" xfId="0" applyNumberForma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3" fontId="0" fillId="0" borderId="0" xfId="1" applyFon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6" fillId="13" borderId="1" xfId="2" applyNumberFormat="1" applyFont="1" applyFill="1" applyBorder="1" applyAlignment="1">
      <alignment horizontal="center" vertical="center"/>
    </xf>
    <xf numFmtId="0" fontId="0" fillId="14" borderId="0" xfId="0" applyFill="1"/>
    <xf numFmtId="166" fontId="0" fillId="0" borderId="0" xfId="0" applyNumberFormat="1" applyBorder="1" applyAlignment="1">
      <alignment horizontal="center" vertical="center"/>
    </xf>
    <xf numFmtId="11" fontId="0" fillId="0" borderId="1" xfId="0" applyNumberFormat="1" applyBorder="1"/>
    <xf numFmtId="0" fontId="0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1" fontId="0" fillId="0" borderId="0" xfId="0" applyNumberFormat="1"/>
    <xf numFmtId="0" fontId="0" fillId="0" borderId="1" xfId="0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 wrapText="1"/>
    </xf>
    <xf numFmtId="169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/>
    <xf numFmtId="4" fontId="10" fillId="1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vertical="center"/>
    </xf>
    <xf numFmtId="0" fontId="0" fillId="6" borderId="4" xfId="0" applyFill="1" applyBorder="1" applyAlignment="1">
      <alignment wrapText="1"/>
    </xf>
    <xf numFmtId="165" fontId="0" fillId="0" borderId="1" xfId="0" applyNumberForma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 wrapText="1"/>
    </xf>
    <xf numFmtId="165" fontId="0" fillId="2" borderId="1" xfId="0" applyNumberFormat="1" applyFill="1" applyBorder="1" applyAlignment="1">
      <alignment horizontal="center" vertical="center" wrapText="1"/>
    </xf>
    <xf numFmtId="165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5" borderId="18" xfId="0" applyFill="1" applyBorder="1"/>
    <xf numFmtId="0" fontId="0" fillId="2" borderId="18" xfId="0" applyFill="1" applyBorder="1"/>
    <xf numFmtId="0" fontId="0" fillId="4" borderId="18" xfId="0" applyFill="1" applyBorder="1"/>
    <xf numFmtId="2" fontId="0" fillId="0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14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/>
    <xf numFmtId="2" fontId="1" fillId="0" borderId="1" xfId="0" applyNumberFormat="1" applyFont="1" applyFill="1" applyBorder="1"/>
    <xf numFmtId="2" fontId="1" fillId="6" borderId="1" xfId="0" applyNumberFormat="1" applyFont="1" applyFill="1" applyBorder="1" applyAlignment="1">
      <alignment horizontal="center" vertical="center"/>
    </xf>
    <xf numFmtId="0" fontId="0" fillId="0" borderId="0" xfId="0" applyFill="1"/>
    <xf numFmtId="2" fontId="0" fillId="6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/>
    <xf numFmtId="164" fontId="0" fillId="12" borderId="1" xfId="0" applyNumberFormat="1" applyFill="1" applyBorder="1"/>
    <xf numFmtId="2" fontId="0" fillId="0" borderId="0" xfId="0" applyNumberFormat="1"/>
    <xf numFmtId="0" fontId="0" fillId="0" borderId="1" xfId="0" applyFont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0" fillId="5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4" fillId="13" borderId="1" xfId="2" applyNumberFormat="1" applyFill="1" applyBorder="1" applyAlignment="1">
      <alignment horizontal="center" vertical="center"/>
    </xf>
    <xf numFmtId="165" fontId="0" fillId="13" borderId="1" xfId="0" applyNumberFormat="1" applyFill="1" applyBorder="1" applyAlignment="1">
      <alignment horizontal="center" vertical="center"/>
    </xf>
    <xf numFmtId="165" fontId="6" fillId="13" borderId="1" xfId="2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 wrapText="1"/>
    </xf>
    <xf numFmtId="0" fontId="0" fillId="3" borderId="5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5" borderId="5" xfId="0" applyFill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11" borderId="1" xfId="0" applyFill="1" applyBorder="1" applyAlignment="1">
      <alignment wrapText="1"/>
    </xf>
    <xf numFmtId="164" fontId="0" fillId="11" borderId="1" xfId="0" applyNumberFormat="1" applyFill="1" applyBorder="1" applyAlignment="1">
      <alignment wrapText="1"/>
    </xf>
    <xf numFmtId="0" fontId="0" fillId="11" borderId="5" xfId="0" applyFill="1" applyBorder="1" applyAlignment="1">
      <alignment wrapText="1"/>
    </xf>
    <xf numFmtId="164" fontId="0" fillId="12" borderId="5" xfId="0" applyNumberFormat="1" applyFill="1" applyBorder="1" applyAlignment="1">
      <alignment wrapText="1"/>
    </xf>
    <xf numFmtId="164" fontId="0" fillId="4" borderId="5" xfId="0" applyNumberFormat="1" applyFill="1" applyBorder="1" applyAlignment="1">
      <alignment wrapText="1"/>
    </xf>
    <xf numFmtId="164" fontId="0" fillId="4" borderId="1" xfId="0" applyNumberFormat="1" applyFill="1" applyBorder="1" applyAlignment="1">
      <alignment wrapText="1"/>
    </xf>
    <xf numFmtId="0" fontId="0" fillId="5" borderId="18" xfId="0" applyFill="1" applyBorder="1" applyAlignment="1">
      <alignment wrapText="1"/>
    </xf>
    <xf numFmtId="0" fontId="0" fillId="2" borderId="18" xfId="0" applyFill="1" applyBorder="1" applyAlignment="1">
      <alignment wrapText="1"/>
    </xf>
    <xf numFmtId="0" fontId="0" fillId="4" borderId="18" xfId="0" applyFill="1" applyBorder="1" applyAlignment="1">
      <alignment wrapText="1"/>
    </xf>
    <xf numFmtId="164" fontId="0" fillId="0" borderId="1" xfId="0" applyNumberFormat="1" applyFill="1" applyBorder="1" applyAlignment="1">
      <alignment wrapText="1"/>
    </xf>
    <xf numFmtId="164" fontId="0" fillId="12" borderId="1" xfId="0" applyNumberFormat="1" applyFill="1" applyBorder="1" applyAlignment="1">
      <alignment wrapText="1"/>
    </xf>
    <xf numFmtId="0" fontId="0" fillId="6" borderId="0" xfId="0" applyFill="1" applyAlignment="1">
      <alignment wrapText="1"/>
    </xf>
    <xf numFmtId="0" fontId="0" fillId="3" borderId="0" xfId="0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0" fillId="0" borderId="0" xfId="0" applyBorder="1" applyAlignment="1">
      <alignment wrapText="1"/>
    </xf>
    <xf numFmtId="11" fontId="0" fillId="0" borderId="1" xfId="0" applyNumberFormat="1" applyBorder="1" applyAlignment="1">
      <alignment horizontal="center" vertical="center" wrapText="1"/>
    </xf>
    <xf numFmtId="2" fontId="0" fillId="0" borderId="1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Fill="1" applyAlignment="1">
      <alignment wrapText="1"/>
    </xf>
    <xf numFmtId="2" fontId="1" fillId="14" borderId="1" xfId="0" applyNumberFormat="1" applyFont="1" applyFill="1" applyBorder="1" applyAlignment="1">
      <alignment horizontal="center" vertical="center" wrapText="1"/>
    </xf>
    <xf numFmtId="165" fontId="1" fillId="14" borderId="1" xfId="0" applyNumberFormat="1" applyFont="1" applyFill="1" applyBorder="1" applyAlignment="1">
      <alignment horizontal="center" vertical="center" wrapText="1"/>
    </xf>
    <xf numFmtId="0" fontId="0" fillId="14" borderId="0" xfId="0" applyFill="1" applyAlignment="1">
      <alignment wrapText="1"/>
    </xf>
    <xf numFmtId="170" fontId="1" fillId="14" borderId="1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wrapText="1"/>
    </xf>
    <xf numFmtId="2" fontId="1" fillId="0" borderId="1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1" fillId="6" borderId="1" xfId="0" applyNumberFormat="1" applyFont="1" applyFill="1" applyBorder="1" applyAlignment="1">
      <alignment horizontal="center" vertical="center" wrapText="1"/>
    </xf>
    <xf numFmtId="165" fontId="1" fillId="6" borderId="1" xfId="0" applyNumberFormat="1" applyFont="1" applyFill="1" applyBorder="1" applyAlignment="1">
      <alignment horizontal="center" vertical="center" wrapText="1"/>
    </xf>
    <xf numFmtId="170" fontId="1" fillId="6" borderId="1" xfId="0" applyNumberFormat="1" applyFont="1" applyFill="1" applyBorder="1" applyAlignment="1">
      <alignment horizontal="center" vertical="center" wrapText="1"/>
    </xf>
    <xf numFmtId="165" fontId="0" fillId="6" borderId="1" xfId="0" applyNumberFormat="1" applyFill="1" applyBorder="1" applyAlignment="1">
      <alignment horizontal="center" vertical="center" wrapText="1"/>
    </xf>
    <xf numFmtId="2" fontId="0" fillId="6" borderId="1" xfId="0" applyNumberFormat="1" applyFill="1" applyBorder="1" applyAlignment="1">
      <alignment horizontal="center" vertical="center" wrapText="1"/>
    </xf>
    <xf numFmtId="0" fontId="0" fillId="15" borderId="1" xfId="0" applyFill="1" applyBorder="1" applyAlignment="1">
      <alignment wrapText="1"/>
    </xf>
    <xf numFmtId="2" fontId="0" fillId="15" borderId="0" xfId="0" applyNumberFormat="1" applyFill="1" applyAlignment="1">
      <alignment wrapText="1"/>
    </xf>
    <xf numFmtId="0" fontId="0" fillId="15" borderId="0" xfId="0" applyFill="1" applyAlignment="1">
      <alignment wrapText="1"/>
    </xf>
    <xf numFmtId="0" fontId="1" fillId="0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wrapText="1"/>
    </xf>
    <xf numFmtId="165" fontId="0" fillId="12" borderId="1" xfId="0" applyNumberFormat="1" applyFill="1" applyBorder="1" applyAlignment="1">
      <alignment horizontal="center" vertical="center" wrapText="1"/>
    </xf>
    <xf numFmtId="165" fontId="12" fillId="12" borderId="1" xfId="0" applyNumberFormat="1" applyFont="1" applyFill="1" applyBorder="1" applyAlignment="1">
      <alignment horizontal="center" vertical="center" wrapText="1"/>
    </xf>
    <xf numFmtId="0" fontId="0" fillId="12" borderId="0" xfId="0" applyFill="1" applyAlignment="1">
      <alignment wrapText="1"/>
    </xf>
    <xf numFmtId="165" fontId="0" fillId="0" borderId="1" xfId="0" applyNumberFormat="1" applyFont="1" applyBorder="1" applyAlignment="1">
      <alignment horizontal="center" vertical="center" wrapText="1"/>
    </xf>
    <xf numFmtId="170" fontId="0" fillId="0" borderId="1" xfId="0" applyNumberFormat="1" applyBorder="1" applyAlignment="1">
      <alignment horizontal="center" vertical="center" wrapText="1"/>
    </xf>
    <xf numFmtId="165" fontId="0" fillId="16" borderId="1" xfId="0" applyNumberForma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right" wrapText="1"/>
    </xf>
    <xf numFmtId="0" fontId="0" fillId="12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right" wrapText="1"/>
    </xf>
    <xf numFmtId="0" fontId="0" fillId="0" borderId="1" xfId="0" applyFont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0" fillId="0" borderId="1" xfId="0" applyFill="1" applyBorder="1" applyAlignment="1">
      <alignment horizontal="right" wrapText="1"/>
    </xf>
    <xf numFmtId="165" fontId="0" fillId="0" borderId="0" xfId="0" applyNumberFormat="1" applyAlignment="1">
      <alignment wrapText="1"/>
    </xf>
    <xf numFmtId="0" fontId="0" fillId="0" borderId="0" xfId="0" applyFont="1" applyAlignment="1">
      <alignment wrapText="1"/>
    </xf>
    <xf numFmtId="165" fontId="5" fillId="0" borderId="4" xfId="0" applyNumberFormat="1" applyFont="1" applyBorder="1" applyAlignment="1">
      <alignment vertical="center" wrapText="1"/>
    </xf>
    <xf numFmtId="165" fontId="5" fillId="0" borderId="4" xfId="0" applyNumberFormat="1" applyFont="1" applyFill="1" applyBorder="1" applyAlignment="1">
      <alignment vertical="center" wrapText="1"/>
    </xf>
    <xf numFmtId="11" fontId="0" fillId="0" borderId="1" xfId="0" applyNumberFormat="1" applyFont="1" applyBorder="1"/>
    <xf numFmtId="0" fontId="0" fillId="0" borderId="1" xfId="0" applyBorder="1"/>
    <xf numFmtId="168" fontId="0" fillId="0" borderId="1" xfId="0" applyNumberFormat="1" applyBorder="1"/>
    <xf numFmtId="11" fontId="0" fillId="0" borderId="0" xfId="0" applyNumberFormat="1"/>
    <xf numFmtId="0" fontId="0" fillId="0" borderId="0" xfId="0"/>
    <xf numFmtId="0" fontId="0" fillId="0" borderId="0" xfId="0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11" fontId="0" fillId="0" borderId="0" xfId="0" applyNumberFormat="1"/>
    <xf numFmtId="165" fontId="0" fillId="0" borderId="1" xfId="0" applyNumberFormat="1" applyBorder="1" applyAlignment="1">
      <alignment horizontal="center" vertical="center" wrapText="1"/>
    </xf>
    <xf numFmtId="0" fontId="4" fillId="13" borderId="8" xfId="2" applyFill="1" applyBorder="1" applyAlignment="1">
      <alignment horizontal="center" vertical="center"/>
    </xf>
    <xf numFmtId="165" fontId="5" fillId="13" borderId="1" xfId="2" applyNumberFormat="1" applyFont="1" applyFill="1" applyBorder="1" applyAlignment="1">
      <alignment horizontal="center" vertical="center"/>
    </xf>
    <xf numFmtId="0" fontId="0" fillId="0" borderId="15" xfId="0" applyFill="1" applyBorder="1"/>
    <xf numFmtId="2" fontId="0" fillId="0" borderId="15" xfId="0" applyNumberFormat="1" applyFill="1" applyBorder="1" applyAlignment="1">
      <alignment horizontal="center" vertical="center"/>
    </xf>
    <xf numFmtId="165" fontId="12" fillId="0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1" xfId="0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1" fontId="0" fillId="0" borderId="0" xfId="0" applyNumberFormat="1"/>
    <xf numFmtId="169" fontId="0" fillId="0" borderId="1" xfId="0" applyNumberFormat="1" applyBorder="1" applyAlignment="1">
      <alignment horizontal="center" vertical="center"/>
    </xf>
    <xf numFmtId="0" fontId="0" fillId="0" borderId="15" xfId="0" applyFill="1" applyBorder="1"/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5" fillId="0" borderId="1" xfId="0" applyFont="1" applyFill="1" applyBorder="1" applyAlignment="1">
      <alignment horizontal="right" wrapText="1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" fontId="0" fillId="0" borderId="15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5" borderId="1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5" borderId="5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0" fillId="5" borderId="6" xfId="0" applyFill="1" applyBorder="1" applyAlignment="1">
      <alignment horizontal="center" wrapText="1"/>
    </xf>
    <xf numFmtId="0" fontId="0" fillId="4" borderId="1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0" fillId="5" borderId="10" xfId="0" applyFill="1" applyBorder="1" applyAlignment="1">
      <alignment horizontal="center" wrapText="1"/>
    </xf>
    <xf numFmtId="0" fontId="0" fillId="5" borderId="9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165" fontId="12" fillId="0" borderId="19" xfId="0" applyNumberFormat="1" applyFont="1" applyBorder="1" applyAlignment="1">
      <alignment horizontal="center" vertical="center" wrapText="1"/>
    </xf>
    <xf numFmtId="165" fontId="12" fillId="0" borderId="20" xfId="0" applyNumberFormat="1" applyFont="1" applyBorder="1" applyAlignment="1">
      <alignment horizontal="center" vertical="center" wrapText="1"/>
    </xf>
    <xf numFmtId="165" fontId="12" fillId="0" borderId="21" xfId="0" applyNumberFormat="1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wrapText="1"/>
    </xf>
    <xf numFmtId="0" fontId="0" fillId="6" borderId="13" xfId="0" applyFill="1" applyBorder="1" applyAlignment="1">
      <alignment horizont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textRotation="90" wrapText="1"/>
    </xf>
    <xf numFmtId="0" fontId="0" fillId="0" borderId="1" xfId="0" applyBorder="1" applyAlignment="1">
      <alignment horizontal="center" vertical="center" textRotation="90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5" fillId="6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4" fillId="13" borderId="2" xfId="2" applyFill="1" applyBorder="1" applyAlignment="1">
      <alignment horizontal="center" vertical="center" wrapText="1"/>
    </xf>
    <xf numFmtId="0" fontId="4" fillId="13" borderId="13" xfId="2" applyFill="1" applyBorder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Обычный" xfId="0" builtinId="0"/>
    <cellStyle name="Обычный 2" xfId="2"/>
    <cellStyle name="Финансовый" xfId="1" builtinId="3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worksheet" Target="worksheets/sheet7.xml"/><Relationship Id="rId1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openxmlformats.org/officeDocument/2006/relationships/styles" Target="styles.xml"/><Relationship Id="rId2" Type="http://schemas.openxmlformats.org/officeDocument/2006/relationships/chartsheet" Target="chart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9.xml"/><Relationship Id="rId10" Type="http://schemas.openxmlformats.org/officeDocument/2006/relationships/worksheet" Target="worksheets/sheet4.xml"/><Relationship Id="rId19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Ref>
              <c:f>'типовая конструкция'!$B$204:$AP$204</c:f>
              <c:numCache>
                <c:formatCode>General</c:formatCode>
                <c:ptCount val="41"/>
                <c:pt idx="0">
                  <c:v>9.4257291976451496E-2</c:v>
                </c:pt>
                <c:pt idx="1">
                  <c:v>0.17963014686216894</c:v>
                </c:pt>
                <c:pt idx="2">
                  <c:v>0.10839588577291921</c:v>
                </c:pt>
                <c:pt idx="3">
                  <c:v>0.12253447956938696</c:v>
                </c:pt>
                <c:pt idx="4">
                  <c:v>0.18597026821046408</c:v>
                </c:pt>
                <c:pt idx="5">
                  <c:v>0.15081166716232242</c:v>
                </c:pt>
                <c:pt idx="6">
                  <c:v>0.16495026095879012</c:v>
                </c:pt>
                <c:pt idx="7">
                  <c:v>0.21208584387800006</c:v>
                </c:pt>
                <c:pt idx="8">
                  <c:v>0.17908885475525782</c:v>
                </c:pt>
                <c:pt idx="9">
                  <c:v>9.4257291976451496E-2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094272"/>
        <c:axId val="135096192"/>
      </c:scatterChart>
      <c:valAx>
        <c:axId val="135094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35096192"/>
        <c:crosses val="autoZero"/>
        <c:crossBetween val="midCat"/>
      </c:valAx>
      <c:valAx>
        <c:axId val="13509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094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конструкция'!$A$185</c:f>
              <c:strCache>
                <c:ptCount val="1"/>
                <c:pt idx="0">
                  <c:v>выход ДР,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конструкция'!$B$185:$AP$185</c:f>
              <c:numCache>
                <c:formatCode>General</c:formatCode>
                <c:ptCount val="41"/>
                <c:pt idx="0">
                  <c:v>0.66330516693358921</c:v>
                </c:pt>
                <c:pt idx="1">
                  <c:v>1.1848405062512963</c:v>
                </c:pt>
                <c:pt idx="2">
                  <c:v>2.3711855364196648</c:v>
                </c:pt>
                <c:pt idx="3">
                  <c:v>4.7530261940521861</c:v>
                </c:pt>
                <c:pt idx="4">
                  <c:v>9.3800864898263079</c:v>
                </c:pt>
                <c:pt idx="5">
                  <c:v>0.66330516693358921</c:v>
                </c:pt>
                <c:pt idx="6">
                  <c:v>1.1848405062512963</c:v>
                </c:pt>
                <c:pt idx="7">
                  <c:v>2.3711855364196648</c:v>
                </c:pt>
                <c:pt idx="8">
                  <c:v>4.7530261940521861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'типовая конструкция'!$A$186</c:f>
              <c:strCache>
                <c:ptCount val="1"/>
                <c:pt idx="0">
                  <c:v>выход ОДР,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конструкция'!$B$186:$AP$186</c:f>
              <c:numCache>
                <c:formatCode>General</c:formatCode>
                <c:ptCount val="41"/>
                <c:pt idx="0">
                  <c:v>7.3700574103732125E-2</c:v>
                </c:pt>
                <c:pt idx="1">
                  <c:v>0.13164894513903297</c:v>
                </c:pt>
                <c:pt idx="2">
                  <c:v>0.2634650596021848</c:v>
                </c:pt>
                <c:pt idx="3">
                  <c:v>0.52811402156135412</c:v>
                </c:pt>
                <c:pt idx="4">
                  <c:v>1.0422318322029231</c:v>
                </c:pt>
                <c:pt idx="5">
                  <c:v>7.3700574103732125E-2</c:v>
                </c:pt>
                <c:pt idx="6">
                  <c:v>0.13164894513903297</c:v>
                </c:pt>
                <c:pt idx="7">
                  <c:v>0.2634650596021848</c:v>
                </c:pt>
                <c:pt idx="8">
                  <c:v>0.52811402156135412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04288"/>
        <c:axId val="147405824"/>
      </c:scatterChart>
      <c:valAx>
        <c:axId val="147404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405824"/>
        <c:crosses val="autoZero"/>
        <c:crossBetween val="midCat"/>
      </c:valAx>
      <c:valAx>
        <c:axId val="14740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404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конструкция'!$A$187</c:f>
              <c:strCache>
                <c:ptCount val="1"/>
                <c:pt idx="0">
                  <c:v>выход скреп,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конструкция'!$B$187:$AP$187</c:f>
              <c:numCache>
                <c:formatCode>General</c:formatCode>
                <c:ptCount val="41"/>
                <c:pt idx="0">
                  <c:v>1.9676155082925817</c:v>
                </c:pt>
                <c:pt idx="1">
                  <c:v>12.704106594171751</c:v>
                </c:pt>
                <c:pt idx="2">
                  <c:v>1.9676155082925817</c:v>
                </c:pt>
                <c:pt idx="3">
                  <c:v>1.9676155082925817</c:v>
                </c:pt>
                <c:pt idx="4">
                  <c:v>47.397195828023314</c:v>
                </c:pt>
                <c:pt idx="5">
                  <c:v>1.9676155082925817</c:v>
                </c:pt>
                <c:pt idx="6">
                  <c:v>1.9676155082925817</c:v>
                </c:pt>
                <c:pt idx="7">
                  <c:v>58.470441715697035</c:v>
                </c:pt>
                <c:pt idx="8">
                  <c:v>1.9676155082925817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'типовая конструкция'!$A$188</c:f>
              <c:strCache>
                <c:ptCount val="1"/>
                <c:pt idx="0">
                  <c:v>выход шпал,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конструкция'!$B$188:$AP$188</c:f>
              <c:numCache>
                <c:formatCode>General</c:formatCode>
                <c:ptCount val="41"/>
                <c:pt idx="0">
                  <c:v>1.2281595092366784</c:v>
                </c:pt>
                <c:pt idx="1">
                  <c:v>7.9369279028291775</c:v>
                </c:pt>
                <c:pt idx="2">
                  <c:v>1.2281595092366784</c:v>
                </c:pt>
                <c:pt idx="3">
                  <c:v>1.2281595092366784</c:v>
                </c:pt>
                <c:pt idx="4">
                  <c:v>29.626814586473511</c:v>
                </c:pt>
                <c:pt idx="5">
                  <c:v>1.2281595092366784</c:v>
                </c:pt>
                <c:pt idx="6">
                  <c:v>1.2281595092366784</c:v>
                </c:pt>
                <c:pt idx="7">
                  <c:v>36.576849265756401</c:v>
                </c:pt>
                <c:pt idx="8">
                  <c:v>1.2281595092366784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52672"/>
        <c:axId val="147454208"/>
      </c:scatterChart>
      <c:valAx>
        <c:axId val="14745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7454208"/>
        <c:crosses val="autoZero"/>
        <c:crossBetween val="midCat"/>
      </c:valAx>
      <c:valAx>
        <c:axId val="14745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452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конструкция'!$A$192</c:f>
              <c:strCache>
                <c:ptCount val="1"/>
                <c:pt idx="0">
                  <c:v>П,Пр,У (допустимое),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конструкция'!$B$192:$AP$192</c:f>
              <c:numCache>
                <c:formatCode>General</c:formatCode>
                <c:ptCount val="41"/>
                <c:pt idx="0">
                  <c:v>7.9850617070119432</c:v>
                </c:pt>
                <c:pt idx="1">
                  <c:v>12.889318392381364</c:v>
                </c:pt>
                <c:pt idx="2">
                  <c:v>7.9850617070119432</c:v>
                </c:pt>
                <c:pt idx="3">
                  <c:v>7.9850617070119432</c:v>
                </c:pt>
                <c:pt idx="4">
                  <c:v>12.889318392381364</c:v>
                </c:pt>
                <c:pt idx="5">
                  <c:v>7.9850617070119432</c:v>
                </c:pt>
                <c:pt idx="6">
                  <c:v>7.9850617070119432</c:v>
                </c:pt>
                <c:pt idx="7">
                  <c:v>12.889318392381364</c:v>
                </c:pt>
                <c:pt idx="8">
                  <c:v>7.9850617070119432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'типовая конструкция'!$A$193</c:f>
              <c:strCache>
                <c:ptCount val="1"/>
                <c:pt idx="0">
                  <c:v>П,Пр,У (нежелательное),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конструкция'!$B$193:$AP$193</c:f>
              <c:numCache>
                <c:formatCode>General</c:formatCode>
                <c:ptCount val="41"/>
                <c:pt idx="0">
                  <c:v>2.7578515989868904</c:v>
                </c:pt>
                <c:pt idx="1">
                  <c:v>3.7923253219591526</c:v>
                </c:pt>
                <c:pt idx="2">
                  <c:v>2.7578515989868904</c:v>
                </c:pt>
                <c:pt idx="3">
                  <c:v>2.7578515989868904</c:v>
                </c:pt>
                <c:pt idx="4">
                  <c:v>3.7923253219591526</c:v>
                </c:pt>
                <c:pt idx="5">
                  <c:v>2.7578515989868904</c:v>
                </c:pt>
                <c:pt idx="6">
                  <c:v>2.7578515989868904</c:v>
                </c:pt>
                <c:pt idx="7">
                  <c:v>3.7923253219591526</c:v>
                </c:pt>
                <c:pt idx="8">
                  <c:v>2.7578515989868904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'типовая конструкция'!$A$194</c:f>
              <c:strCache>
                <c:ptCount val="1"/>
                <c:pt idx="0">
                  <c:v>П,Пр,У (недопустимое),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конструкция'!$B$194:$AP$194</c:f>
              <c:numCache>
                <c:formatCode>General</c:formatCode>
                <c:ptCount val="41"/>
                <c:pt idx="0">
                  <c:v>1.0341937382459174</c:v>
                </c:pt>
                <c:pt idx="1">
                  <c:v>1.4225002749254489</c:v>
                </c:pt>
                <c:pt idx="2">
                  <c:v>1.0341937382459174</c:v>
                </c:pt>
                <c:pt idx="3">
                  <c:v>1.0341937382459174</c:v>
                </c:pt>
                <c:pt idx="4">
                  <c:v>1.4225002749254489</c:v>
                </c:pt>
                <c:pt idx="5">
                  <c:v>1.0341937382459174</c:v>
                </c:pt>
                <c:pt idx="6">
                  <c:v>1.0341937382459174</c:v>
                </c:pt>
                <c:pt idx="7">
                  <c:v>1.4225002749254489</c:v>
                </c:pt>
                <c:pt idx="8">
                  <c:v>1.0341937382459174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51360"/>
        <c:axId val="147552896"/>
      </c:scatterChart>
      <c:valAx>
        <c:axId val="147551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47552896"/>
        <c:crosses val="autoZero"/>
        <c:crossBetween val="midCat"/>
      </c:valAx>
      <c:valAx>
        <c:axId val="14755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551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конструкция'!$A$189</c:f>
              <c:strCache>
                <c:ptCount val="1"/>
                <c:pt idx="0">
                  <c:v>ШК (допустимое),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конструкция'!$B$189:$AP$189</c:f>
              <c:numCache>
                <c:formatCode>General</c:formatCode>
                <c:ptCount val="41"/>
                <c:pt idx="0">
                  <c:v>0.3842833280446914</c:v>
                </c:pt>
                <c:pt idx="1">
                  <c:v>1.0232087756445261</c:v>
                </c:pt>
                <c:pt idx="2">
                  <c:v>0.3842833280446914</c:v>
                </c:pt>
                <c:pt idx="3">
                  <c:v>0.3842833280446914</c:v>
                </c:pt>
                <c:pt idx="4">
                  <c:v>1.0232087756445261</c:v>
                </c:pt>
                <c:pt idx="5">
                  <c:v>0.3842833280446914</c:v>
                </c:pt>
                <c:pt idx="6">
                  <c:v>0.3842833280446914</c:v>
                </c:pt>
                <c:pt idx="7">
                  <c:v>1.0232087756445261</c:v>
                </c:pt>
                <c:pt idx="8">
                  <c:v>0.3842833280446914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'типовая конструкция'!$A$190</c:f>
              <c:strCache>
                <c:ptCount val="1"/>
                <c:pt idx="0">
                  <c:v>ШК (нежелательное),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конструкция'!$B$190:$AP$190</c:f>
              <c:numCache>
                <c:formatCode>General</c:formatCode>
                <c:ptCount val="41"/>
                <c:pt idx="0">
                  <c:v>0.12810134469130316</c:v>
                </c:pt>
                <c:pt idx="1">
                  <c:v>0.34109883338718983</c:v>
                </c:pt>
                <c:pt idx="2">
                  <c:v>0.12810134469130316</c:v>
                </c:pt>
                <c:pt idx="3">
                  <c:v>0.12810134469130316</c:v>
                </c:pt>
                <c:pt idx="4">
                  <c:v>0.34109883338718983</c:v>
                </c:pt>
                <c:pt idx="5">
                  <c:v>0.12810134469130316</c:v>
                </c:pt>
                <c:pt idx="6">
                  <c:v>0.12810134469130316</c:v>
                </c:pt>
                <c:pt idx="7">
                  <c:v>0.34109883338718983</c:v>
                </c:pt>
                <c:pt idx="8">
                  <c:v>0.12810134469130316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'типовая конструкция'!$A$191</c:f>
              <c:strCache>
                <c:ptCount val="1"/>
                <c:pt idx="0">
                  <c:v>ШК (недопустимое),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конструкция'!$B$191:$AP$191</c:f>
              <c:numCache>
                <c:formatCode>General</c:formatCode>
                <c:ptCount val="41"/>
                <c:pt idx="0">
                  <c:v>3.2025813335963743E-2</c:v>
                </c:pt>
                <c:pt idx="1">
                  <c:v>8.5273168853323339E-2</c:v>
                </c:pt>
                <c:pt idx="2">
                  <c:v>3.2025813335963743E-2</c:v>
                </c:pt>
                <c:pt idx="3">
                  <c:v>3.2025813335963743E-2</c:v>
                </c:pt>
                <c:pt idx="4">
                  <c:v>8.5273168853323339E-2</c:v>
                </c:pt>
                <c:pt idx="5">
                  <c:v>3.2025813335963743E-2</c:v>
                </c:pt>
                <c:pt idx="6">
                  <c:v>3.2025813335963743E-2</c:v>
                </c:pt>
                <c:pt idx="7">
                  <c:v>8.5273168853323339E-2</c:v>
                </c:pt>
                <c:pt idx="8">
                  <c:v>3.2025813335963743E-2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04992"/>
        <c:axId val="147606528"/>
      </c:scatterChart>
      <c:valAx>
        <c:axId val="147604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47606528"/>
        <c:crosses val="autoZero"/>
        <c:crossBetween val="midCat"/>
        <c:majorUnit val="1"/>
      </c:valAx>
      <c:valAx>
        <c:axId val="14760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604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'типовая конструкция'!$A$206</c:f>
              <c:strCache>
                <c:ptCount val="1"/>
                <c:pt idx="0">
                  <c:v>Индекс предотказа</c:v>
                </c:pt>
              </c:strCache>
            </c:strRef>
          </c:tx>
          <c:invertIfNegative val="0"/>
          <c:val>
            <c:numRef>
              <c:f>'типовая конструкция'!$B$206:$AP$206</c:f>
              <c:numCache>
                <c:formatCode>General</c:formatCode>
                <c:ptCount val="41"/>
                <c:pt idx="0">
                  <c:v>0.23047887641027798</c:v>
                </c:pt>
                <c:pt idx="1">
                  <c:v>0.34695556171115394</c:v>
                </c:pt>
                <c:pt idx="2">
                  <c:v>0.2513529698151078</c:v>
                </c:pt>
                <c:pt idx="3">
                  <c:v>0.28046435563061634</c:v>
                </c:pt>
                <c:pt idx="4">
                  <c:v>0.50350265520567783</c:v>
                </c:pt>
                <c:pt idx="5">
                  <c:v>0.23047887641027798</c:v>
                </c:pt>
                <c:pt idx="6">
                  <c:v>0.23685319722416098</c:v>
                </c:pt>
                <c:pt idx="7">
                  <c:v>0.43586159078655318</c:v>
                </c:pt>
                <c:pt idx="8">
                  <c:v>0.28046435563061634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672448"/>
        <c:axId val="147674240"/>
      </c:barChart>
      <c:catAx>
        <c:axId val="147672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674240"/>
        <c:crosses val="autoZero"/>
        <c:auto val="1"/>
        <c:lblAlgn val="ctr"/>
        <c:lblOffset val="100"/>
        <c:noMultiLvlLbl val="0"/>
      </c:catAx>
      <c:valAx>
        <c:axId val="147674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672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Сужение+Уширение (2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7245258627370003"/>
                  <c:y val="2.6297676551569678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Колеи(КБ-65)'!$B$18:$N$18</c:f>
              <c:numCache>
                <c:formatCode>General</c:formatCode>
                <c:ptCount val="13"/>
                <c:pt idx="0" formatCode="0.00">
                  <c:v>0</c:v>
                </c:pt>
                <c:pt idx="1">
                  <c:v>1.461591835737171E+16</c:v>
                </c:pt>
                <c:pt idx="2">
                  <c:v>4.3903730929654008E+16</c:v>
                </c:pt>
                <c:pt idx="3">
                  <c:v>7.3172884882756672E+16</c:v>
                </c:pt>
                <c:pt idx="4">
                  <c:v>1.4615918357371709E+17</c:v>
                </c:pt>
                <c:pt idx="5">
                  <c:v>2.1951865464827002E+17</c:v>
                </c:pt>
                <c:pt idx="6">
                  <c:v>2.9269153953102669E+17</c:v>
                </c:pt>
              </c:numCache>
            </c:numRef>
          </c:xVal>
          <c:yVal>
            <c:numRef>
              <c:f>'Неисправности Колеи(КБ-65)'!$B$19:$N$19</c:f>
              <c:numCache>
                <c:formatCode>General</c:formatCode>
                <c:ptCount val="13"/>
                <c:pt idx="0">
                  <c:v>0</c:v>
                </c:pt>
                <c:pt idx="1">
                  <c:v>9.9999999999999895E-2</c:v>
                </c:pt>
                <c:pt idx="2">
                  <c:v>0.38299999999999801</c:v>
                </c:pt>
                <c:pt idx="3">
                  <c:v>0.76174999999999804</c:v>
                </c:pt>
                <c:pt idx="4">
                  <c:v>2.346499999999998</c:v>
                </c:pt>
                <c:pt idx="5">
                  <c:v>4.9999999999999796</c:v>
                </c:pt>
                <c:pt idx="6">
                  <c:v>8.7749999999999986</c:v>
                </c:pt>
                <c:pt idx="8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79008"/>
        <c:axId val="148780544"/>
      </c:scatterChart>
      <c:valAx>
        <c:axId val="1487790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8780544"/>
        <c:crosses val="autoZero"/>
        <c:crossBetween val="midCat"/>
      </c:valAx>
      <c:valAx>
        <c:axId val="14878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779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6989486635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Сужение+Уширение (3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Сужение+Уширение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6997808343065421"/>
                  <c:y val="7.6896939185314456E-2"/>
                </c:manualLayout>
              </c:layout>
              <c:numFmt formatCode="0.000E+00" sourceLinked="0"/>
              <c:txPr>
                <a:bodyPr/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Колеи(КБ-65)'!$B$18:$H$18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1.461591835737171E+16</c:v>
                </c:pt>
                <c:pt idx="2">
                  <c:v>4.3903730929654008E+16</c:v>
                </c:pt>
                <c:pt idx="3">
                  <c:v>7.3172884882756672E+16</c:v>
                </c:pt>
                <c:pt idx="4">
                  <c:v>1.4615918357371709E+17</c:v>
                </c:pt>
                <c:pt idx="5">
                  <c:v>2.1951865464827002E+17</c:v>
                </c:pt>
                <c:pt idx="6">
                  <c:v>2.9269153953102669E+17</c:v>
                </c:pt>
              </c:numCache>
            </c:numRef>
          </c:xVal>
          <c:yVal>
            <c:numRef>
              <c:f>'Неисправности Колеи(КБ-65)'!$B$20:$H$20</c:f>
              <c:numCache>
                <c:formatCode>General</c:formatCode>
                <c:ptCount val="7"/>
                <c:pt idx="0">
                  <c:v>0</c:v>
                </c:pt>
                <c:pt idx="1">
                  <c:v>3.3333333333333298E-2</c:v>
                </c:pt>
                <c:pt idx="2">
                  <c:v>0.12766666666666601</c:v>
                </c:pt>
                <c:pt idx="3">
                  <c:v>0.25391666666666601</c:v>
                </c:pt>
                <c:pt idx="4">
                  <c:v>0.78216666666666601</c:v>
                </c:pt>
                <c:pt idx="5">
                  <c:v>1.6666666666666599</c:v>
                </c:pt>
                <c:pt idx="6">
                  <c:v>2.9249999999999998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93984"/>
        <c:axId val="148808064"/>
      </c:scatterChart>
      <c:valAx>
        <c:axId val="1487939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8808064"/>
        <c:crosses val="autoZero"/>
        <c:crossBetween val="midCat"/>
      </c:valAx>
      <c:valAx>
        <c:axId val="14880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793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6989486635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Сужение+Уширение (4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Сужение+Уширение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0726272016473286"/>
                  <c:y val="7.6896939185314456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Колеи(КБ-65)'!$B$18:$H$18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1.461591835737171E+16</c:v>
                </c:pt>
                <c:pt idx="2">
                  <c:v>4.3903730929654008E+16</c:v>
                </c:pt>
                <c:pt idx="3">
                  <c:v>7.3172884882756672E+16</c:v>
                </c:pt>
                <c:pt idx="4">
                  <c:v>1.4615918357371709E+17</c:v>
                </c:pt>
                <c:pt idx="5">
                  <c:v>2.1951865464827002E+17</c:v>
                </c:pt>
                <c:pt idx="6">
                  <c:v>2.9269153953102669E+17</c:v>
                </c:pt>
              </c:numCache>
            </c:numRef>
          </c:xVal>
          <c:yVal>
            <c:numRef>
              <c:f>'Неисправности Колеи(КБ-65)'!$B$21:$H$21</c:f>
              <c:numCache>
                <c:formatCode>General</c:formatCode>
                <c:ptCount val="7"/>
                <c:pt idx="0">
                  <c:v>0</c:v>
                </c:pt>
                <c:pt idx="1">
                  <c:v>8.3333333333333245E-3</c:v>
                </c:pt>
                <c:pt idx="2">
                  <c:v>3.1916666666666503E-2</c:v>
                </c:pt>
                <c:pt idx="3">
                  <c:v>6.3479166666666503E-2</c:v>
                </c:pt>
                <c:pt idx="4">
                  <c:v>0.1955416666666665</c:v>
                </c:pt>
                <c:pt idx="5">
                  <c:v>0.41666666666666496</c:v>
                </c:pt>
                <c:pt idx="6">
                  <c:v>0.73124999999999996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7520"/>
        <c:axId val="148909056"/>
      </c:scatterChart>
      <c:valAx>
        <c:axId val="14890752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8909056"/>
        <c:crosses val="autoZero"/>
        <c:crossBetween val="midCat"/>
      </c:valAx>
      <c:valAx>
        <c:axId val="14890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90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6989486635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Рихтовка</a:t>
            </a:r>
            <a:r>
              <a:rPr lang="ru-RU" baseline="0"/>
              <a:t> </a:t>
            </a:r>
            <a:r>
              <a:rPr lang="ru-RU"/>
              <a:t>(2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Рихтовка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7482337151515048"/>
                  <c:y val="5.6837594665631735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Колеи(КБ-65)'!$U$18:$AA$18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691392.69775960071</c:v>
                </c:pt>
                <c:pt idx="2">
                  <c:v>2076825.9802063925</c:v>
                </c:pt>
                <c:pt idx="3">
                  <c:v>3461376.6336773206</c:v>
                </c:pt>
                <c:pt idx="4">
                  <c:v>6913926.9775960073</c:v>
                </c:pt>
                <c:pt idx="5">
                  <c:v>10384129.901031962</c:v>
                </c:pt>
                <c:pt idx="6">
                  <c:v>13845506.534709282</c:v>
                </c:pt>
              </c:numCache>
            </c:numRef>
          </c:xVal>
          <c:yVal>
            <c:numRef>
              <c:f>'Неисправности Колеи(КБ-65)'!$U$19:$AA$19</c:f>
              <c:numCache>
                <c:formatCode>General</c:formatCode>
                <c:ptCount val="7"/>
                <c:pt idx="0">
                  <c:v>0</c:v>
                </c:pt>
                <c:pt idx="1">
                  <c:v>0.30000000000000004</c:v>
                </c:pt>
                <c:pt idx="2">
                  <c:v>1.149</c:v>
                </c:pt>
                <c:pt idx="3">
                  <c:v>1.7999999999999998</c:v>
                </c:pt>
                <c:pt idx="4">
                  <c:v>1.7999999999999998</c:v>
                </c:pt>
                <c:pt idx="5">
                  <c:v>3</c:v>
                </c:pt>
                <c:pt idx="6">
                  <c:v>6.6000000000000005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8880"/>
        <c:axId val="149100416"/>
      </c:scatterChart>
      <c:valAx>
        <c:axId val="1490988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9100416"/>
        <c:crosses val="autoZero"/>
        <c:crossBetween val="midCat"/>
      </c:valAx>
      <c:valAx>
        <c:axId val="14910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098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75663254308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Рихтовка</a:t>
            </a:r>
            <a:r>
              <a:rPr lang="ru-RU" baseline="0"/>
              <a:t> </a:t>
            </a:r>
            <a:r>
              <a:rPr lang="ru-RU"/>
              <a:t>(3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Рихтовка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8903763553636443"/>
                  <c:y val="0.12916493319890071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Колеи(КБ-65)'!$U$18:$AA$18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691392.69775960071</c:v>
                </c:pt>
                <c:pt idx="2">
                  <c:v>2076825.9802063925</c:v>
                </c:pt>
                <c:pt idx="3">
                  <c:v>3461376.6336773206</c:v>
                </c:pt>
                <c:pt idx="4">
                  <c:v>6913926.9775960073</c:v>
                </c:pt>
                <c:pt idx="5">
                  <c:v>10384129.901031962</c:v>
                </c:pt>
                <c:pt idx="6">
                  <c:v>13845506.534709282</c:v>
                </c:pt>
              </c:numCache>
            </c:numRef>
          </c:xVal>
          <c:yVal>
            <c:numRef>
              <c:f>'Неисправности Колеи(КБ-65)'!$U$20:$AA$20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0.38300000000000001</c:v>
                </c:pt>
                <c:pt idx="3">
                  <c:v>0.6</c:v>
                </c:pt>
                <c:pt idx="4">
                  <c:v>0.6</c:v>
                </c:pt>
                <c:pt idx="5">
                  <c:v>1</c:v>
                </c:pt>
                <c:pt idx="6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22432"/>
        <c:axId val="149255296"/>
      </c:scatterChart>
      <c:valAx>
        <c:axId val="14912243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9255296"/>
        <c:crosses val="autoZero"/>
        <c:crossBetween val="midCat"/>
      </c:valAx>
      <c:valAx>
        <c:axId val="14925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122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75663254308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Рихтовка</a:t>
            </a:r>
            <a:r>
              <a:rPr lang="ru-RU" baseline="0"/>
              <a:t> </a:t>
            </a:r>
            <a:r>
              <a:rPr lang="ru-RU"/>
              <a:t>(4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Рихтовка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20862503783696296"/>
                  <c:y val="3.0346864581807211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Колеи(КБ-65)'!$U$18:$AA$18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691392.69775960071</c:v>
                </c:pt>
                <c:pt idx="2">
                  <c:v>2076825.9802063925</c:v>
                </c:pt>
                <c:pt idx="3">
                  <c:v>3461376.6336773206</c:v>
                </c:pt>
                <c:pt idx="4">
                  <c:v>6913926.9775960073</c:v>
                </c:pt>
                <c:pt idx="5">
                  <c:v>10384129.901031962</c:v>
                </c:pt>
                <c:pt idx="6">
                  <c:v>13845506.534709282</c:v>
                </c:pt>
              </c:numCache>
            </c:numRef>
          </c:xVal>
          <c:yVal>
            <c:numRef>
              <c:f>'Неисправности Колеи(КБ-65)'!$U$21:$AA$21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0.38300000000000001</c:v>
                </c:pt>
                <c:pt idx="3">
                  <c:v>0.6</c:v>
                </c:pt>
                <c:pt idx="4">
                  <c:v>0.6</c:v>
                </c:pt>
                <c:pt idx="5">
                  <c:v>1</c:v>
                </c:pt>
                <c:pt idx="6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7632"/>
        <c:axId val="148574208"/>
      </c:scatterChart>
      <c:valAx>
        <c:axId val="14947763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8574208"/>
        <c:crosses val="autoZero"/>
        <c:crossBetween val="midCat"/>
      </c:valAx>
      <c:valAx>
        <c:axId val="14857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477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4336745694"/>
          <c:y val="0.26120706228676799"/>
          <c:w val="0.16962075663254308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baseline="0"/>
              <a:t>П+ПР+УР </a:t>
            </a:r>
            <a:r>
              <a:rPr lang="ru-RU"/>
              <a:t>(2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П+ПР+УР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-7.4408895763182796E-3"/>
                  <c:y val="4.734958187624163E-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Колеи(КБ-65)'!$AF$18:$AL$18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823767633289116.62</c:v>
                </c:pt>
                <c:pt idx="2">
                  <c:v>2474457754633138.5</c:v>
                </c:pt>
                <c:pt idx="3">
                  <c:v>4124096257721897.5</c:v>
                </c:pt>
                <c:pt idx="4">
                  <c:v>8237676332891167</c:v>
                </c:pt>
                <c:pt idx="5">
                  <c:v>1.2372288773165692E+16</c:v>
                </c:pt>
                <c:pt idx="6">
                  <c:v>1.649638503088759E+16</c:v>
                </c:pt>
              </c:numCache>
            </c:numRef>
          </c:xVal>
          <c:yVal>
            <c:numRef>
              <c:f>'Неисправности Колеи(КБ-65)'!$AF$19:$AL$19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3.6750000000000003</c:v>
                </c:pt>
                <c:pt idx="2">
                  <c:v>6.9</c:v>
                </c:pt>
                <c:pt idx="3">
                  <c:v>11.175000000000001</c:v>
                </c:pt>
                <c:pt idx="4">
                  <c:v>11.475</c:v>
                </c:pt>
                <c:pt idx="5">
                  <c:v>23.625</c:v>
                </c:pt>
                <c:pt idx="6">
                  <c:v>58.650000000000006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9936"/>
        <c:axId val="148601472"/>
      </c:scatterChart>
      <c:valAx>
        <c:axId val="148599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8601472"/>
        <c:crosses val="autoZero"/>
        <c:crossBetween val="midCat"/>
      </c:valAx>
      <c:valAx>
        <c:axId val="1486014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8599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76078518354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baseline="0"/>
              <a:t>П+ПР+УР </a:t>
            </a:r>
            <a:r>
              <a:rPr lang="ru-RU"/>
              <a:t>(3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П+ПР+УР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-6.1163770006234651E-2"/>
                  <c:y val="0.10179252415367107"/>
                </c:manualLayout>
              </c:layout>
              <c:numFmt formatCode="0.0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Колеи(КБ-65)'!$AF$18:$AL$18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823767633289116.62</c:v>
                </c:pt>
                <c:pt idx="2">
                  <c:v>2474457754633138.5</c:v>
                </c:pt>
                <c:pt idx="3">
                  <c:v>4124096257721897.5</c:v>
                </c:pt>
                <c:pt idx="4">
                  <c:v>8237676332891167</c:v>
                </c:pt>
                <c:pt idx="5">
                  <c:v>1.2372288773165692E+16</c:v>
                </c:pt>
                <c:pt idx="6">
                  <c:v>1.649638503088759E+16</c:v>
                </c:pt>
              </c:numCache>
            </c:numRef>
          </c:xVal>
          <c:yVal>
            <c:numRef>
              <c:f>'Неисправности Колеи(КБ-65)'!$AF$20:$AL$20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1.2250000000000001</c:v>
                </c:pt>
                <c:pt idx="2">
                  <c:v>2.3000000000000003</c:v>
                </c:pt>
                <c:pt idx="3">
                  <c:v>3.7250000000000001</c:v>
                </c:pt>
                <c:pt idx="4">
                  <c:v>3.8249999999999997</c:v>
                </c:pt>
                <c:pt idx="5">
                  <c:v>7.875</c:v>
                </c:pt>
                <c:pt idx="6">
                  <c:v>19.55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36189056"/>
      </c:scatterChart>
      <c:valAx>
        <c:axId val="1486268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36189056"/>
        <c:crosses val="autoZero"/>
        <c:crossBetween val="midCat"/>
      </c:valAx>
      <c:valAx>
        <c:axId val="1361890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862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76078518354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baseline="0"/>
              <a:t>П+ПР+УР </a:t>
            </a:r>
            <a:r>
              <a:rPr lang="ru-RU"/>
              <a:t>(4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197E-2"/>
          <c:y val="2.6437727347002022E-2"/>
          <c:w val="0.78655127328826968"/>
          <c:h val="0.85683791988813496"/>
        </c:manualLayout>
      </c:layout>
      <c:scatterChart>
        <c:scatterStyle val="smoothMarker"/>
        <c:varyColors val="0"/>
        <c:ser>
          <c:idx val="5"/>
          <c:order val="0"/>
          <c:tx>
            <c:v>П+ПР+УР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-7.6321473459333961E-2"/>
                  <c:y val="8.4092298581348521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Колеи(КБ-65)'!$AF$18:$AL$18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823767633289116.62</c:v>
                </c:pt>
                <c:pt idx="2">
                  <c:v>2474457754633138.5</c:v>
                </c:pt>
                <c:pt idx="3">
                  <c:v>4124096257721897.5</c:v>
                </c:pt>
                <c:pt idx="4">
                  <c:v>8237676332891167</c:v>
                </c:pt>
                <c:pt idx="5">
                  <c:v>1.2372288773165692E+16</c:v>
                </c:pt>
                <c:pt idx="6">
                  <c:v>1.649638503088759E+16</c:v>
                </c:pt>
              </c:numCache>
            </c:numRef>
          </c:xVal>
          <c:yVal>
            <c:numRef>
              <c:f>'Неисправности Колеи(КБ-65)'!$AF$21:$AL$21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1.8375000000000001</c:v>
                </c:pt>
                <c:pt idx="2">
                  <c:v>3.45</c:v>
                </c:pt>
                <c:pt idx="3">
                  <c:v>5.5875000000000004</c:v>
                </c:pt>
                <c:pt idx="4">
                  <c:v>5.7374999999999998</c:v>
                </c:pt>
                <c:pt idx="5">
                  <c:v>11.8125</c:v>
                </c:pt>
                <c:pt idx="6">
                  <c:v>29.325000000000003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14784"/>
        <c:axId val="136224768"/>
      </c:scatterChart>
      <c:valAx>
        <c:axId val="1362147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36224768"/>
        <c:crosses val="autoZero"/>
        <c:crossBetween val="midCat"/>
      </c:valAx>
      <c:valAx>
        <c:axId val="1362247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6214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07"/>
          <c:y val="0.27952566964400705"/>
          <c:w val="0.16962076078518354"/>
          <c:h val="9.464394005426346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рельсы!$A$7</c:f>
              <c:strCache>
                <c:ptCount val="1"/>
                <c:pt idx="0">
                  <c:v>H (Т1), шт/км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38391449747119644"/>
                  <c:y val="-8.4655112899969395E-2"/>
                </c:manualLayout>
              </c:layout>
              <c:numFmt formatCode="0.0000E+00" sourceLinked="0"/>
            </c:trendlineLbl>
          </c:trendline>
          <c:xVal>
            <c:numRef>
              <c:f>рельсы!$B$6:$T$6</c:f>
              <c:numCache>
                <c:formatCode>General</c:formatCode>
                <c:ptCount val="19"/>
                <c:pt idx="0">
                  <c:v>0</c:v>
                </c:pt>
                <c:pt idx="1">
                  <c:v>118616539030713.78</c:v>
                </c:pt>
                <c:pt idx="2">
                  <c:v>194935707554351.34</c:v>
                </c:pt>
                <c:pt idx="3">
                  <c:v>239378596855264.75</c:v>
                </c:pt>
                <c:pt idx="4">
                  <c:v>270948373393154.97</c:v>
                </c:pt>
                <c:pt idx="5">
                  <c:v>295468588179865.81</c:v>
                </c:pt>
                <c:pt idx="6">
                  <c:v>315697765378902.31</c:v>
                </c:pt>
                <c:pt idx="7">
                  <c:v>332555413044766</c:v>
                </c:pt>
                <c:pt idx="8">
                  <c:v>347267541916792.56</c:v>
                </c:pt>
                <c:pt idx="9">
                  <c:v>360140654679815.75</c:v>
                </c:pt>
                <c:pt idx="10">
                  <c:v>371787756703503.44</c:v>
                </c:pt>
                <c:pt idx="11">
                  <c:v>382208847987855.5</c:v>
                </c:pt>
                <c:pt idx="12">
                  <c:v>392016933902539.87</c:v>
                </c:pt>
                <c:pt idx="13">
                  <c:v>400599009077888.69</c:v>
                </c:pt>
                <c:pt idx="14">
                  <c:v>408874581568403.56</c:v>
                </c:pt>
                <c:pt idx="15">
                  <c:v>416537148689250.69</c:v>
                </c:pt>
                <c:pt idx="16">
                  <c:v>448106925227140.94</c:v>
                </c:pt>
                <c:pt idx="17">
                  <c:v>492549814528054.31</c:v>
                </c:pt>
                <c:pt idx="18">
                  <c:v>524119591065944.62</c:v>
                </c:pt>
              </c:numCache>
            </c:numRef>
          </c:xVal>
          <c:yVal>
            <c:numRef>
              <c:f>рельсы!$B$7:$T$7</c:f>
              <c:numCache>
                <c:formatCode>General</c:formatCode>
                <c:ptCount val="19"/>
                <c:pt idx="0" formatCode="0.0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20</c:v>
                </c:pt>
                <c:pt idx="17">
                  <c:v>30</c:v>
                </c:pt>
                <c:pt idx="18">
                  <c:v>40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76096"/>
        <c:axId val="138677632"/>
      </c:scatterChart>
      <c:valAx>
        <c:axId val="13867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677632"/>
        <c:crosses val="autoZero"/>
        <c:crossBetween val="midCat"/>
      </c:valAx>
      <c:valAx>
        <c:axId val="1386776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8676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рельсы!$A$7</c:f>
              <c:strCache>
                <c:ptCount val="1"/>
                <c:pt idx="0">
                  <c:v>H (Т1), шт/км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436687183993529"/>
                  <c:y val="-4.1644360211797349E-2"/>
                </c:manualLayout>
              </c:layout>
              <c:numFmt formatCode="0.0000E+00" sourceLinked="0"/>
            </c:trendlineLbl>
          </c:trendline>
          <c:xVal>
            <c:numRef>
              <c:f>рельсы!$B$8:$T$8</c:f>
              <c:numCache>
                <c:formatCode>0.00</c:formatCode>
                <c:ptCount val="19"/>
                <c:pt idx="0">
                  <c:v>0</c:v>
                </c:pt>
                <c:pt idx="1">
                  <c:v>88962404273035.344</c:v>
                </c:pt>
                <c:pt idx="2">
                  <c:v>146201780665763.5</c:v>
                </c:pt>
                <c:pt idx="3">
                  <c:v>179533947641448.56</c:v>
                </c:pt>
                <c:pt idx="4">
                  <c:v>203211280044866.22</c:v>
                </c:pt>
                <c:pt idx="5">
                  <c:v>221601441134899.37</c:v>
                </c:pt>
                <c:pt idx="6">
                  <c:v>236773324034176.75</c:v>
                </c:pt>
                <c:pt idx="7">
                  <c:v>249416559783574.5</c:v>
                </c:pt>
                <c:pt idx="8">
                  <c:v>260450656437594.44</c:v>
                </c:pt>
                <c:pt idx="9">
                  <c:v>270105491009861.81</c:v>
                </c:pt>
                <c:pt idx="10">
                  <c:v>278840817527627.56</c:v>
                </c:pt>
                <c:pt idx="11">
                  <c:v>286656635990891.62</c:v>
                </c:pt>
                <c:pt idx="12">
                  <c:v>294012700426904.87</c:v>
                </c:pt>
                <c:pt idx="13">
                  <c:v>300449256808416.5</c:v>
                </c:pt>
                <c:pt idx="14">
                  <c:v>306655936176302.69</c:v>
                </c:pt>
                <c:pt idx="15">
                  <c:v>312402861516938</c:v>
                </c:pt>
                <c:pt idx="16">
                  <c:v>336080193920355.69</c:v>
                </c:pt>
                <c:pt idx="17">
                  <c:v>369412360896040.75</c:v>
                </c:pt>
                <c:pt idx="18">
                  <c:v>393089693299458.5</c:v>
                </c:pt>
              </c:numCache>
            </c:numRef>
          </c:xVal>
          <c:yVal>
            <c:numRef>
              <c:f>рельсы!$B$7:$T$7</c:f>
              <c:numCache>
                <c:formatCode>General</c:formatCode>
                <c:ptCount val="19"/>
                <c:pt idx="0" formatCode="0.0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20</c:v>
                </c:pt>
                <c:pt idx="17">
                  <c:v>30</c:v>
                </c:pt>
                <c:pt idx="18">
                  <c:v>40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27808"/>
        <c:axId val="138729344"/>
      </c:scatterChart>
      <c:valAx>
        <c:axId val="1387278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38729344"/>
        <c:crosses val="autoZero"/>
        <c:crossBetween val="midCat"/>
      </c:valAx>
      <c:valAx>
        <c:axId val="1387293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872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log"/>
            <c:dispRSqr val="0"/>
            <c:dispEq val="0"/>
          </c:trendline>
          <c:trendline>
            <c:trendlineType val="poly"/>
            <c:order val="5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рельсы!$C$39:$U$39</c:f>
              <c:numCache>
                <c:formatCode>General</c:formatCode>
                <c:ptCount val="19"/>
                <c:pt idx="0">
                  <c:v>0</c:v>
                </c:pt>
                <c:pt idx="1">
                  <c:v>118616539030713.78</c:v>
                </c:pt>
                <c:pt idx="2">
                  <c:v>194935707554351.34</c:v>
                </c:pt>
                <c:pt idx="3">
                  <c:v>239378596855264.75</c:v>
                </c:pt>
                <c:pt idx="4">
                  <c:v>270948373393154.97</c:v>
                </c:pt>
                <c:pt idx="5">
                  <c:v>295468588179865.81</c:v>
                </c:pt>
                <c:pt idx="6">
                  <c:v>315697765378902.31</c:v>
                </c:pt>
                <c:pt idx="7">
                  <c:v>332555413044766</c:v>
                </c:pt>
                <c:pt idx="8">
                  <c:v>347267541916792.56</c:v>
                </c:pt>
                <c:pt idx="9">
                  <c:v>360140654679815.75</c:v>
                </c:pt>
                <c:pt idx="10">
                  <c:v>371787756703503.44</c:v>
                </c:pt>
                <c:pt idx="11">
                  <c:v>382208847987855.5</c:v>
                </c:pt>
                <c:pt idx="12">
                  <c:v>392016933902539.87</c:v>
                </c:pt>
                <c:pt idx="13">
                  <c:v>400599009077888.69</c:v>
                </c:pt>
                <c:pt idx="14">
                  <c:v>408874581568403.56</c:v>
                </c:pt>
                <c:pt idx="15">
                  <c:v>416537148689250.69</c:v>
                </c:pt>
                <c:pt idx="16">
                  <c:v>448106925227140.94</c:v>
                </c:pt>
                <c:pt idx="17">
                  <c:v>492549814528054.31</c:v>
                </c:pt>
                <c:pt idx="18">
                  <c:v>524119591065944.62</c:v>
                </c:pt>
              </c:numCache>
            </c:numRef>
          </c:xVal>
          <c:yVal>
            <c:numRef>
              <c:f>рельсы!$C$40:$U$40</c:f>
              <c:numCache>
                <c:formatCode>General</c:formatCode>
                <c:ptCount val="19"/>
                <c:pt idx="0">
                  <c:v>0</c:v>
                </c:pt>
                <c:pt idx="1">
                  <c:v>2.4289280780479025E-2</c:v>
                </c:pt>
                <c:pt idx="2">
                  <c:v>0.30790573370596441</c:v>
                </c:pt>
                <c:pt idx="3">
                  <c:v>0.87375464726908214</c:v>
                </c:pt>
                <c:pt idx="4">
                  <c:v>1.6367161987501138</c:v>
                </c:pt>
                <c:pt idx="5">
                  <c:v>2.5371619543423773</c:v>
                </c:pt>
                <c:pt idx="6">
                  <c:v>3.5460331025193312</c:v>
                </c:pt>
                <c:pt idx="7">
                  <c:v>4.6119563201171179</c:v>
                </c:pt>
                <c:pt idx="8">
                  <c:v>5.7388126552286405</c:v>
                </c:pt>
                <c:pt idx="9">
                  <c:v>6.8963304080595176</c:v>
                </c:pt>
                <c:pt idx="10">
                  <c:v>8.0978883611536823</c:v>
                </c:pt>
                <c:pt idx="11">
                  <c:v>9.3097666896674838</c:v>
                </c:pt>
                <c:pt idx="12">
                  <c:v>10.578890646262481</c:v>
                </c:pt>
                <c:pt idx="13">
                  <c:v>11.799586305573692</c:v>
                </c:pt>
                <c:pt idx="14">
                  <c:v>13.080945068181913</c:v>
                </c:pt>
                <c:pt idx="15">
                  <c:v>14.364408265218236</c:v>
                </c:pt>
                <c:pt idx="16">
                  <c:v>20.757241011781403</c:v>
                </c:pt>
                <c:pt idx="17">
                  <c:v>33.418810206767759</c:v>
                </c:pt>
                <c:pt idx="18">
                  <c:v>45.686743405594989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15968"/>
        <c:axId val="133314432"/>
      </c:scatterChart>
      <c:valAx>
        <c:axId val="13331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314432"/>
        <c:crosses val="autoZero"/>
        <c:crossBetween val="midCat"/>
      </c:valAx>
      <c:valAx>
        <c:axId val="13331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315968"/>
        <c:crosses val="autoZero"/>
        <c:crossBetween val="midCat"/>
      </c:valAx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9.4657938369342789E-2"/>
          <c:y val="1.6542597187758478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'Шпалы (2)'!$A$1</c:f>
              <c:strCache>
                <c:ptCount val="1"/>
                <c:pt idx="0">
                  <c:v>Выход шпал (ЖБ), шт/км 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26113913600867844"/>
                  <c:y val="-4.618745237490475E-2"/>
                </c:manualLayout>
              </c:layout>
              <c:numFmt formatCode="0.0000E+00" sourceLinked="0"/>
            </c:trendlineLbl>
          </c:trendline>
          <c:xVal>
            <c:numRef>
              <c:f>'Шпалы (2)'!$B$6:$V$6</c:f>
              <c:numCache>
                <c:formatCode>General</c:formatCode>
                <c:ptCount val="21"/>
                <c:pt idx="0">
                  <c:v>0</c:v>
                </c:pt>
                <c:pt idx="1">
                  <c:v>1.5098502746718768E+16</c:v>
                </c:pt>
                <c:pt idx="2">
                  <c:v>3.0197005493437536E+16</c:v>
                </c:pt>
                <c:pt idx="3">
                  <c:v>4.5295508240156312E+16</c:v>
                </c:pt>
                <c:pt idx="4">
                  <c:v>6.0394010986875072E+16</c:v>
                </c:pt>
                <c:pt idx="5">
                  <c:v>7.549251373359384E+16</c:v>
                </c:pt>
                <c:pt idx="6">
                  <c:v>9.0591016480312624E+16</c:v>
                </c:pt>
                <c:pt idx="7">
                  <c:v>1.0568951922703138E+17</c:v>
                </c:pt>
                <c:pt idx="8">
                  <c:v>1.2078802197375014E+17</c:v>
                </c:pt>
                <c:pt idx="9">
                  <c:v>1.3588652472046893E+17</c:v>
                </c:pt>
                <c:pt idx="10">
                  <c:v>1.5098502746718768E+17</c:v>
                </c:pt>
                <c:pt idx="11">
                  <c:v>1.6608353021390646E+17</c:v>
                </c:pt>
                <c:pt idx="12">
                  <c:v>1.8118203296062525E+17</c:v>
                </c:pt>
                <c:pt idx="13">
                  <c:v>2.2647754120078154E+17</c:v>
                </c:pt>
                <c:pt idx="14">
                  <c:v>3.0197005493437536E+17</c:v>
                </c:pt>
                <c:pt idx="15">
                  <c:v>3.7746256866796922E+17</c:v>
                </c:pt>
                <c:pt idx="16">
                  <c:v>4.5295508240156307E+17</c:v>
                </c:pt>
                <c:pt idx="17">
                  <c:v>5.2844759613515686E+17</c:v>
                </c:pt>
                <c:pt idx="18">
                  <c:v>6.0394010986875072E+17</c:v>
                </c:pt>
                <c:pt idx="19">
                  <c:v>6.7943262360234458E+17</c:v>
                </c:pt>
                <c:pt idx="20">
                  <c:v>7.5492513733593856E+17</c:v>
                </c:pt>
              </c:numCache>
            </c:numRef>
          </c:xVal>
          <c:yVal>
            <c:numRef>
              <c:f>'Шпалы (2)'!$B$7:$V$7</c:f>
              <c:numCache>
                <c:formatCode>General</c:formatCode>
                <c:ptCount val="21"/>
                <c:pt idx="0">
                  <c:v>0</c:v>
                </c:pt>
                <c:pt idx="1">
                  <c:v>8.4438131313131312E-2</c:v>
                </c:pt>
                <c:pt idx="2">
                  <c:v>0.1775568181818182</c:v>
                </c:pt>
                <c:pt idx="3">
                  <c:v>0.36103219696969702</c:v>
                </c:pt>
                <c:pt idx="4">
                  <c:v>0.60763888888888895</c:v>
                </c:pt>
                <c:pt idx="5">
                  <c:v>0.84438131313131315</c:v>
                </c:pt>
                <c:pt idx="6">
                  <c:v>1.2034406565656566</c:v>
                </c:pt>
                <c:pt idx="7">
                  <c:v>1.6098484848484849</c:v>
                </c:pt>
                <c:pt idx="8">
                  <c:v>2.0083333333333324</c:v>
                </c:pt>
                <c:pt idx="9">
                  <c:v>2.3134154040403998</c:v>
                </c:pt>
                <c:pt idx="10">
                  <c:v>2.6250315656565748</c:v>
                </c:pt>
                <c:pt idx="11">
                  <c:v>2.93276515151515</c:v>
                </c:pt>
                <c:pt idx="12">
                  <c:v>3.0151515151515249</c:v>
                </c:pt>
                <c:pt idx="13">
                  <c:v>3.7689393939393998</c:v>
                </c:pt>
                <c:pt idx="14">
                  <c:v>4.6327008429281253</c:v>
                </c:pt>
                <c:pt idx="15">
                  <c:v>4.8899557013903499</c:v>
                </c:pt>
                <c:pt idx="16">
                  <c:v>5.7393822770243004</c:v>
                </c:pt>
                <c:pt idx="17">
                  <c:v>6.7466371354865249</c:v>
                </c:pt>
                <c:pt idx="18">
                  <c:v>7.7538919939488249</c:v>
                </c:pt>
                <c:pt idx="19">
                  <c:v>8.6033185695828003</c:v>
                </c:pt>
                <c:pt idx="20">
                  <c:v>9.6894875694591747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89248"/>
        <c:axId val="138790784"/>
      </c:scatterChart>
      <c:valAx>
        <c:axId val="138789248"/>
        <c:scaling>
          <c:orientation val="minMax"/>
          <c:max val="6.04E+17"/>
          <c:min val="0"/>
        </c:scaling>
        <c:delete val="0"/>
        <c:axPos val="b"/>
        <c:numFmt formatCode="General" sourceLinked="1"/>
        <c:majorTickMark val="out"/>
        <c:minorTickMark val="out"/>
        <c:tickLblPos val="nextTo"/>
        <c:crossAx val="138790784"/>
        <c:crosses val="autoZero"/>
        <c:crossBetween val="midCat"/>
      </c:valAx>
      <c:valAx>
        <c:axId val="13879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789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9.4657938369342789E-2"/>
          <c:y val="1.6542597187758478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Шпалы!$A$1</c:f>
              <c:strCache>
                <c:ptCount val="1"/>
                <c:pt idx="0">
                  <c:v>Выход шпал (ЖБ), шт/км 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0173315347410943"/>
                  <c:y val="-0.12928886370593254"/>
                </c:manualLayout>
              </c:layout>
              <c:numFmt formatCode="0.0000E+00" sourceLinked="0"/>
            </c:trendlineLbl>
          </c:trendline>
          <c:xVal>
            <c:numRef>
              <c:f>Шпалы!$B$6:$T$6</c:f>
              <c:numCache>
                <c:formatCode>General</c:formatCode>
                <c:ptCount val="19"/>
                <c:pt idx="0">
                  <c:v>0</c:v>
                </c:pt>
                <c:pt idx="1">
                  <c:v>1.5098502746718768E+16</c:v>
                </c:pt>
                <c:pt idx="2">
                  <c:v>3.0197005493437536E+16</c:v>
                </c:pt>
                <c:pt idx="3">
                  <c:v>4.5295508240156312E+16</c:v>
                </c:pt>
                <c:pt idx="4">
                  <c:v>6.0394010986875072E+16</c:v>
                </c:pt>
                <c:pt idx="5">
                  <c:v>7.549251373359384E+16</c:v>
                </c:pt>
                <c:pt idx="6">
                  <c:v>9.0591016480312624E+16</c:v>
                </c:pt>
                <c:pt idx="7">
                  <c:v>1.0568951922703138E+17</c:v>
                </c:pt>
                <c:pt idx="8">
                  <c:v>1.2078802197375014E+17</c:v>
                </c:pt>
                <c:pt idx="9">
                  <c:v>1.3588652472046893E+17</c:v>
                </c:pt>
                <c:pt idx="10">
                  <c:v>1.5098502746718768E+17</c:v>
                </c:pt>
                <c:pt idx="11">
                  <c:v>1.6608353021390646E+17</c:v>
                </c:pt>
                <c:pt idx="12">
                  <c:v>1.8118203296062525E+17</c:v>
                </c:pt>
                <c:pt idx="13">
                  <c:v>2.2647754120078154E+17</c:v>
                </c:pt>
                <c:pt idx="14">
                  <c:v>3.0197005493437536E+17</c:v>
                </c:pt>
                <c:pt idx="15">
                  <c:v>3.7746256866796922E+17</c:v>
                </c:pt>
                <c:pt idx="16">
                  <c:v>4.5295508240156307E+17</c:v>
                </c:pt>
                <c:pt idx="17">
                  <c:v>5.2844759613515686E+17</c:v>
                </c:pt>
                <c:pt idx="18">
                  <c:v>6.0394010986875072E+17</c:v>
                </c:pt>
              </c:numCache>
            </c:numRef>
          </c:xVal>
          <c:yVal>
            <c:numRef>
              <c:f>Шпалы!$B$7:$T$7</c:f>
              <c:numCache>
                <c:formatCode>General</c:formatCode>
                <c:ptCount val="19"/>
                <c:pt idx="0">
                  <c:v>0</c:v>
                </c:pt>
                <c:pt idx="1">
                  <c:v>0.53500000000000003</c:v>
                </c:pt>
                <c:pt idx="2">
                  <c:v>1.125</c:v>
                </c:pt>
                <c:pt idx="3">
                  <c:v>2.2875000000000001</c:v>
                </c:pt>
                <c:pt idx="4">
                  <c:v>3.8500000000000005</c:v>
                </c:pt>
                <c:pt idx="5">
                  <c:v>5.35</c:v>
                </c:pt>
                <c:pt idx="6">
                  <c:v>7.625</c:v>
                </c:pt>
                <c:pt idx="7">
                  <c:v>10.199999999999999</c:v>
                </c:pt>
                <c:pt idx="8">
                  <c:v>13.2</c:v>
                </c:pt>
                <c:pt idx="9">
                  <c:v>15.92499999999999</c:v>
                </c:pt>
                <c:pt idx="10">
                  <c:v>19.32500000000001</c:v>
                </c:pt>
                <c:pt idx="11">
                  <c:v>21.75</c:v>
                </c:pt>
                <c:pt idx="12">
                  <c:v>25.44</c:v>
                </c:pt>
                <c:pt idx="13">
                  <c:v>31.799999999999997</c:v>
                </c:pt>
                <c:pt idx="14">
                  <c:v>34.4407925407926</c:v>
                </c:pt>
                <c:pt idx="15">
                  <c:v>36.822759324009297</c:v>
                </c:pt>
                <c:pt idx="16">
                  <c:v>42.204726107225994</c:v>
                </c:pt>
                <c:pt idx="17">
                  <c:v>53.586692890442706</c:v>
                </c:pt>
                <c:pt idx="18">
                  <c:v>67.968659673659701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48896"/>
        <c:axId val="138858880"/>
      </c:scatterChart>
      <c:valAx>
        <c:axId val="138848896"/>
        <c:scaling>
          <c:orientation val="minMax"/>
          <c:max val="6.04E+17"/>
          <c:min val="0"/>
        </c:scaling>
        <c:delete val="0"/>
        <c:axPos val="b"/>
        <c:numFmt formatCode="General" sourceLinked="1"/>
        <c:majorTickMark val="out"/>
        <c:minorTickMark val="out"/>
        <c:tickLblPos val="nextTo"/>
        <c:crossAx val="138858880"/>
        <c:crosses val="autoZero"/>
        <c:crossBetween val="midCat"/>
      </c:valAx>
      <c:valAx>
        <c:axId val="13885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848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9.4657938369342789E-2"/>
          <c:y val="1.6542597187758478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скрепления!$A$1</c:f>
              <c:strCache>
                <c:ptCount val="1"/>
                <c:pt idx="0">
                  <c:v>Выход скреплений (КБ), шт/км 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5476654950217282"/>
                  <c:y val="-5.6501436079795235E-2"/>
                </c:manualLayout>
              </c:layout>
              <c:numFmt formatCode="0.0000E+00" sourceLinked="0"/>
            </c:trendlineLbl>
          </c:trendline>
          <c:xVal>
            <c:numRef>
              <c:f>скрепления!$B$6:$T$6</c:f>
              <c:numCache>
                <c:formatCode>General</c:formatCode>
                <c:ptCount val="19"/>
                <c:pt idx="0">
                  <c:v>0</c:v>
                </c:pt>
                <c:pt idx="1">
                  <c:v>1.5095160408608402E+16</c:v>
                </c:pt>
                <c:pt idx="2">
                  <c:v>3.0190320817216804E+16</c:v>
                </c:pt>
                <c:pt idx="3">
                  <c:v>4.5285481225825208E+16</c:v>
                </c:pt>
                <c:pt idx="4">
                  <c:v>6.0380641634433608E+16</c:v>
                </c:pt>
                <c:pt idx="5">
                  <c:v>7.5475802043042016E+16</c:v>
                </c:pt>
                <c:pt idx="6">
                  <c:v>9.0570962451650416E+16</c:v>
                </c:pt>
                <c:pt idx="7">
                  <c:v>1.0566612286025882E+17</c:v>
                </c:pt>
                <c:pt idx="8">
                  <c:v>1.2076128326886722E+17</c:v>
                </c:pt>
                <c:pt idx="9">
                  <c:v>1.3585644367747563E+17</c:v>
                </c:pt>
                <c:pt idx="10">
                  <c:v>1.5095160408608403E+17</c:v>
                </c:pt>
                <c:pt idx="11">
                  <c:v>1.6604676449469242E+17</c:v>
                </c:pt>
                <c:pt idx="12">
                  <c:v>1.8114192490330083E+17</c:v>
                </c:pt>
                <c:pt idx="13">
                  <c:v>2.2647754120078154E+17</c:v>
                </c:pt>
                <c:pt idx="14">
                  <c:v>3.0197005493437536E+17</c:v>
                </c:pt>
                <c:pt idx="15">
                  <c:v>3.7746256866796922E+17</c:v>
                </c:pt>
                <c:pt idx="16">
                  <c:v>4.5295508240156307E+17</c:v>
                </c:pt>
                <c:pt idx="17">
                  <c:v>5.2844759613515686E+17</c:v>
                </c:pt>
                <c:pt idx="18">
                  <c:v>6.0394010986875072E+17</c:v>
                </c:pt>
              </c:numCache>
            </c:numRef>
          </c:xVal>
          <c:yVal>
            <c:numRef>
              <c:f>скрепления!$B$7:$T$7</c:f>
              <c:numCache>
                <c:formatCode>General</c:formatCode>
                <c:ptCount val="19"/>
                <c:pt idx="0">
                  <c:v>0</c:v>
                </c:pt>
                <c:pt idx="1">
                  <c:v>0.85600000000000009</c:v>
                </c:pt>
                <c:pt idx="2">
                  <c:v>1.8000000000000003</c:v>
                </c:pt>
                <c:pt idx="3">
                  <c:v>3.6600000000000006</c:v>
                </c:pt>
                <c:pt idx="4">
                  <c:v>6.160000000000001</c:v>
                </c:pt>
                <c:pt idx="5">
                  <c:v>8.56</c:v>
                </c:pt>
                <c:pt idx="6">
                  <c:v>12.2</c:v>
                </c:pt>
                <c:pt idx="7">
                  <c:v>16.32</c:v>
                </c:pt>
                <c:pt idx="8">
                  <c:v>21.119999999999997</c:v>
                </c:pt>
                <c:pt idx="9">
                  <c:v>25.479999999999986</c:v>
                </c:pt>
                <c:pt idx="10">
                  <c:v>30.920000000000016</c:v>
                </c:pt>
                <c:pt idx="11">
                  <c:v>34.800000000000004</c:v>
                </c:pt>
                <c:pt idx="12">
                  <c:v>40.704000000000008</c:v>
                </c:pt>
                <c:pt idx="13">
                  <c:v>50.88</c:v>
                </c:pt>
                <c:pt idx="14">
                  <c:v>55.105268065268163</c:v>
                </c:pt>
                <c:pt idx="15">
                  <c:v>58.916414918414887</c:v>
                </c:pt>
                <c:pt idx="16">
                  <c:v>67.527561771561608</c:v>
                </c:pt>
                <c:pt idx="17">
                  <c:v>85.738708624708323</c:v>
                </c:pt>
                <c:pt idx="18">
                  <c:v>108.74985547785553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61120"/>
        <c:axId val="139062656"/>
      </c:scatterChart>
      <c:valAx>
        <c:axId val="139061120"/>
        <c:scaling>
          <c:orientation val="minMax"/>
          <c:max val="6.04E+1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9062656"/>
        <c:crosses val="autoZero"/>
        <c:crossBetween val="midCat"/>
      </c:valAx>
      <c:valAx>
        <c:axId val="1390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061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9.4657938369342789E-2"/>
          <c:y val="1.6542597187758478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балласт!$A$1</c:f>
              <c:strCache>
                <c:ptCount val="1"/>
                <c:pt idx="0">
                  <c:v>Загрязненность балласта, %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6007510844577792"/>
                  <c:y val="-7.6352552705105409E-2"/>
                </c:manualLayout>
              </c:layout>
              <c:numFmt formatCode="0.0000E+00" sourceLinked="0"/>
            </c:trendlineLbl>
          </c:trendline>
          <c:xVal>
            <c:numRef>
              <c:f>балласт!$B$6:$AF$6</c:f>
              <c:numCache>
                <c:formatCode>General</c:formatCode>
                <c:ptCount val="31"/>
                <c:pt idx="0">
                  <c:v>0</c:v>
                </c:pt>
                <c:pt idx="1">
                  <c:v>75706030827.730042</c:v>
                </c:pt>
                <c:pt idx="2">
                  <c:v>151412061655.46008</c:v>
                </c:pt>
                <c:pt idx="3">
                  <c:v>227118092483.19016</c:v>
                </c:pt>
                <c:pt idx="4">
                  <c:v>302824123310.92017</c:v>
                </c:pt>
                <c:pt idx="5">
                  <c:v>378530154138.65021</c:v>
                </c:pt>
                <c:pt idx="6">
                  <c:v>454236184966.38031</c:v>
                </c:pt>
                <c:pt idx="7">
                  <c:v>529942215794.11029</c:v>
                </c:pt>
                <c:pt idx="8">
                  <c:v>605648246621.84033</c:v>
                </c:pt>
                <c:pt idx="9">
                  <c:v>681354277449.57043</c:v>
                </c:pt>
                <c:pt idx="10">
                  <c:v>757060308277.30042</c:v>
                </c:pt>
                <c:pt idx="11">
                  <c:v>832766339105.03052</c:v>
                </c:pt>
                <c:pt idx="12">
                  <c:v>908472369932.76062</c:v>
                </c:pt>
                <c:pt idx="13">
                  <c:v>984178400760.49048</c:v>
                </c:pt>
                <c:pt idx="14">
                  <c:v>1059884431588.2206</c:v>
                </c:pt>
                <c:pt idx="15">
                  <c:v>1135590462415.9507</c:v>
                </c:pt>
                <c:pt idx="16">
                  <c:v>1211296493243.6807</c:v>
                </c:pt>
                <c:pt idx="17">
                  <c:v>1287002524071.4106</c:v>
                </c:pt>
                <c:pt idx="18">
                  <c:v>1362708554899.1409</c:v>
                </c:pt>
                <c:pt idx="19">
                  <c:v>1438414585726.8708</c:v>
                </c:pt>
                <c:pt idx="20">
                  <c:v>1514120616554.6008</c:v>
                </c:pt>
                <c:pt idx="21">
                  <c:v>1589826647382.3308</c:v>
                </c:pt>
                <c:pt idx="22">
                  <c:v>1665532678210.061</c:v>
                </c:pt>
                <c:pt idx="23">
                  <c:v>1741238709037.791</c:v>
                </c:pt>
                <c:pt idx="24">
                  <c:v>1816944739865.5212</c:v>
                </c:pt>
                <c:pt idx="25">
                  <c:v>1892650770693.2512</c:v>
                </c:pt>
                <c:pt idx="26">
                  <c:v>1968356801520.981</c:v>
                </c:pt>
                <c:pt idx="27">
                  <c:v>2044062832348.7112</c:v>
                </c:pt>
                <c:pt idx="28">
                  <c:v>2119768863176.4412</c:v>
                </c:pt>
                <c:pt idx="29">
                  <c:v>2195474894004.1714</c:v>
                </c:pt>
                <c:pt idx="30">
                  <c:v>2271180924831.9014</c:v>
                </c:pt>
              </c:numCache>
            </c:numRef>
          </c:xVal>
          <c:yVal>
            <c:numRef>
              <c:f>балласт!$B$7:$AF$7</c:f>
              <c:numCache>
                <c:formatCode>General</c:formatCode>
                <c:ptCount val="31"/>
                <c:pt idx="0">
                  <c:v>0</c:v>
                </c:pt>
                <c:pt idx="1">
                  <c:v>14.796841170070483</c:v>
                </c:pt>
                <c:pt idx="2">
                  <c:v>18.53419200089872</c:v>
                </c:pt>
                <c:pt idx="3">
                  <c:v>21.143929777113719</c:v>
                </c:pt>
                <c:pt idx="4">
                  <c:v>23.215513985580046</c:v>
                </c:pt>
                <c:pt idx="5">
                  <c:v>24.961137148181685</c:v>
                </c:pt>
                <c:pt idx="6">
                  <c:v>26.484413101305098</c:v>
                </c:pt>
                <c:pt idx="7">
                  <c:v>27.844624482674543</c:v>
                </c:pt>
                <c:pt idx="8">
                  <c:v>29.079233105415597</c:v>
                </c:pt>
                <c:pt idx="9">
                  <c:v>30.213595001870715</c:v>
                </c:pt>
                <c:pt idx="10">
                  <c:v>31.265761600586334</c:v>
                </c:pt>
                <c:pt idx="11">
                  <c:v>32.249092317993046</c:v>
                </c:pt>
                <c:pt idx="12">
                  <c:v>33.173782958729156</c:v>
                </c:pt>
                <c:pt idx="13">
                  <c:v>34.047811921242555</c:v>
                </c:pt>
                <c:pt idx="14">
                  <c:v>34.877553284729672</c:v>
                </c:pt>
                <c:pt idx="15">
                  <c:v>35.668189240659679</c:v>
                </c:pt>
                <c:pt idx="16">
                  <c:v>36.423996407072032</c:v>
                </c:pt>
                <c:pt idx="17">
                  <c:v>37.148549984115547</c:v>
                </c:pt>
                <c:pt idx="18">
                  <c:v>37.844872724236865</c:v>
                </c:pt>
                <c:pt idx="19">
                  <c:v>38.515545840806695</c:v>
                </c:pt>
                <c:pt idx="20">
                  <c:v>39.162793051514072</c:v>
                </c:pt>
                <c:pt idx="21">
                  <c:v>39.788545268879695</c:v>
                </c:pt>
                <c:pt idx="22">
                  <c:v>40.394491094854658</c:v>
                </c:pt>
                <c:pt idx="23">
                  <c:v>40.982116732300732</c:v>
                </c:pt>
                <c:pt idx="24">
                  <c:v>41.552737890900751</c:v>
                </c:pt>
                <c:pt idx="25">
                  <c:v>42.107525556913693</c:v>
                </c:pt>
                <c:pt idx="26">
                  <c:v>42.647527002940159</c:v>
                </c:pt>
                <c:pt idx="27">
                  <c:v>43.17368306459057</c:v>
                </c:pt>
                <c:pt idx="28">
                  <c:v>43.686842459881355</c:v>
                </c:pt>
                <c:pt idx="29">
                  <c:v>44.187773744213779</c:v>
                </c:pt>
                <c:pt idx="30">
                  <c:v>44.677175358747682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01312"/>
        <c:axId val="139102848"/>
      </c:scatterChart>
      <c:valAx>
        <c:axId val="1391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102848"/>
        <c:crosses val="autoZero"/>
        <c:crossBetween val="midCat"/>
      </c:valAx>
      <c:valAx>
        <c:axId val="13910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101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1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10141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27164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137584</xdr:colOff>
      <xdr:row>23</xdr:row>
      <xdr:rowOff>99485</xdr:rowOff>
    </xdr:from>
    <xdr:to>
      <xdr:col>6</xdr:col>
      <xdr:colOff>1979085</xdr:colOff>
      <xdr:row>48</xdr:row>
      <xdr:rowOff>189974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148167</xdr:colOff>
      <xdr:row>50</xdr:row>
      <xdr:rowOff>0</xdr:rowOff>
    </xdr:from>
    <xdr:to>
      <xdr:col>6</xdr:col>
      <xdr:colOff>1989668</xdr:colOff>
      <xdr:row>75</xdr:row>
      <xdr:rowOff>90489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77</xdr:row>
      <xdr:rowOff>0</xdr:rowOff>
    </xdr:from>
    <xdr:to>
      <xdr:col>6</xdr:col>
      <xdr:colOff>1968501</xdr:colOff>
      <xdr:row>102</xdr:row>
      <xdr:rowOff>90489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27</xdr:col>
      <xdr:colOff>10583</xdr:colOff>
      <xdr:row>48</xdr:row>
      <xdr:rowOff>90489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50</xdr:row>
      <xdr:rowOff>0</xdr:rowOff>
    </xdr:from>
    <xdr:to>
      <xdr:col>27</xdr:col>
      <xdr:colOff>10583</xdr:colOff>
      <xdr:row>75</xdr:row>
      <xdr:rowOff>90489</xdr:rowOff>
    </xdr:to>
    <xdr:graphicFrame macro="">
      <xdr:nvGraphicFramePr>
        <xdr:cNvPr id="14" name="Диаграмма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77</xdr:row>
      <xdr:rowOff>0</xdr:rowOff>
    </xdr:from>
    <xdr:to>
      <xdr:col>27</xdr:col>
      <xdr:colOff>10583</xdr:colOff>
      <xdr:row>102</xdr:row>
      <xdr:rowOff>90489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31750</xdr:colOff>
      <xdr:row>22</xdr:row>
      <xdr:rowOff>179917</xdr:rowOff>
    </xdr:from>
    <xdr:to>
      <xdr:col>37</xdr:col>
      <xdr:colOff>1756833</xdr:colOff>
      <xdr:row>48</xdr:row>
      <xdr:rowOff>79906</xdr:rowOff>
    </xdr:to>
    <xdr:graphicFrame macro="">
      <xdr:nvGraphicFramePr>
        <xdr:cNvPr id="16" name="Диаграмма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0</xdr:colOff>
      <xdr:row>50</xdr:row>
      <xdr:rowOff>0</xdr:rowOff>
    </xdr:from>
    <xdr:to>
      <xdr:col>37</xdr:col>
      <xdr:colOff>1725083</xdr:colOff>
      <xdr:row>75</xdr:row>
      <xdr:rowOff>90489</xdr:rowOff>
    </xdr:to>
    <xdr:graphicFrame macro="">
      <xdr:nvGraphicFramePr>
        <xdr:cNvPr id="17" name="Диаграмма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0</xdr:colOff>
      <xdr:row>77</xdr:row>
      <xdr:rowOff>0</xdr:rowOff>
    </xdr:from>
    <xdr:to>
      <xdr:col>37</xdr:col>
      <xdr:colOff>1725083</xdr:colOff>
      <xdr:row>102</xdr:row>
      <xdr:rowOff>90489</xdr:rowOff>
    </xdr:to>
    <xdr:graphicFrame macro="">
      <xdr:nvGraphicFramePr>
        <xdr:cNvPr id="18" name="Диаграмма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795336</xdr:colOff>
      <xdr:row>9</xdr:row>
      <xdr:rowOff>152399</xdr:rowOff>
    </xdr:from>
    <xdr:to>
      <xdr:col>10</xdr:col>
      <xdr:colOff>495300</xdr:colOff>
      <xdr:row>29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10</xdr:row>
      <xdr:rowOff>0</xdr:rowOff>
    </xdr:from>
    <xdr:to>
      <xdr:col>32</xdr:col>
      <xdr:colOff>233364</xdr:colOff>
      <xdr:row>30</xdr:row>
      <xdr:rowOff>28575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542925</xdr:colOff>
      <xdr:row>41</xdr:row>
      <xdr:rowOff>157161</xdr:rowOff>
    </xdr:from>
    <xdr:to>
      <xdr:col>13</xdr:col>
      <xdr:colOff>133350</xdr:colOff>
      <xdr:row>59</xdr:row>
      <xdr:rowOff>66674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328611</xdr:colOff>
      <xdr:row>10</xdr:row>
      <xdr:rowOff>9524</xdr:rowOff>
    </xdr:from>
    <xdr:to>
      <xdr:col>10</xdr:col>
      <xdr:colOff>390525</xdr:colOff>
      <xdr:row>30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547686</xdr:colOff>
      <xdr:row>9</xdr:row>
      <xdr:rowOff>142874</xdr:rowOff>
    </xdr:from>
    <xdr:to>
      <xdr:col>12</xdr:col>
      <xdr:colOff>0</xdr:colOff>
      <xdr:row>29</xdr:row>
      <xdr:rowOff>171449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61911</xdr:colOff>
      <xdr:row>9</xdr:row>
      <xdr:rowOff>171449</xdr:rowOff>
    </xdr:from>
    <xdr:to>
      <xdr:col>10</xdr:col>
      <xdr:colOff>123825</xdr:colOff>
      <xdr:row>30</xdr:row>
      <xdr:rowOff>9524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547686</xdr:colOff>
      <xdr:row>9</xdr:row>
      <xdr:rowOff>142874</xdr:rowOff>
    </xdr:from>
    <xdr:to>
      <xdr:col>12</xdr:col>
      <xdr:colOff>0</xdr:colOff>
      <xdr:row>29</xdr:row>
      <xdr:rowOff>171449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0</xdr:colOff>
      <xdr:row>9</xdr:row>
      <xdr:rowOff>0</xdr:rowOff>
    </xdr:from>
    <xdr:to>
      <xdr:col>30</xdr:col>
      <xdr:colOff>0</xdr:colOff>
      <xdr:row>25</xdr:row>
      <xdr:rowOff>171450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572000"/>
          <a:ext cx="9144000" cy="3219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O231"/>
  <sheetViews>
    <sheetView zoomScale="90" zoomScaleNormal="90" workbookViewId="0">
      <pane xSplit="1" ySplit="4" topLeftCell="B114" activePane="bottomRight" state="frozen"/>
      <selection pane="topRight" activeCell="B1" sqref="B1"/>
      <selection pane="bottomLeft" activeCell="A5" sqref="A5"/>
      <selection pane="bottomRight" activeCell="K120" sqref="K120"/>
    </sheetView>
  </sheetViews>
  <sheetFormatPr defaultRowHeight="15" x14ac:dyDescent="0.25"/>
  <cols>
    <col min="1" max="1" width="33" style="85" customWidth="1"/>
    <col min="2" max="2" width="16.42578125" style="85" customWidth="1"/>
    <col min="3" max="3" width="14" style="85" customWidth="1"/>
    <col min="4" max="4" width="12.5703125" style="85" customWidth="1"/>
    <col min="5" max="5" width="10.7109375" style="85" customWidth="1"/>
    <col min="6" max="6" width="11.28515625" style="85" customWidth="1"/>
    <col min="7" max="7" width="11.140625" style="85" customWidth="1"/>
    <col min="8" max="8" width="12.5703125" style="85" customWidth="1"/>
    <col min="9" max="9" width="17.5703125" style="85" customWidth="1"/>
    <col min="10" max="10" width="11.7109375" style="85" customWidth="1"/>
    <col min="11" max="11" width="14.28515625" style="85" customWidth="1"/>
    <col min="12" max="13" width="11.7109375" style="85" customWidth="1"/>
    <col min="14" max="14" width="12.7109375" style="85" customWidth="1"/>
    <col min="15" max="15" width="11.85546875" style="85" customWidth="1"/>
    <col min="16" max="17" width="11.42578125" style="85" customWidth="1"/>
    <col min="18" max="18" width="10.85546875" style="85" customWidth="1"/>
    <col min="19" max="19" width="11.28515625" style="85" customWidth="1"/>
    <col min="20" max="20" width="12.28515625" style="85" customWidth="1"/>
    <col min="21" max="21" width="11.7109375" style="85" customWidth="1"/>
    <col min="22" max="22" width="11.140625" style="85" customWidth="1"/>
    <col min="23" max="23" width="13.5703125" style="85" customWidth="1"/>
    <col min="24" max="24" width="11" style="85" customWidth="1"/>
    <col min="25" max="25" width="11.42578125" style="85" customWidth="1"/>
    <col min="26" max="26" width="12.7109375" style="85" customWidth="1"/>
    <col min="27" max="27" width="13.5703125" style="85" customWidth="1"/>
    <col min="28" max="28" width="14" style="85" customWidth="1"/>
    <col min="29" max="29" width="13" style="85" customWidth="1"/>
    <col min="30" max="30" width="12.42578125" style="85" customWidth="1"/>
    <col min="31" max="31" width="13.42578125" style="85" customWidth="1"/>
    <col min="32" max="32" width="15.7109375" style="85" customWidth="1"/>
    <col min="33" max="33" width="13" style="85" customWidth="1"/>
    <col min="34" max="34" width="12.85546875" style="85" customWidth="1"/>
    <col min="35" max="35" width="18.7109375" style="85" customWidth="1"/>
    <col min="36" max="36" width="17.85546875" style="85" customWidth="1"/>
    <col min="37" max="37" width="15.140625" style="85" customWidth="1"/>
    <col min="38" max="38" width="15.85546875" style="85" customWidth="1"/>
    <col min="39" max="40" width="16" style="85" customWidth="1"/>
    <col min="41" max="41" width="17" style="85" customWidth="1"/>
    <col min="42" max="42" width="16.7109375" style="85" customWidth="1"/>
    <col min="43" max="145" width="9.140625" style="85" customWidth="1"/>
    <col min="146" max="16384" width="9.140625" style="85"/>
  </cols>
  <sheetData>
    <row r="1" spans="1:145" ht="21" customHeight="1" x14ac:dyDescent="0.25">
      <c r="A1" s="237" t="s">
        <v>6</v>
      </c>
      <c r="B1" s="241" t="s">
        <v>12</v>
      </c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  <c r="AL1" s="258" t="s">
        <v>13</v>
      </c>
      <c r="AM1" s="259"/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  <c r="BB1" s="259"/>
      <c r="BC1" s="259"/>
      <c r="BD1" s="259"/>
      <c r="BE1" s="259"/>
      <c r="BF1" s="259"/>
      <c r="BG1" s="259"/>
      <c r="BH1" s="259"/>
      <c r="BI1" s="259"/>
      <c r="BJ1" s="259"/>
      <c r="BK1" s="259"/>
      <c r="BL1" s="259"/>
      <c r="BM1" s="259"/>
      <c r="BN1" s="259"/>
      <c r="BO1" s="259"/>
      <c r="BP1" s="259"/>
      <c r="BQ1" s="259"/>
      <c r="BR1" s="259"/>
      <c r="BS1" s="259"/>
      <c r="BT1" s="259"/>
      <c r="BU1" s="260"/>
      <c r="BV1" s="255" t="s">
        <v>14</v>
      </c>
      <c r="BW1" s="256"/>
      <c r="BX1" s="256"/>
      <c r="BY1" s="256"/>
      <c r="BZ1" s="256"/>
      <c r="CA1" s="256"/>
      <c r="CB1" s="256"/>
      <c r="CC1" s="256"/>
      <c r="CD1" s="256"/>
      <c r="CE1" s="256"/>
      <c r="CF1" s="256"/>
      <c r="CG1" s="256"/>
      <c r="CH1" s="256"/>
      <c r="CI1" s="256"/>
      <c r="CJ1" s="256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6"/>
      <c r="DC1" s="256"/>
      <c r="DD1" s="256"/>
      <c r="DE1" s="257"/>
      <c r="DF1" s="253" t="s">
        <v>15</v>
      </c>
      <c r="DG1" s="254"/>
      <c r="DH1" s="254"/>
      <c r="DI1" s="254"/>
      <c r="DJ1" s="254"/>
      <c r="DK1" s="254"/>
      <c r="DL1" s="254"/>
      <c r="DM1" s="254"/>
      <c r="DN1" s="254"/>
      <c r="DO1" s="254"/>
      <c r="DP1" s="254"/>
      <c r="DQ1" s="254"/>
      <c r="DR1" s="254"/>
      <c r="DS1" s="254"/>
      <c r="DT1" s="254"/>
      <c r="DU1" s="254"/>
      <c r="DV1" s="254"/>
      <c r="DW1" s="254"/>
      <c r="DX1" s="254"/>
      <c r="DY1" s="254"/>
      <c r="DZ1" s="254"/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</row>
    <row r="2" spans="1:145" x14ac:dyDescent="0.25">
      <c r="A2" s="237"/>
      <c r="B2" s="243" t="s">
        <v>9</v>
      </c>
      <c r="C2" s="239"/>
      <c r="D2" s="239"/>
      <c r="E2" s="239"/>
      <c r="F2" s="239"/>
      <c r="G2" s="239"/>
      <c r="H2" s="239" t="s">
        <v>10</v>
      </c>
      <c r="I2" s="239"/>
      <c r="J2" s="239"/>
      <c r="K2" s="239"/>
      <c r="L2" s="239"/>
      <c r="M2" s="239"/>
      <c r="N2" s="239" t="s">
        <v>11</v>
      </c>
      <c r="O2" s="239"/>
      <c r="P2" s="239"/>
      <c r="Q2" s="239"/>
      <c r="R2" s="239"/>
      <c r="S2" s="244"/>
      <c r="T2" s="239" t="s">
        <v>55</v>
      </c>
      <c r="U2" s="239"/>
      <c r="V2" s="239"/>
      <c r="W2" s="239"/>
      <c r="X2" s="239"/>
      <c r="Y2" s="244"/>
      <c r="Z2" s="239" t="s">
        <v>56</v>
      </c>
      <c r="AA2" s="239"/>
      <c r="AB2" s="239"/>
      <c r="AC2" s="239"/>
      <c r="AD2" s="239"/>
      <c r="AE2" s="244"/>
      <c r="AF2" s="239" t="s">
        <v>57</v>
      </c>
      <c r="AG2" s="239"/>
      <c r="AH2" s="239"/>
      <c r="AI2" s="239"/>
      <c r="AJ2" s="239"/>
      <c r="AK2" s="244"/>
      <c r="AL2" s="245" t="s">
        <v>9</v>
      </c>
      <c r="AM2" s="240"/>
      <c r="AN2" s="240"/>
      <c r="AO2" s="240"/>
      <c r="AP2" s="240"/>
      <c r="AQ2" s="240"/>
      <c r="AR2" s="240" t="s">
        <v>10</v>
      </c>
      <c r="AS2" s="240"/>
      <c r="AT2" s="240"/>
      <c r="AU2" s="240"/>
      <c r="AV2" s="240"/>
      <c r="AW2" s="240"/>
      <c r="AX2" s="240" t="s">
        <v>11</v>
      </c>
      <c r="AY2" s="240"/>
      <c r="AZ2" s="240"/>
      <c r="BA2" s="240"/>
      <c r="BB2" s="240"/>
      <c r="BC2" s="252"/>
      <c r="BD2" s="240" t="s">
        <v>55</v>
      </c>
      <c r="BE2" s="240"/>
      <c r="BF2" s="240"/>
      <c r="BG2" s="240"/>
      <c r="BH2" s="240"/>
      <c r="BI2" s="252"/>
      <c r="BJ2" s="240" t="s">
        <v>56</v>
      </c>
      <c r="BK2" s="240"/>
      <c r="BL2" s="240"/>
      <c r="BM2" s="240"/>
      <c r="BN2" s="240"/>
      <c r="BO2" s="252"/>
      <c r="BP2" s="240" t="s">
        <v>57</v>
      </c>
      <c r="BQ2" s="240"/>
      <c r="BR2" s="240"/>
      <c r="BS2" s="240"/>
      <c r="BT2" s="240"/>
      <c r="BU2" s="252"/>
      <c r="BV2" s="247" t="s">
        <v>9</v>
      </c>
      <c r="BW2" s="248"/>
      <c r="BX2" s="248"/>
      <c r="BY2" s="248"/>
      <c r="BZ2" s="248"/>
      <c r="CA2" s="248"/>
      <c r="CB2" s="248" t="s">
        <v>10</v>
      </c>
      <c r="CC2" s="248"/>
      <c r="CD2" s="248"/>
      <c r="CE2" s="248"/>
      <c r="CF2" s="248"/>
      <c r="CG2" s="248"/>
      <c r="CH2" s="248" t="s">
        <v>11</v>
      </c>
      <c r="CI2" s="248"/>
      <c r="CJ2" s="248"/>
      <c r="CK2" s="248"/>
      <c r="CL2" s="248"/>
      <c r="CM2" s="249"/>
      <c r="CN2" s="248" t="s">
        <v>55</v>
      </c>
      <c r="CO2" s="248"/>
      <c r="CP2" s="248"/>
      <c r="CQ2" s="248"/>
      <c r="CR2" s="248"/>
      <c r="CS2" s="249"/>
      <c r="CT2" s="248" t="s">
        <v>56</v>
      </c>
      <c r="CU2" s="248"/>
      <c r="CV2" s="248"/>
      <c r="CW2" s="248"/>
      <c r="CX2" s="248"/>
      <c r="CY2" s="249"/>
      <c r="CZ2" s="248" t="s">
        <v>57</v>
      </c>
      <c r="DA2" s="248"/>
      <c r="DB2" s="248"/>
      <c r="DC2" s="248"/>
      <c r="DD2" s="248"/>
      <c r="DE2" s="249"/>
      <c r="DF2" s="250" t="s">
        <v>9</v>
      </c>
      <c r="DG2" s="246"/>
      <c r="DH2" s="246"/>
      <c r="DI2" s="246"/>
      <c r="DJ2" s="246"/>
      <c r="DK2" s="246"/>
      <c r="DL2" s="246" t="s">
        <v>10</v>
      </c>
      <c r="DM2" s="246"/>
      <c r="DN2" s="246"/>
      <c r="DO2" s="246"/>
      <c r="DP2" s="246"/>
      <c r="DQ2" s="246"/>
      <c r="DR2" s="246" t="s">
        <v>11</v>
      </c>
      <c r="DS2" s="246"/>
      <c r="DT2" s="246"/>
      <c r="DU2" s="246"/>
      <c r="DV2" s="246"/>
      <c r="DW2" s="251"/>
      <c r="DX2" s="246" t="s">
        <v>55</v>
      </c>
      <c r="DY2" s="246"/>
      <c r="DZ2" s="246"/>
      <c r="EA2" s="246"/>
      <c r="EB2" s="246"/>
      <c r="EC2" s="251"/>
      <c r="ED2" s="246" t="s">
        <v>56</v>
      </c>
      <c r="EE2" s="246"/>
      <c r="EF2" s="246"/>
      <c r="EG2" s="246"/>
      <c r="EH2" s="246"/>
      <c r="EI2" s="251"/>
      <c r="EJ2" s="246" t="s">
        <v>57</v>
      </c>
      <c r="EK2" s="246"/>
      <c r="EL2" s="246"/>
      <c r="EM2" s="246"/>
      <c r="EN2" s="246"/>
      <c r="EO2" s="251"/>
    </row>
    <row r="3" spans="1:145" ht="15" customHeight="1" x14ac:dyDescent="0.25">
      <c r="A3" s="237"/>
      <c r="B3" s="239" t="s">
        <v>49</v>
      </c>
      <c r="C3" s="239"/>
      <c r="D3" s="239" t="s">
        <v>0</v>
      </c>
      <c r="E3" s="239"/>
      <c r="F3" s="239" t="s">
        <v>1</v>
      </c>
      <c r="G3" s="239"/>
      <c r="H3" s="239" t="s">
        <v>49</v>
      </c>
      <c r="I3" s="239"/>
      <c r="J3" s="239" t="s">
        <v>0</v>
      </c>
      <c r="K3" s="239"/>
      <c r="L3" s="239" t="s">
        <v>1</v>
      </c>
      <c r="M3" s="239"/>
      <c r="N3" s="239" t="s">
        <v>49</v>
      </c>
      <c r="O3" s="239"/>
      <c r="P3" s="239" t="s">
        <v>0</v>
      </c>
      <c r="Q3" s="239"/>
      <c r="R3" s="239" t="s">
        <v>1</v>
      </c>
      <c r="S3" s="239"/>
      <c r="T3" s="239" t="s">
        <v>49</v>
      </c>
      <c r="U3" s="239"/>
      <c r="V3" s="239" t="s">
        <v>0</v>
      </c>
      <c r="W3" s="239"/>
      <c r="X3" s="239" t="s">
        <v>1</v>
      </c>
      <c r="Y3" s="239"/>
      <c r="Z3" s="239" t="s">
        <v>49</v>
      </c>
      <c r="AA3" s="239"/>
      <c r="AB3" s="239" t="s">
        <v>0</v>
      </c>
      <c r="AC3" s="239"/>
      <c r="AD3" s="239" t="s">
        <v>1</v>
      </c>
      <c r="AE3" s="239"/>
      <c r="AF3" s="239" t="s">
        <v>49</v>
      </c>
      <c r="AG3" s="239"/>
      <c r="AH3" s="239" t="s">
        <v>0</v>
      </c>
      <c r="AI3" s="239"/>
      <c r="AJ3" s="239" t="s">
        <v>1</v>
      </c>
      <c r="AK3" s="239"/>
      <c r="AL3" s="240" t="s">
        <v>49</v>
      </c>
      <c r="AM3" s="240"/>
      <c r="AN3" s="240" t="s">
        <v>0</v>
      </c>
      <c r="AO3" s="240"/>
      <c r="AP3" s="240" t="s">
        <v>1</v>
      </c>
      <c r="AQ3" s="240"/>
      <c r="AR3" s="240" t="s">
        <v>49</v>
      </c>
      <c r="AS3" s="240"/>
      <c r="AT3" s="240" t="s">
        <v>0</v>
      </c>
      <c r="AU3" s="240"/>
      <c r="AV3" s="240" t="s">
        <v>1</v>
      </c>
      <c r="AW3" s="240"/>
      <c r="AX3" s="240" t="s">
        <v>49</v>
      </c>
      <c r="AY3" s="240"/>
      <c r="AZ3" s="240" t="s">
        <v>0</v>
      </c>
      <c r="BA3" s="240"/>
      <c r="BB3" s="240" t="s">
        <v>1</v>
      </c>
      <c r="BC3" s="240"/>
      <c r="BD3" s="240" t="s">
        <v>49</v>
      </c>
      <c r="BE3" s="240"/>
      <c r="BF3" s="240" t="s">
        <v>0</v>
      </c>
      <c r="BG3" s="240"/>
      <c r="BH3" s="240" t="s">
        <v>1</v>
      </c>
      <c r="BI3" s="240"/>
      <c r="BJ3" s="240" t="s">
        <v>49</v>
      </c>
      <c r="BK3" s="240"/>
      <c r="BL3" s="240" t="s">
        <v>0</v>
      </c>
      <c r="BM3" s="240"/>
      <c r="BN3" s="240" t="s">
        <v>1</v>
      </c>
      <c r="BO3" s="240"/>
      <c r="BP3" s="240" t="s">
        <v>49</v>
      </c>
      <c r="BQ3" s="240"/>
      <c r="BR3" s="240" t="s">
        <v>0</v>
      </c>
      <c r="BS3" s="240"/>
      <c r="BT3" s="240" t="s">
        <v>1</v>
      </c>
      <c r="BU3" s="240"/>
      <c r="BV3" s="248" t="s">
        <v>49</v>
      </c>
      <c r="BW3" s="248"/>
      <c r="BX3" s="248" t="s">
        <v>0</v>
      </c>
      <c r="BY3" s="248"/>
      <c r="BZ3" s="248" t="s">
        <v>1</v>
      </c>
      <c r="CA3" s="248"/>
      <c r="CB3" s="248" t="s">
        <v>49</v>
      </c>
      <c r="CC3" s="248"/>
      <c r="CD3" s="248" t="s">
        <v>0</v>
      </c>
      <c r="CE3" s="248"/>
      <c r="CF3" s="248" t="s">
        <v>1</v>
      </c>
      <c r="CG3" s="248"/>
      <c r="CH3" s="248" t="s">
        <v>49</v>
      </c>
      <c r="CI3" s="248"/>
      <c r="CJ3" s="248" t="s">
        <v>0</v>
      </c>
      <c r="CK3" s="248"/>
      <c r="CL3" s="248" t="s">
        <v>1</v>
      </c>
      <c r="CM3" s="248"/>
      <c r="CN3" s="248" t="s">
        <v>49</v>
      </c>
      <c r="CO3" s="248"/>
      <c r="CP3" s="248" t="s">
        <v>0</v>
      </c>
      <c r="CQ3" s="248"/>
      <c r="CR3" s="248" t="s">
        <v>1</v>
      </c>
      <c r="CS3" s="248"/>
      <c r="CT3" s="248" t="s">
        <v>49</v>
      </c>
      <c r="CU3" s="248"/>
      <c r="CV3" s="248" t="s">
        <v>0</v>
      </c>
      <c r="CW3" s="248"/>
      <c r="CX3" s="248" t="s">
        <v>1</v>
      </c>
      <c r="CY3" s="248"/>
      <c r="CZ3" s="248" t="s">
        <v>49</v>
      </c>
      <c r="DA3" s="248"/>
      <c r="DB3" s="248" t="s">
        <v>0</v>
      </c>
      <c r="DC3" s="248"/>
      <c r="DD3" s="248" t="s">
        <v>1</v>
      </c>
      <c r="DE3" s="248"/>
      <c r="DF3" s="246" t="s">
        <v>49</v>
      </c>
      <c r="DG3" s="246"/>
      <c r="DH3" s="246" t="s">
        <v>0</v>
      </c>
      <c r="DI3" s="246"/>
      <c r="DJ3" s="246" t="s">
        <v>1</v>
      </c>
      <c r="DK3" s="246"/>
      <c r="DL3" s="246" t="s">
        <v>49</v>
      </c>
      <c r="DM3" s="246"/>
      <c r="DN3" s="246" t="s">
        <v>0</v>
      </c>
      <c r="DO3" s="246"/>
      <c r="DP3" s="246" t="s">
        <v>1</v>
      </c>
      <c r="DQ3" s="246"/>
      <c r="DR3" s="246" t="s">
        <v>49</v>
      </c>
      <c r="DS3" s="246"/>
      <c r="DT3" s="246" t="s">
        <v>0</v>
      </c>
      <c r="DU3" s="246"/>
      <c r="DV3" s="246" t="s">
        <v>1</v>
      </c>
      <c r="DW3" s="246"/>
      <c r="DX3" s="246" t="s">
        <v>49</v>
      </c>
      <c r="DY3" s="246"/>
      <c r="DZ3" s="246" t="s">
        <v>0</v>
      </c>
      <c r="EA3" s="246"/>
      <c r="EB3" s="246" t="s">
        <v>1</v>
      </c>
      <c r="EC3" s="246"/>
      <c r="ED3" s="246" t="s">
        <v>49</v>
      </c>
      <c r="EE3" s="246"/>
      <c r="EF3" s="246" t="s">
        <v>0</v>
      </c>
      <c r="EG3" s="246"/>
      <c r="EH3" s="246" t="s">
        <v>1</v>
      </c>
      <c r="EI3" s="246"/>
      <c r="EJ3" s="246" t="s">
        <v>49</v>
      </c>
      <c r="EK3" s="246"/>
      <c r="EL3" s="246" t="s">
        <v>0</v>
      </c>
      <c r="EM3" s="246"/>
      <c r="EN3" s="246" t="s">
        <v>1</v>
      </c>
      <c r="EO3" s="246"/>
    </row>
    <row r="4" spans="1:145" ht="22.5" customHeight="1" x14ac:dyDescent="0.25">
      <c r="A4" s="238"/>
      <c r="B4" s="146" t="s">
        <v>2</v>
      </c>
      <c r="C4" s="147" t="s">
        <v>48</v>
      </c>
      <c r="D4" s="146" t="s">
        <v>2</v>
      </c>
      <c r="E4" s="147" t="s">
        <v>48</v>
      </c>
      <c r="F4" s="146" t="s">
        <v>2</v>
      </c>
      <c r="G4" s="147" t="s">
        <v>48</v>
      </c>
      <c r="H4" s="146" t="s">
        <v>2</v>
      </c>
      <c r="I4" s="147" t="s">
        <v>48</v>
      </c>
      <c r="J4" s="146" t="s">
        <v>2</v>
      </c>
      <c r="K4" s="147" t="s">
        <v>48</v>
      </c>
      <c r="L4" s="146" t="s">
        <v>2</v>
      </c>
      <c r="M4" s="147" t="s">
        <v>48</v>
      </c>
      <c r="N4" s="146" t="s">
        <v>2</v>
      </c>
      <c r="O4" s="147" t="s">
        <v>48</v>
      </c>
      <c r="P4" s="146" t="s">
        <v>2</v>
      </c>
      <c r="Q4" s="147" t="s">
        <v>48</v>
      </c>
      <c r="R4" s="146" t="s">
        <v>2</v>
      </c>
      <c r="S4" s="147" t="s">
        <v>48</v>
      </c>
      <c r="T4" s="146" t="s">
        <v>2</v>
      </c>
      <c r="U4" s="147" t="s">
        <v>48</v>
      </c>
      <c r="V4" s="146" t="s">
        <v>2</v>
      </c>
      <c r="W4" s="147" t="s">
        <v>48</v>
      </c>
      <c r="X4" s="146" t="s">
        <v>2</v>
      </c>
      <c r="Y4" s="147" t="s">
        <v>48</v>
      </c>
      <c r="Z4" s="146" t="s">
        <v>2</v>
      </c>
      <c r="AA4" s="147" t="s">
        <v>48</v>
      </c>
      <c r="AB4" s="146" t="s">
        <v>2</v>
      </c>
      <c r="AC4" s="147" t="s">
        <v>48</v>
      </c>
      <c r="AD4" s="146" t="s">
        <v>2</v>
      </c>
      <c r="AE4" s="147" t="s">
        <v>48</v>
      </c>
      <c r="AF4" s="146" t="s">
        <v>2</v>
      </c>
      <c r="AG4" s="147" t="s">
        <v>48</v>
      </c>
      <c r="AH4" s="146" t="s">
        <v>2</v>
      </c>
      <c r="AI4" s="147" t="s">
        <v>48</v>
      </c>
      <c r="AJ4" s="146" t="s">
        <v>2</v>
      </c>
      <c r="AK4" s="147" t="s">
        <v>48</v>
      </c>
      <c r="AL4" s="148" t="s">
        <v>2</v>
      </c>
      <c r="AM4" s="149" t="s">
        <v>48</v>
      </c>
      <c r="AN4" s="148" t="s">
        <v>2</v>
      </c>
      <c r="AO4" s="149" t="s">
        <v>48</v>
      </c>
      <c r="AP4" s="148" t="s">
        <v>2</v>
      </c>
      <c r="AQ4" s="149" t="s">
        <v>48</v>
      </c>
      <c r="AR4" s="148" t="s">
        <v>2</v>
      </c>
      <c r="AS4" s="149" t="s">
        <v>48</v>
      </c>
      <c r="AT4" s="148" t="s">
        <v>2</v>
      </c>
      <c r="AU4" s="149" t="s">
        <v>48</v>
      </c>
      <c r="AV4" s="148" t="s">
        <v>2</v>
      </c>
      <c r="AW4" s="149" t="s">
        <v>48</v>
      </c>
      <c r="AX4" s="148" t="s">
        <v>2</v>
      </c>
      <c r="AY4" s="149" t="s">
        <v>48</v>
      </c>
      <c r="AZ4" s="148" t="s">
        <v>2</v>
      </c>
      <c r="BA4" s="149" t="s">
        <v>48</v>
      </c>
      <c r="BB4" s="148" t="s">
        <v>2</v>
      </c>
      <c r="BC4" s="149" t="s">
        <v>48</v>
      </c>
      <c r="BD4" s="148" t="s">
        <v>2</v>
      </c>
      <c r="BE4" s="149" t="s">
        <v>48</v>
      </c>
      <c r="BF4" s="148" t="s">
        <v>2</v>
      </c>
      <c r="BG4" s="149" t="s">
        <v>48</v>
      </c>
      <c r="BH4" s="148" t="s">
        <v>2</v>
      </c>
      <c r="BI4" s="149" t="s">
        <v>48</v>
      </c>
      <c r="BJ4" s="148" t="s">
        <v>2</v>
      </c>
      <c r="BK4" s="149" t="s">
        <v>48</v>
      </c>
      <c r="BL4" s="148" t="s">
        <v>2</v>
      </c>
      <c r="BM4" s="149" t="s">
        <v>48</v>
      </c>
      <c r="BN4" s="148" t="s">
        <v>2</v>
      </c>
      <c r="BO4" s="149" t="s">
        <v>48</v>
      </c>
      <c r="BP4" s="148" t="s">
        <v>2</v>
      </c>
      <c r="BQ4" s="149" t="s">
        <v>48</v>
      </c>
      <c r="BR4" s="148" t="s">
        <v>2</v>
      </c>
      <c r="BS4" s="149" t="s">
        <v>48</v>
      </c>
      <c r="BT4" s="148" t="s">
        <v>2</v>
      </c>
      <c r="BU4" s="149" t="s">
        <v>48</v>
      </c>
      <c r="BV4" s="150" t="s">
        <v>2</v>
      </c>
      <c r="BW4" s="151" t="s">
        <v>48</v>
      </c>
      <c r="BX4" s="150" t="s">
        <v>2</v>
      </c>
      <c r="BY4" s="151" t="s">
        <v>48</v>
      </c>
      <c r="BZ4" s="150" t="s">
        <v>2</v>
      </c>
      <c r="CA4" s="151" t="s">
        <v>48</v>
      </c>
      <c r="CB4" s="150" t="s">
        <v>2</v>
      </c>
      <c r="CC4" s="151" t="s">
        <v>48</v>
      </c>
      <c r="CD4" s="150" t="s">
        <v>2</v>
      </c>
      <c r="CE4" s="151" t="s">
        <v>48</v>
      </c>
      <c r="CF4" s="150" t="s">
        <v>2</v>
      </c>
      <c r="CG4" s="151" t="s">
        <v>48</v>
      </c>
      <c r="CH4" s="150" t="s">
        <v>2</v>
      </c>
      <c r="CI4" s="151" t="s">
        <v>48</v>
      </c>
      <c r="CJ4" s="150" t="s">
        <v>2</v>
      </c>
      <c r="CK4" s="151" t="s">
        <v>48</v>
      </c>
      <c r="CL4" s="150" t="s">
        <v>2</v>
      </c>
      <c r="CM4" s="151" t="s">
        <v>48</v>
      </c>
      <c r="CN4" s="150" t="s">
        <v>2</v>
      </c>
      <c r="CO4" s="151" t="s">
        <v>48</v>
      </c>
      <c r="CP4" s="150" t="s">
        <v>2</v>
      </c>
      <c r="CQ4" s="151" t="s">
        <v>48</v>
      </c>
      <c r="CR4" s="150" t="s">
        <v>2</v>
      </c>
      <c r="CS4" s="151" t="s">
        <v>48</v>
      </c>
      <c r="CT4" s="150" t="s">
        <v>2</v>
      </c>
      <c r="CU4" s="151" t="s">
        <v>48</v>
      </c>
      <c r="CV4" s="150" t="s">
        <v>2</v>
      </c>
      <c r="CW4" s="151" t="s">
        <v>48</v>
      </c>
      <c r="CX4" s="150" t="s">
        <v>2</v>
      </c>
      <c r="CY4" s="151" t="s">
        <v>48</v>
      </c>
      <c r="CZ4" s="150" t="s">
        <v>2</v>
      </c>
      <c r="DA4" s="151" t="s">
        <v>48</v>
      </c>
      <c r="DB4" s="150" t="s">
        <v>2</v>
      </c>
      <c r="DC4" s="151" t="s">
        <v>48</v>
      </c>
      <c r="DD4" s="150" t="s">
        <v>2</v>
      </c>
      <c r="DE4" s="151" t="s">
        <v>48</v>
      </c>
      <c r="DF4" s="152" t="s">
        <v>2</v>
      </c>
      <c r="DG4" s="153" t="s">
        <v>48</v>
      </c>
      <c r="DH4" s="152" t="s">
        <v>2</v>
      </c>
      <c r="DI4" s="153" t="s">
        <v>48</v>
      </c>
      <c r="DJ4" s="152" t="s">
        <v>2</v>
      </c>
      <c r="DK4" s="153" t="s">
        <v>48</v>
      </c>
      <c r="DL4" s="152" t="s">
        <v>2</v>
      </c>
      <c r="DM4" s="153" t="s">
        <v>48</v>
      </c>
      <c r="DN4" s="152" t="s">
        <v>2</v>
      </c>
      <c r="DO4" s="153" t="s">
        <v>48</v>
      </c>
      <c r="DP4" s="152" t="s">
        <v>2</v>
      </c>
      <c r="DQ4" s="153" t="s">
        <v>48</v>
      </c>
      <c r="DR4" s="152" t="s">
        <v>2</v>
      </c>
      <c r="DS4" s="153" t="s">
        <v>48</v>
      </c>
      <c r="DT4" s="152" t="s">
        <v>2</v>
      </c>
      <c r="DU4" s="153" t="s">
        <v>48</v>
      </c>
      <c r="DV4" s="152" t="s">
        <v>2</v>
      </c>
      <c r="DW4" s="153" t="s">
        <v>48</v>
      </c>
      <c r="DX4" s="152" t="s">
        <v>2</v>
      </c>
      <c r="DY4" s="153" t="s">
        <v>48</v>
      </c>
      <c r="DZ4" s="152" t="s">
        <v>2</v>
      </c>
      <c r="EA4" s="153" t="s">
        <v>48</v>
      </c>
      <c r="EB4" s="152" t="s">
        <v>2</v>
      </c>
      <c r="EC4" s="153" t="s">
        <v>48</v>
      </c>
      <c r="ED4" s="152" t="s">
        <v>2</v>
      </c>
      <c r="EE4" s="153" t="s">
        <v>48</v>
      </c>
      <c r="EF4" s="152" t="s">
        <v>2</v>
      </c>
      <c r="EG4" s="153" t="s">
        <v>48</v>
      </c>
      <c r="EH4" s="152" t="s">
        <v>2</v>
      </c>
      <c r="EI4" s="153" t="s">
        <v>48</v>
      </c>
      <c r="EJ4" s="152" t="s">
        <v>2</v>
      </c>
      <c r="EK4" s="153" t="s">
        <v>48</v>
      </c>
      <c r="EL4" s="152" t="s">
        <v>2</v>
      </c>
      <c r="EM4" s="153" t="s">
        <v>48</v>
      </c>
      <c r="EN4" s="152" t="s">
        <v>2</v>
      </c>
      <c r="EO4" s="153" t="s">
        <v>48</v>
      </c>
    </row>
    <row r="5" spans="1:145" ht="35.25" customHeight="1" x14ac:dyDescent="0.25">
      <c r="A5" s="3" t="s">
        <v>52</v>
      </c>
      <c r="B5" s="154">
        <v>117</v>
      </c>
      <c r="C5" s="154">
        <v>10.6</v>
      </c>
      <c r="D5" s="154">
        <v>114.6</v>
      </c>
      <c r="E5" s="154">
        <v>9.5</v>
      </c>
      <c r="F5" s="154">
        <v>114.3</v>
      </c>
      <c r="G5" s="154">
        <v>12.4</v>
      </c>
      <c r="H5" s="154">
        <v>120.9</v>
      </c>
      <c r="I5" s="154">
        <v>9.4</v>
      </c>
      <c r="J5" s="154">
        <v>121.6</v>
      </c>
      <c r="K5" s="154">
        <v>7.6</v>
      </c>
      <c r="L5" s="154">
        <v>122</v>
      </c>
      <c r="M5" s="154">
        <v>10.8</v>
      </c>
      <c r="N5" s="154">
        <v>133.9</v>
      </c>
      <c r="O5" s="154">
        <v>9.1999999999999993</v>
      </c>
      <c r="P5" s="154">
        <v>133.69999999999999</v>
      </c>
      <c r="Q5" s="154">
        <v>10.199999999999999</v>
      </c>
      <c r="R5" s="154">
        <v>132.30000000000001</v>
      </c>
      <c r="S5" s="154">
        <v>9.6</v>
      </c>
      <c r="T5" s="154">
        <v>29.4</v>
      </c>
      <c r="U5" s="154">
        <v>2.2999999999999998</v>
      </c>
      <c r="V5" s="154">
        <v>29</v>
      </c>
      <c r="W5" s="154">
        <v>1.7</v>
      </c>
      <c r="X5" s="154">
        <v>29.3</v>
      </c>
      <c r="Y5" s="154">
        <v>1.4</v>
      </c>
      <c r="Z5" s="155">
        <f>B5*0.68</f>
        <v>79.56</v>
      </c>
      <c r="AA5" s="155">
        <v>4.8</v>
      </c>
      <c r="AB5" s="155">
        <f>D5*0.68</f>
        <v>77.927999999999997</v>
      </c>
      <c r="AC5" s="155">
        <v>5.7</v>
      </c>
      <c r="AD5" s="155">
        <f>F5*0.68</f>
        <v>77.724000000000004</v>
      </c>
      <c r="AE5" s="155">
        <v>6</v>
      </c>
      <c r="AF5" s="155">
        <f ca="1">RANDBETWEEN(1050,1070)*H5/1000</f>
        <v>127.18680000000001</v>
      </c>
      <c r="AG5" s="155">
        <f t="shared" ref="AG5:AK6" ca="1" si="0">RANDBETWEEN(1050,1070)*I5/1000</f>
        <v>9.9169999999999998</v>
      </c>
      <c r="AH5" s="155">
        <f t="shared" ca="1" si="0"/>
        <v>129.99039999999999</v>
      </c>
      <c r="AI5" s="155">
        <f t="shared" ca="1" si="0"/>
        <v>8.0483999999999991</v>
      </c>
      <c r="AJ5" s="155">
        <f t="shared" ca="1" si="0"/>
        <v>130.54</v>
      </c>
      <c r="AK5" s="155">
        <f t="shared" ca="1" si="0"/>
        <v>11.534400000000002</v>
      </c>
      <c r="AL5" s="156">
        <v>118.1</v>
      </c>
      <c r="AM5" s="154">
        <v>12</v>
      </c>
      <c r="AN5" s="156">
        <v>113.9</v>
      </c>
      <c r="AO5" s="154">
        <v>11.4</v>
      </c>
      <c r="AP5" s="156">
        <v>114.1</v>
      </c>
      <c r="AQ5" s="154">
        <v>12.4</v>
      </c>
      <c r="AR5" s="156">
        <v>122.3</v>
      </c>
      <c r="AS5" s="154">
        <v>9.8000000000000007</v>
      </c>
      <c r="AT5" s="156">
        <v>121.9</v>
      </c>
      <c r="AU5" s="154">
        <v>8.5</v>
      </c>
      <c r="AV5" s="156">
        <v>121.7</v>
      </c>
      <c r="AW5" s="154">
        <v>10.1</v>
      </c>
      <c r="AX5" s="156">
        <v>132</v>
      </c>
      <c r="AY5" s="154">
        <v>9.8000000000000007</v>
      </c>
      <c r="AZ5" s="156">
        <v>132.4</v>
      </c>
      <c r="BA5" s="154">
        <v>10.1</v>
      </c>
      <c r="BB5" s="156">
        <v>132.4</v>
      </c>
      <c r="BC5" s="154">
        <v>10.4</v>
      </c>
      <c r="BD5" s="156">
        <v>29.4</v>
      </c>
      <c r="BE5" s="154">
        <v>1.7</v>
      </c>
      <c r="BF5" s="156">
        <v>29.2</v>
      </c>
      <c r="BG5" s="154">
        <v>1.2</v>
      </c>
      <c r="BH5" s="156">
        <v>31.8</v>
      </c>
      <c r="BI5" s="154">
        <v>4.2</v>
      </c>
      <c r="BJ5" s="155">
        <f>AL5*0.68</f>
        <v>80.308000000000007</v>
      </c>
      <c r="BK5" s="155">
        <v>5.6</v>
      </c>
      <c r="BL5" s="155">
        <f>AN5*0.68</f>
        <v>77.452000000000012</v>
      </c>
      <c r="BM5" s="155">
        <v>5.9</v>
      </c>
      <c r="BN5" s="155">
        <f>AP5*0.68</f>
        <v>77.588000000000008</v>
      </c>
      <c r="BO5" s="155">
        <v>6.8</v>
      </c>
      <c r="BP5" s="155">
        <f ca="1">RANDBETWEEN(1050,1070)*AR5/1000</f>
        <v>130.37180000000001</v>
      </c>
      <c r="BQ5" s="155">
        <f t="shared" ref="BQ5:BQ6" ca="1" si="1">RANDBETWEEN(1050,1070)*AS5/1000</f>
        <v>10.378200000000001</v>
      </c>
      <c r="BR5" s="155">
        <f t="shared" ref="BR5:BR6" ca="1" si="2">RANDBETWEEN(1050,1070)*AT5/1000</f>
        <v>129.8235</v>
      </c>
      <c r="BS5" s="155">
        <f t="shared" ref="BS5:BS6" ca="1" si="3">RANDBETWEEN(1050,1070)*AU5/1000</f>
        <v>9.0269999999999992</v>
      </c>
      <c r="BT5" s="155">
        <f t="shared" ref="BT5:BT6" ca="1" si="4">RANDBETWEEN(1050,1070)*AV5/1000</f>
        <v>128.0284</v>
      </c>
      <c r="BU5" s="155">
        <f t="shared" ref="BU5:BU6" ca="1" si="5">RANDBETWEEN(1050,1070)*AW5/1000</f>
        <v>10.726199999999999</v>
      </c>
      <c r="BV5" s="156">
        <v>115.5</v>
      </c>
      <c r="BW5" s="154">
        <v>11.8</v>
      </c>
      <c r="BX5" s="156">
        <v>113.9</v>
      </c>
      <c r="BY5" s="154">
        <v>10.5</v>
      </c>
      <c r="BZ5" s="156">
        <v>113.1</v>
      </c>
      <c r="CA5" s="154">
        <v>12.2</v>
      </c>
      <c r="CB5" s="156">
        <v>122.7</v>
      </c>
      <c r="CC5" s="154">
        <v>8.5</v>
      </c>
      <c r="CD5" s="156">
        <v>121.6</v>
      </c>
      <c r="CE5" s="154">
        <v>7.8</v>
      </c>
      <c r="CF5" s="156">
        <v>121.5</v>
      </c>
      <c r="CG5" s="154">
        <v>10.5</v>
      </c>
      <c r="CH5" s="156">
        <v>130.9</v>
      </c>
      <c r="CI5" s="154">
        <v>9.6</v>
      </c>
      <c r="CJ5" s="156">
        <v>132.4</v>
      </c>
      <c r="CK5" s="154">
        <v>11</v>
      </c>
      <c r="CL5" s="156">
        <v>129.5</v>
      </c>
      <c r="CM5" s="154">
        <v>10.6</v>
      </c>
      <c r="CN5" s="156">
        <v>29.1</v>
      </c>
      <c r="CO5" s="154">
        <v>2.2999999999999998</v>
      </c>
      <c r="CP5" s="156">
        <v>29.5</v>
      </c>
      <c r="CQ5" s="154">
        <v>2</v>
      </c>
      <c r="CR5" s="157">
        <f ca="1">RANDBETWEEN(950,960)*BH5/1000</f>
        <v>30.496200000000002</v>
      </c>
      <c r="CS5" s="157">
        <f ca="1">RANDBETWEEN(950,960)*BI5/1000</f>
        <v>4.0278</v>
      </c>
      <c r="CT5" s="155">
        <f>BV5*0.68</f>
        <v>78.540000000000006</v>
      </c>
      <c r="CU5" s="155">
        <v>4</v>
      </c>
      <c r="CV5" s="155">
        <f>BX5*0.68</f>
        <v>77.452000000000012</v>
      </c>
      <c r="CW5" s="155">
        <v>4.5</v>
      </c>
      <c r="CX5" s="155">
        <f>BZ5*0.68</f>
        <v>76.908000000000001</v>
      </c>
      <c r="CY5" s="155">
        <v>5</v>
      </c>
      <c r="CZ5" s="155">
        <f ca="1">RANDBETWEEN(1050,1070)*CB5/1000</f>
        <v>130.3074</v>
      </c>
      <c r="DA5" s="155">
        <f t="shared" ref="DA5:DA6" ca="1" si="6">RANDBETWEEN(1050,1070)*CC5/1000</f>
        <v>8.9250000000000007</v>
      </c>
      <c r="DB5" s="155">
        <f t="shared" ref="DB5:DB6" ca="1" si="7">RANDBETWEEN(1050,1070)*CD5/1000</f>
        <v>129.26079999999999</v>
      </c>
      <c r="DC5" s="155">
        <f t="shared" ref="DC5:DC6" ca="1" si="8">RANDBETWEEN(1050,1070)*CE5/1000</f>
        <v>8.3381999999999987</v>
      </c>
      <c r="DD5" s="155">
        <f t="shared" ref="DD5:DD6" ca="1" si="9">RANDBETWEEN(1050,1070)*CF5/1000</f>
        <v>129.39750000000001</v>
      </c>
      <c r="DE5" s="155">
        <f t="shared" ref="DE5:DE6" ca="1" si="10">RANDBETWEEN(1050,1070)*CG5/1000</f>
        <v>11.193</v>
      </c>
      <c r="DF5" s="156">
        <v>117.2</v>
      </c>
      <c r="DG5" s="154">
        <v>13.3</v>
      </c>
      <c r="DH5" s="157">
        <f t="shared" ref="DH5:DK6" ca="1" si="11">RANDBETWEEN(1050,1060)*BX5/1000</f>
        <v>119.93670000000002</v>
      </c>
      <c r="DI5" s="157">
        <f t="shared" ca="1" si="11"/>
        <v>11.025</v>
      </c>
      <c r="DJ5" s="158">
        <f t="shared" ca="1" si="11"/>
        <v>119.5467</v>
      </c>
      <c r="DK5" s="158">
        <f t="shared" ca="1" si="11"/>
        <v>12.907599999999999</v>
      </c>
      <c r="DL5" s="156">
        <v>121.6</v>
      </c>
      <c r="DM5" s="154">
        <v>11.2</v>
      </c>
      <c r="DN5" s="157">
        <f t="shared" ref="DN5:EC6" ca="1" si="12">RANDBETWEEN(1050,1060)*CD5/1000</f>
        <v>128.89599999999999</v>
      </c>
      <c r="DO5" s="157">
        <f t="shared" ca="1" si="12"/>
        <v>8.19</v>
      </c>
      <c r="DP5" s="158">
        <f t="shared" ca="1" si="12"/>
        <v>127.6965</v>
      </c>
      <c r="DQ5" s="158">
        <f t="shared" ca="1" si="12"/>
        <v>11.077500000000001</v>
      </c>
      <c r="DR5" s="157">
        <f t="shared" ca="1" si="12"/>
        <v>138.09950000000001</v>
      </c>
      <c r="DS5" s="157">
        <f t="shared" ca="1" si="12"/>
        <v>10.156799999999999</v>
      </c>
      <c r="DT5" s="157">
        <f t="shared" ca="1" si="12"/>
        <v>139.81440000000001</v>
      </c>
      <c r="DU5" s="157">
        <f t="shared" ca="1" si="12"/>
        <v>11.638</v>
      </c>
      <c r="DV5" s="158">
        <f t="shared" ca="1" si="12"/>
        <v>137.1405</v>
      </c>
      <c r="DW5" s="158">
        <f t="shared" ca="1" si="12"/>
        <v>11.1936</v>
      </c>
      <c r="DX5" s="157">
        <f t="shared" ca="1" si="12"/>
        <v>30.671400000000002</v>
      </c>
      <c r="DY5" s="157">
        <f t="shared" ca="1" si="12"/>
        <v>2.4264999999999999</v>
      </c>
      <c r="DZ5" s="157">
        <f t="shared" ca="1" si="12"/>
        <v>31.27</v>
      </c>
      <c r="EA5" s="157">
        <f t="shared" ca="1" si="12"/>
        <v>2.1179999999999999</v>
      </c>
      <c r="EB5" s="158">
        <f t="shared" ca="1" si="12"/>
        <v>32.142994800000004</v>
      </c>
      <c r="EC5" s="158">
        <f t="shared" ca="1" si="12"/>
        <v>4.22919</v>
      </c>
      <c r="ED5" s="155">
        <f>DF5*0.68</f>
        <v>79.696000000000012</v>
      </c>
      <c r="EE5" s="155">
        <v>3.3</v>
      </c>
      <c r="EF5" s="155">
        <f ca="1">DH5*0.68</f>
        <v>81.556956000000014</v>
      </c>
      <c r="EG5" s="155">
        <v>4.5999999999999996</v>
      </c>
      <c r="EH5" s="159">
        <f ca="1">DJ5*0.68</f>
        <v>81.291756000000007</v>
      </c>
      <c r="EI5" s="159">
        <v>4.5999999999999996</v>
      </c>
      <c r="EJ5" s="155">
        <f ca="1">RANDBETWEEN(1050,1070)*DL5/1000</f>
        <v>128.28800000000001</v>
      </c>
      <c r="EK5" s="155">
        <f t="shared" ref="EK5:EK6" ca="1" si="13">RANDBETWEEN(1050,1070)*DM5/1000</f>
        <v>11.9392</v>
      </c>
      <c r="EL5" s="155">
        <f t="shared" ref="EL5:EL6" ca="1" si="14">RANDBETWEEN(1050,1070)*DN5/1000</f>
        <v>136.11417599999999</v>
      </c>
      <c r="EM5" s="155">
        <f t="shared" ref="EM5:EM6" ca="1" si="15">RANDBETWEEN(1050,1070)*DO5/1000</f>
        <v>8.6322600000000005</v>
      </c>
      <c r="EN5" s="159">
        <f t="shared" ref="EN5:EN6" ca="1" si="16">RANDBETWEEN(1050,1070)*DP5/1000</f>
        <v>135.2305935</v>
      </c>
      <c r="EO5" s="159">
        <f t="shared" ref="EO5:EO6" ca="1" si="17">RANDBETWEEN(1050,1070)*DQ5/1000</f>
        <v>11.65353</v>
      </c>
    </row>
    <row r="6" spans="1:145" ht="34.5" customHeight="1" x14ac:dyDescent="0.25">
      <c r="A6" s="3" t="s">
        <v>53</v>
      </c>
      <c r="B6" s="154">
        <v>3.1</v>
      </c>
      <c r="C6" s="154">
        <v>10.4</v>
      </c>
      <c r="D6" s="154">
        <v>19.899999999999999</v>
      </c>
      <c r="E6" s="154">
        <v>16.5</v>
      </c>
      <c r="F6" s="154">
        <v>55.1</v>
      </c>
      <c r="G6" s="154">
        <v>16.3</v>
      </c>
      <c r="H6" s="154">
        <v>8.9</v>
      </c>
      <c r="I6" s="154">
        <v>8</v>
      </c>
      <c r="J6" s="154">
        <v>10</v>
      </c>
      <c r="K6" s="154">
        <v>12.8</v>
      </c>
      <c r="L6" s="154">
        <v>37.9</v>
      </c>
      <c r="M6" s="154">
        <v>13.2</v>
      </c>
      <c r="N6" s="154">
        <v>15.6</v>
      </c>
      <c r="O6" s="154">
        <v>7.3</v>
      </c>
      <c r="P6" s="154">
        <v>23.3</v>
      </c>
      <c r="Q6" s="154">
        <v>7.2</v>
      </c>
      <c r="R6" s="154">
        <v>21.2</v>
      </c>
      <c r="S6" s="154">
        <v>12.6</v>
      </c>
      <c r="T6" s="154">
        <v>0.8</v>
      </c>
      <c r="U6" s="154">
        <v>1.3</v>
      </c>
      <c r="V6" s="154">
        <v>2.9</v>
      </c>
      <c r="W6" s="154">
        <v>1.1000000000000001</v>
      </c>
      <c r="X6" s="154">
        <v>8.6999999999999993</v>
      </c>
      <c r="Y6" s="154">
        <v>3.4</v>
      </c>
      <c r="Z6" s="155">
        <f>B6/2</f>
        <v>1.55</v>
      </c>
      <c r="AA6" s="155">
        <f t="shared" ref="AA6:AE6" si="18">C6/2</f>
        <v>5.2</v>
      </c>
      <c r="AB6" s="155">
        <f t="shared" si="18"/>
        <v>9.9499999999999993</v>
      </c>
      <c r="AC6" s="155">
        <f t="shared" si="18"/>
        <v>8.25</v>
      </c>
      <c r="AD6" s="155">
        <f t="shared" si="18"/>
        <v>27.55</v>
      </c>
      <c r="AE6" s="155">
        <f t="shared" si="18"/>
        <v>8.15</v>
      </c>
      <c r="AF6" s="155">
        <f ca="1">RANDBETWEEN(1050,1070)*H6/1000</f>
        <v>9.3450000000000006</v>
      </c>
      <c r="AG6" s="155">
        <f t="shared" ca="1" si="0"/>
        <v>8.5039999999999996</v>
      </c>
      <c r="AH6" s="155">
        <f t="shared" ca="1" si="0"/>
        <v>10.67</v>
      </c>
      <c r="AI6" s="155">
        <f t="shared" ca="1" si="0"/>
        <v>13.504</v>
      </c>
      <c r="AJ6" s="155">
        <f t="shared" ca="1" si="0"/>
        <v>40.363500000000002</v>
      </c>
      <c r="AK6" s="155">
        <f t="shared" ca="1" si="0"/>
        <v>13.912799999999999</v>
      </c>
      <c r="AL6" s="156">
        <v>2.7</v>
      </c>
      <c r="AM6" s="154">
        <v>11</v>
      </c>
      <c r="AN6" s="156">
        <v>21.3</v>
      </c>
      <c r="AO6" s="154">
        <v>15.3</v>
      </c>
      <c r="AP6" s="156">
        <v>56</v>
      </c>
      <c r="AQ6" s="154">
        <v>15.4</v>
      </c>
      <c r="AR6" s="156">
        <v>4.4000000000000004</v>
      </c>
      <c r="AS6" s="154">
        <v>11.8</v>
      </c>
      <c r="AT6" s="156">
        <v>10.7</v>
      </c>
      <c r="AU6" s="154">
        <v>12.8</v>
      </c>
      <c r="AV6" s="156">
        <v>38.200000000000003</v>
      </c>
      <c r="AW6" s="154">
        <v>13</v>
      </c>
      <c r="AX6" s="156">
        <v>15.5</v>
      </c>
      <c r="AY6" s="154">
        <v>6.8</v>
      </c>
      <c r="AZ6" s="156">
        <v>19.600000000000001</v>
      </c>
      <c r="BA6" s="154">
        <v>6.4</v>
      </c>
      <c r="BB6" s="156">
        <v>26.5</v>
      </c>
      <c r="BC6" s="154">
        <v>13.7</v>
      </c>
      <c r="BD6" s="156">
        <v>1.5</v>
      </c>
      <c r="BE6" s="154">
        <v>1</v>
      </c>
      <c r="BF6" s="156">
        <v>4.3</v>
      </c>
      <c r="BG6" s="154">
        <v>0.8</v>
      </c>
      <c r="BH6" s="156">
        <v>11.9</v>
      </c>
      <c r="BI6" s="154">
        <v>5</v>
      </c>
      <c r="BJ6" s="155">
        <f>AL6/2</f>
        <v>1.35</v>
      </c>
      <c r="BK6" s="155">
        <f t="shared" ref="BK6" si="19">AM6/2</f>
        <v>5.5</v>
      </c>
      <c r="BL6" s="155">
        <f t="shared" ref="BL6" si="20">AN6/2</f>
        <v>10.65</v>
      </c>
      <c r="BM6" s="155">
        <f t="shared" ref="BM6" si="21">AO6/2</f>
        <v>7.65</v>
      </c>
      <c r="BN6" s="155">
        <f t="shared" ref="BN6" si="22">AP6/2</f>
        <v>28</v>
      </c>
      <c r="BO6" s="155">
        <f t="shared" ref="BO6" si="23">AQ6/2</f>
        <v>7.7</v>
      </c>
      <c r="BP6" s="155">
        <f ca="1">RANDBETWEEN(1050,1070)*AR6/1000</f>
        <v>4.6288</v>
      </c>
      <c r="BQ6" s="155">
        <f t="shared" ca="1" si="1"/>
        <v>12.543400000000002</v>
      </c>
      <c r="BR6" s="155">
        <f t="shared" ca="1" si="2"/>
        <v>11.374099999999999</v>
      </c>
      <c r="BS6" s="155">
        <f t="shared" ca="1" si="3"/>
        <v>13.580800000000002</v>
      </c>
      <c r="BT6" s="155">
        <f t="shared" ca="1" si="4"/>
        <v>40.568400000000004</v>
      </c>
      <c r="BU6" s="155">
        <f t="shared" ca="1" si="5"/>
        <v>13.715</v>
      </c>
      <c r="BV6" s="156">
        <v>11.2</v>
      </c>
      <c r="BW6" s="154">
        <v>13.3</v>
      </c>
      <c r="BX6" s="156">
        <v>24.3</v>
      </c>
      <c r="BY6" s="154">
        <v>15</v>
      </c>
      <c r="BZ6" s="156">
        <v>51.6</v>
      </c>
      <c r="CA6" s="154">
        <v>22.5</v>
      </c>
      <c r="CB6" s="156">
        <v>7.1</v>
      </c>
      <c r="CC6" s="154">
        <v>10</v>
      </c>
      <c r="CD6" s="156">
        <v>11.2</v>
      </c>
      <c r="CE6" s="154">
        <v>12.7</v>
      </c>
      <c r="CF6" s="156">
        <v>39</v>
      </c>
      <c r="CG6" s="154">
        <v>12.6</v>
      </c>
      <c r="CH6" s="156">
        <v>9.1999999999999993</v>
      </c>
      <c r="CI6" s="154">
        <v>11.8</v>
      </c>
      <c r="CJ6" s="156">
        <v>20.6</v>
      </c>
      <c r="CK6" s="154">
        <v>6.5</v>
      </c>
      <c r="CL6" s="156">
        <v>23.2</v>
      </c>
      <c r="CM6" s="154">
        <v>15.1</v>
      </c>
      <c r="CN6" s="156">
        <v>1.3</v>
      </c>
      <c r="CO6" s="154">
        <v>1.3</v>
      </c>
      <c r="CP6" s="156">
        <v>3.4</v>
      </c>
      <c r="CQ6" s="154">
        <v>0.9</v>
      </c>
      <c r="CR6" s="157">
        <f ca="1">RANDBETWEEN(950,960)*BH6/1000</f>
        <v>11.3169</v>
      </c>
      <c r="CS6" s="157">
        <f ca="1">RANDBETWEEN(950,960)*BI6/1000</f>
        <v>4.7649999999999997</v>
      </c>
      <c r="CT6" s="155">
        <f>BV6/2</f>
        <v>5.6</v>
      </c>
      <c r="CU6" s="155">
        <f t="shared" ref="CU6" si="24">BW6/2</f>
        <v>6.65</v>
      </c>
      <c r="CV6" s="155">
        <f t="shared" ref="CV6" si="25">BX6/2</f>
        <v>12.15</v>
      </c>
      <c r="CW6" s="155">
        <f t="shared" ref="CW6" si="26">BY6/2</f>
        <v>7.5</v>
      </c>
      <c r="CX6" s="155">
        <f t="shared" ref="CX6" si="27">BZ6/2</f>
        <v>25.8</v>
      </c>
      <c r="CY6" s="155">
        <f t="shared" ref="CY6" si="28">CA6/2</f>
        <v>11.25</v>
      </c>
      <c r="CZ6" s="155">
        <f ca="1">RANDBETWEEN(1050,1070)*CB6/1000</f>
        <v>7.4904999999999999</v>
      </c>
      <c r="DA6" s="155">
        <f t="shared" ca="1" si="6"/>
        <v>10.68</v>
      </c>
      <c r="DB6" s="155">
        <f t="shared" ca="1" si="7"/>
        <v>11.8384</v>
      </c>
      <c r="DC6" s="155">
        <f t="shared" ca="1" si="8"/>
        <v>13.411199999999999</v>
      </c>
      <c r="DD6" s="155">
        <f t="shared" ca="1" si="9"/>
        <v>41.417999999999999</v>
      </c>
      <c r="DE6" s="155">
        <f t="shared" ca="1" si="10"/>
        <v>13.255199999999999</v>
      </c>
      <c r="DF6" s="156">
        <v>3.4</v>
      </c>
      <c r="DG6" s="154">
        <v>12.3</v>
      </c>
      <c r="DH6" s="157">
        <f t="shared" ca="1" si="11"/>
        <v>25.733700000000002</v>
      </c>
      <c r="DI6" s="157">
        <f t="shared" ca="1" si="11"/>
        <v>15.824999999999999</v>
      </c>
      <c r="DJ6" s="158">
        <f t="shared" ca="1" si="11"/>
        <v>54.283200000000008</v>
      </c>
      <c r="DK6" s="158">
        <f t="shared" ca="1" si="11"/>
        <v>23.782499999999999</v>
      </c>
      <c r="DL6" s="156">
        <v>4.0999999999999996</v>
      </c>
      <c r="DM6" s="154">
        <v>11.6</v>
      </c>
      <c r="DN6" s="157">
        <f t="shared" ca="1" si="12"/>
        <v>11.827199999999999</v>
      </c>
      <c r="DO6" s="157">
        <f t="shared" ca="1" si="12"/>
        <v>13.335000000000001</v>
      </c>
      <c r="DP6" s="158">
        <f t="shared" ca="1" si="12"/>
        <v>41.183999999999997</v>
      </c>
      <c r="DQ6" s="158">
        <f t="shared" ca="1" si="12"/>
        <v>13.255199999999999</v>
      </c>
      <c r="DR6" s="157">
        <f t="shared" ca="1" si="12"/>
        <v>9.7059999999999995</v>
      </c>
      <c r="DS6" s="157">
        <f t="shared" ca="1" si="12"/>
        <v>12.401800000000001</v>
      </c>
      <c r="DT6" s="157">
        <f t="shared" ca="1" si="12"/>
        <v>21.691800000000004</v>
      </c>
      <c r="DU6" s="157">
        <f t="shared" ca="1" si="12"/>
        <v>6.89</v>
      </c>
      <c r="DV6" s="158">
        <f t="shared" ca="1" si="12"/>
        <v>24.5456</v>
      </c>
      <c r="DW6" s="158">
        <f t="shared" ca="1" si="12"/>
        <v>15.870100000000001</v>
      </c>
      <c r="DX6" s="157">
        <f t="shared" ca="1" si="12"/>
        <v>1.3689</v>
      </c>
      <c r="DY6" s="157">
        <f t="shared" ca="1" si="12"/>
        <v>1.3779999999999999</v>
      </c>
      <c r="DZ6" s="157">
        <f t="shared" ca="1" si="12"/>
        <v>3.6006</v>
      </c>
      <c r="EA6" s="157">
        <f t="shared" ca="1" si="12"/>
        <v>0.95220000000000005</v>
      </c>
      <c r="EB6" s="158">
        <f t="shared" ca="1" si="12"/>
        <v>11.9166957</v>
      </c>
      <c r="EC6" s="158">
        <f t="shared" ca="1" si="12"/>
        <v>5.0080149999999994</v>
      </c>
      <c r="ED6" s="155">
        <f>DF6/2</f>
        <v>1.7</v>
      </c>
      <c r="EE6" s="155">
        <f t="shared" ref="EE6" si="29">DG6/2</f>
        <v>6.15</v>
      </c>
      <c r="EF6" s="155">
        <f t="shared" ref="EF6" ca="1" si="30">DH6/2</f>
        <v>12.866850000000001</v>
      </c>
      <c r="EG6" s="155">
        <f t="shared" ref="EG6" ca="1" si="31">DI6/2</f>
        <v>7.9124999999999996</v>
      </c>
      <c r="EH6" s="159">
        <f t="shared" ref="EH6" ca="1" si="32">DJ6/2</f>
        <v>27.141600000000004</v>
      </c>
      <c r="EI6" s="159">
        <f t="shared" ref="EI6" ca="1" si="33">DK6/2</f>
        <v>11.891249999999999</v>
      </c>
      <c r="EJ6" s="155">
        <f ca="1">RANDBETWEEN(1050,1070)*DL6/1000</f>
        <v>4.358299999999999</v>
      </c>
      <c r="EK6" s="155">
        <f t="shared" ca="1" si="13"/>
        <v>12.2264</v>
      </c>
      <c r="EL6" s="155">
        <f t="shared" ca="1" si="14"/>
        <v>12.584140799999998</v>
      </c>
      <c r="EM6" s="155">
        <f t="shared" ca="1" si="15"/>
        <v>14.001749999999999</v>
      </c>
      <c r="EN6" s="159">
        <f t="shared" ca="1" si="16"/>
        <v>43.325567999999997</v>
      </c>
      <c r="EO6" s="159">
        <f t="shared" ca="1" si="17"/>
        <v>14.143298399999997</v>
      </c>
    </row>
    <row r="7" spans="1:145" ht="20.25" customHeight="1" x14ac:dyDescent="0.25">
      <c r="A7" s="3" t="s">
        <v>3</v>
      </c>
      <c r="B7" s="147">
        <v>1840</v>
      </c>
      <c r="C7" s="147">
        <v>1840</v>
      </c>
      <c r="D7" s="147">
        <v>2000</v>
      </c>
      <c r="E7" s="147">
        <v>2000</v>
      </c>
      <c r="F7" s="147">
        <v>2000</v>
      </c>
      <c r="G7" s="147">
        <v>2000</v>
      </c>
      <c r="H7" s="147">
        <v>1840</v>
      </c>
      <c r="I7" s="147">
        <v>1840</v>
      </c>
      <c r="J7" s="147">
        <v>2000</v>
      </c>
      <c r="K7" s="147">
        <v>2000</v>
      </c>
      <c r="L7" s="147">
        <v>2000</v>
      </c>
      <c r="M7" s="147">
        <v>2000</v>
      </c>
      <c r="N7" s="147">
        <v>1840</v>
      </c>
      <c r="O7" s="147">
        <v>1840</v>
      </c>
      <c r="P7" s="147">
        <v>2000</v>
      </c>
      <c r="Q7" s="147">
        <v>2000</v>
      </c>
      <c r="R7" s="147">
        <v>2000</v>
      </c>
      <c r="S7" s="147">
        <v>2000</v>
      </c>
      <c r="T7" s="147">
        <v>1840</v>
      </c>
      <c r="U7" s="147">
        <v>1840</v>
      </c>
      <c r="V7" s="147">
        <v>2000</v>
      </c>
      <c r="W7" s="147">
        <v>2000</v>
      </c>
      <c r="X7" s="147">
        <v>2000</v>
      </c>
      <c r="Y7" s="147">
        <v>2000</v>
      </c>
      <c r="Z7" s="147">
        <v>1840</v>
      </c>
      <c r="AA7" s="147">
        <v>1840</v>
      </c>
      <c r="AB7" s="147">
        <v>2000</v>
      </c>
      <c r="AC7" s="147">
        <v>2000</v>
      </c>
      <c r="AD7" s="147">
        <v>2000</v>
      </c>
      <c r="AE7" s="147">
        <v>2000</v>
      </c>
      <c r="AF7" s="147">
        <v>1840</v>
      </c>
      <c r="AG7" s="147">
        <v>1840</v>
      </c>
      <c r="AH7" s="147">
        <v>2000</v>
      </c>
      <c r="AI7" s="147">
        <v>2000</v>
      </c>
      <c r="AJ7" s="147">
        <v>2000</v>
      </c>
      <c r="AK7" s="147">
        <v>2000</v>
      </c>
      <c r="AL7" s="147">
        <v>1840</v>
      </c>
      <c r="AM7" s="147">
        <v>1840</v>
      </c>
      <c r="AN7" s="147">
        <v>2000</v>
      </c>
      <c r="AO7" s="147">
        <v>2000</v>
      </c>
      <c r="AP7" s="147">
        <v>2000</v>
      </c>
      <c r="AQ7" s="147">
        <v>2000</v>
      </c>
      <c r="AR7" s="147">
        <v>1840</v>
      </c>
      <c r="AS7" s="147">
        <v>1840</v>
      </c>
      <c r="AT7" s="147">
        <v>2000</v>
      </c>
      <c r="AU7" s="147">
        <v>2000</v>
      </c>
      <c r="AV7" s="147">
        <v>2000</v>
      </c>
      <c r="AW7" s="147">
        <v>2000</v>
      </c>
      <c r="AX7" s="147">
        <v>1840</v>
      </c>
      <c r="AY7" s="147">
        <v>1840</v>
      </c>
      <c r="AZ7" s="147">
        <v>2000</v>
      </c>
      <c r="BA7" s="147">
        <v>2000</v>
      </c>
      <c r="BB7" s="147">
        <v>2000</v>
      </c>
      <c r="BC7" s="147">
        <v>2000</v>
      </c>
      <c r="BD7" s="147">
        <v>1840</v>
      </c>
      <c r="BE7" s="147">
        <v>1840</v>
      </c>
      <c r="BF7" s="147">
        <v>2000</v>
      </c>
      <c r="BG7" s="147">
        <v>2000</v>
      </c>
      <c r="BH7" s="147">
        <v>2000</v>
      </c>
      <c r="BI7" s="147">
        <v>2000</v>
      </c>
      <c r="BJ7" s="147">
        <v>1840</v>
      </c>
      <c r="BK7" s="147">
        <v>1840</v>
      </c>
      <c r="BL7" s="147">
        <v>2000</v>
      </c>
      <c r="BM7" s="147">
        <v>2000</v>
      </c>
      <c r="BN7" s="147">
        <v>2000</v>
      </c>
      <c r="BO7" s="147">
        <v>2000</v>
      </c>
      <c r="BP7" s="147">
        <v>1840</v>
      </c>
      <c r="BQ7" s="147">
        <v>1840</v>
      </c>
      <c r="BR7" s="147">
        <v>2000</v>
      </c>
      <c r="BS7" s="147">
        <v>2000</v>
      </c>
      <c r="BT7" s="147">
        <v>2000</v>
      </c>
      <c r="BU7" s="147">
        <v>2000</v>
      </c>
      <c r="BV7" s="147">
        <v>1840</v>
      </c>
      <c r="BW7" s="147">
        <v>1840</v>
      </c>
      <c r="BX7" s="147">
        <v>2000</v>
      </c>
      <c r="BY7" s="147">
        <v>2000</v>
      </c>
      <c r="BZ7" s="147">
        <v>2000</v>
      </c>
      <c r="CA7" s="147">
        <v>2000</v>
      </c>
      <c r="CB7" s="147">
        <v>1840</v>
      </c>
      <c r="CC7" s="147">
        <v>1840</v>
      </c>
      <c r="CD7" s="147">
        <v>2000</v>
      </c>
      <c r="CE7" s="147">
        <v>2000</v>
      </c>
      <c r="CF7" s="147">
        <v>2000</v>
      </c>
      <c r="CG7" s="147">
        <v>2000</v>
      </c>
      <c r="CH7" s="147">
        <v>1840</v>
      </c>
      <c r="CI7" s="147">
        <v>1840</v>
      </c>
      <c r="CJ7" s="147">
        <v>2000</v>
      </c>
      <c r="CK7" s="147">
        <v>2000</v>
      </c>
      <c r="CL7" s="147">
        <v>2000</v>
      </c>
      <c r="CM7" s="147">
        <v>2000</v>
      </c>
      <c r="CN7" s="147">
        <v>1840</v>
      </c>
      <c r="CO7" s="147">
        <v>1840</v>
      </c>
      <c r="CP7" s="147">
        <v>2000</v>
      </c>
      <c r="CQ7" s="147">
        <v>2000</v>
      </c>
      <c r="CR7" s="147">
        <v>2000</v>
      </c>
      <c r="CS7" s="147">
        <v>2000</v>
      </c>
      <c r="CT7" s="147">
        <v>1840</v>
      </c>
      <c r="CU7" s="147">
        <v>1840</v>
      </c>
      <c r="CV7" s="147">
        <v>2000</v>
      </c>
      <c r="CW7" s="147">
        <v>2000</v>
      </c>
      <c r="CX7" s="147">
        <v>2000</v>
      </c>
      <c r="CY7" s="147">
        <v>2000</v>
      </c>
      <c r="CZ7" s="147">
        <v>1840</v>
      </c>
      <c r="DA7" s="147">
        <v>1840</v>
      </c>
      <c r="DB7" s="147">
        <v>2000</v>
      </c>
      <c r="DC7" s="147">
        <v>2000</v>
      </c>
      <c r="DD7" s="147">
        <v>2000</v>
      </c>
      <c r="DE7" s="147">
        <v>2000</v>
      </c>
      <c r="DF7" s="147">
        <v>1840</v>
      </c>
      <c r="DG7" s="147">
        <v>1840</v>
      </c>
      <c r="DH7" s="147">
        <v>2000</v>
      </c>
      <c r="DI7" s="147">
        <v>2000</v>
      </c>
      <c r="DJ7" s="147">
        <v>2000</v>
      </c>
      <c r="DK7" s="147">
        <v>2000</v>
      </c>
      <c r="DL7" s="147">
        <v>1840</v>
      </c>
      <c r="DM7" s="147">
        <v>1840</v>
      </c>
      <c r="DN7" s="147">
        <v>2000</v>
      </c>
      <c r="DO7" s="147">
        <v>2000</v>
      </c>
      <c r="DP7" s="147">
        <v>2000</v>
      </c>
      <c r="DQ7" s="147">
        <v>2000</v>
      </c>
      <c r="DR7" s="147">
        <v>1840</v>
      </c>
      <c r="DS7" s="147">
        <v>1840</v>
      </c>
      <c r="DT7" s="147">
        <v>2000</v>
      </c>
      <c r="DU7" s="147">
        <v>2000</v>
      </c>
      <c r="DV7" s="147">
        <v>2000</v>
      </c>
      <c r="DW7" s="147">
        <v>2000</v>
      </c>
      <c r="DX7" s="147">
        <v>1840</v>
      </c>
      <c r="DY7" s="147">
        <v>1840</v>
      </c>
      <c r="DZ7" s="147">
        <v>2000</v>
      </c>
      <c r="EA7" s="147">
        <v>2000</v>
      </c>
      <c r="EB7" s="147">
        <v>2000</v>
      </c>
      <c r="EC7" s="147">
        <v>2000</v>
      </c>
      <c r="ED7" s="147">
        <v>1840</v>
      </c>
      <c r="EE7" s="147">
        <v>1840</v>
      </c>
      <c r="EF7" s="147">
        <v>2000</v>
      </c>
      <c r="EG7" s="147">
        <v>2000</v>
      </c>
      <c r="EH7" s="147">
        <v>2000</v>
      </c>
      <c r="EI7" s="147">
        <v>2000</v>
      </c>
      <c r="EJ7" s="147">
        <v>1840</v>
      </c>
      <c r="EK7" s="147">
        <v>1840</v>
      </c>
      <c r="EL7" s="147">
        <v>2000</v>
      </c>
      <c r="EM7" s="147">
        <v>2000</v>
      </c>
      <c r="EN7" s="147">
        <v>2000</v>
      </c>
      <c r="EO7" s="147">
        <v>2000</v>
      </c>
    </row>
    <row r="8" spans="1:145" ht="20.25" customHeight="1" x14ac:dyDescent="0.25">
      <c r="A8" s="3" t="s">
        <v>111</v>
      </c>
      <c r="B8" s="147">
        <v>1</v>
      </c>
      <c r="C8" s="147">
        <v>1</v>
      </c>
      <c r="D8" s="147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1</v>
      </c>
      <c r="K8" s="147">
        <v>1</v>
      </c>
      <c r="L8" s="147">
        <v>1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1</v>
      </c>
      <c r="W8" s="147">
        <v>1</v>
      </c>
      <c r="X8" s="147">
        <v>1</v>
      </c>
      <c r="Y8" s="147">
        <v>1</v>
      </c>
      <c r="Z8" s="147">
        <v>1</v>
      </c>
      <c r="AA8" s="147">
        <v>1</v>
      </c>
      <c r="AB8" s="147">
        <v>1</v>
      </c>
      <c r="AC8" s="147">
        <v>1</v>
      </c>
      <c r="AD8" s="147">
        <v>1</v>
      </c>
      <c r="AE8" s="147">
        <v>1</v>
      </c>
      <c r="AF8" s="147">
        <v>1</v>
      </c>
      <c r="AG8" s="147">
        <v>1</v>
      </c>
      <c r="AH8" s="147">
        <v>1</v>
      </c>
      <c r="AI8" s="147">
        <v>1</v>
      </c>
      <c r="AJ8" s="147">
        <v>1</v>
      </c>
      <c r="AK8" s="147">
        <v>1</v>
      </c>
      <c r="AL8" s="148">
        <v>1</v>
      </c>
      <c r="AM8" s="149">
        <v>1</v>
      </c>
      <c r="AN8" s="148">
        <v>1</v>
      </c>
      <c r="AO8" s="149">
        <v>1</v>
      </c>
      <c r="AP8" s="148">
        <v>1</v>
      </c>
      <c r="AQ8" s="149">
        <v>1</v>
      </c>
      <c r="AR8" s="148">
        <v>1</v>
      </c>
      <c r="AS8" s="149">
        <v>1</v>
      </c>
      <c r="AT8" s="148">
        <v>1</v>
      </c>
      <c r="AU8" s="149">
        <v>1</v>
      </c>
      <c r="AV8" s="148">
        <v>1</v>
      </c>
      <c r="AW8" s="149">
        <v>1</v>
      </c>
      <c r="AX8" s="148">
        <v>1</v>
      </c>
      <c r="AY8" s="149">
        <v>1</v>
      </c>
      <c r="AZ8" s="148">
        <v>1</v>
      </c>
      <c r="BA8" s="149">
        <v>1</v>
      </c>
      <c r="BB8" s="148">
        <v>1</v>
      </c>
      <c r="BC8" s="149">
        <v>1</v>
      </c>
      <c r="BD8" s="148">
        <v>1</v>
      </c>
      <c r="BE8" s="149">
        <v>1</v>
      </c>
      <c r="BF8" s="148">
        <v>1</v>
      </c>
      <c r="BG8" s="149">
        <v>1</v>
      </c>
      <c r="BH8" s="148">
        <v>1</v>
      </c>
      <c r="BI8" s="149">
        <v>1</v>
      </c>
      <c r="BJ8" s="148">
        <v>1</v>
      </c>
      <c r="BK8" s="149">
        <v>1</v>
      </c>
      <c r="BL8" s="148">
        <v>1</v>
      </c>
      <c r="BM8" s="149">
        <v>1</v>
      </c>
      <c r="BN8" s="148">
        <v>1</v>
      </c>
      <c r="BO8" s="149">
        <v>1</v>
      </c>
      <c r="BP8" s="148">
        <v>1</v>
      </c>
      <c r="BQ8" s="149">
        <v>1</v>
      </c>
      <c r="BR8" s="148">
        <v>1</v>
      </c>
      <c r="BS8" s="149">
        <v>1</v>
      </c>
      <c r="BT8" s="148">
        <v>1</v>
      </c>
      <c r="BU8" s="149">
        <v>1</v>
      </c>
      <c r="BV8" s="150">
        <v>1</v>
      </c>
      <c r="BW8" s="151">
        <v>1</v>
      </c>
      <c r="BX8" s="150">
        <v>1</v>
      </c>
      <c r="BY8" s="151">
        <v>1</v>
      </c>
      <c r="BZ8" s="150">
        <v>1</v>
      </c>
      <c r="CA8" s="151">
        <v>1</v>
      </c>
      <c r="CB8" s="150">
        <v>1</v>
      </c>
      <c r="CC8" s="151">
        <v>1</v>
      </c>
      <c r="CD8" s="150">
        <v>1</v>
      </c>
      <c r="CE8" s="151">
        <v>1</v>
      </c>
      <c r="CF8" s="150">
        <v>1</v>
      </c>
      <c r="CG8" s="151">
        <v>1</v>
      </c>
      <c r="CH8" s="150">
        <v>1</v>
      </c>
      <c r="CI8" s="151">
        <v>1</v>
      </c>
      <c r="CJ8" s="150">
        <v>1</v>
      </c>
      <c r="CK8" s="151">
        <v>1</v>
      </c>
      <c r="CL8" s="150">
        <v>1</v>
      </c>
      <c r="CM8" s="151">
        <v>1</v>
      </c>
      <c r="CN8" s="150">
        <v>1</v>
      </c>
      <c r="CO8" s="151">
        <v>1</v>
      </c>
      <c r="CP8" s="150">
        <v>1</v>
      </c>
      <c r="CQ8" s="151">
        <v>1</v>
      </c>
      <c r="CR8" s="150">
        <v>1</v>
      </c>
      <c r="CS8" s="151">
        <v>1</v>
      </c>
      <c r="CT8" s="150">
        <v>1</v>
      </c>
      <c r="CU8" s="151">
        <v>1</v>
      </c>
      <c r="CV8" s="150">
        <v>1</v>
      </c>
      <c r="CW8" s="151">
        <v>1</v>
      </c>
      <c r="CX8" s="150">
        <v>1</v>
      </c>
      <c r="CY8" s="151">
        <v>1</v>
      </c>
      <c r="CZ8" s="150">
        <v>1</v>
      </c>
      <c r="DA8" s="151">
        <v>1</v>
      </c>
      <c r="DB8" s="150">
        <v>1</v>
      </c>
      <c r="DC8" s="151">
        <v>1</v>
      </c>
      <c r="DD8" s="150">
        <v>1</v>
      </c>
      <c r="DE8" s="151">
        <v>1</v>
      </c>
      <c r="DF8" s="152">
        <v>1</v>
      </c>
      <c r="DG8" s="153">
        <v>1</v>
      </c>
      <c r="DH8" s="152">
        <v>1</v>
      </c>
      <c r="DI8" s="153">
        <v>1</v>
      </c>
      <c r="DJ8" s="152">
        <v>1</v>
      </c>
      <c r="DK8" s="153">
        <v>1</v>
      </c>
      <c r="DL8" s="152">
        <v>1</v>
      </c>
      <c r="DM8" s="153">
        <v>1</v>
      </c>
      <c r="DN8" s="152">
        <v>1</v>
      </c>
      <c r="DO8" s="153">
        <v>1</v>
      </c>
      <c r="DP8" s="152">
        <v>1</v>
      </c>
      <c r="DQ8" s="153">
        <v>1</v>
      </c>
      <c r="DR8" s="152">
        <v>1</v>
      </c>
      <c r="DS8" s="153">
        <v>1</v>
      </c>
      <c r="DT8" s="152">
        <v>1</v>
      </c>
      <c r="DU8" s="153">
        <v>1</v>
      </c>
      <c r="DV8" s="152">
        <v>1</v>
      </c>
      <c r="DW8" s="153">
        <v>1</v>
      </c>
      <c r="DX8" s="152">
        <v>1</v>
      </c>
      <c r="DY8" s="153">
        <v>1</v>
      </c>
      <c r="DZ8" s="152">
        <v>1</v>
      </c>
      <c r="EA8" s="153">
        <v>1</v>
      </c>
      <c r="EB8" s="152">
        <v>1</v>
      </c>
      <c r="EC8" s="153">
        <v>1</v>
      </c>
      <c r="ED8" s="152">
        <v>1</v>
      </c>
      <c r="EE8" s="153">
        <v>1</v>
      </c>
      <c r="EF8" s="152">
        <v>1</v>
      </c>
      <c r="EG8" s="153">
        <v>1</v>
      </c>
      <c r="EH8" s="152">
        <v>1</v>
      </c>
      <c r="EI8" s="153">
        <v>1</v>
      </c>
      <c r="EJ8" s="152">
        <v>1</v>
      </c>
      <c r="EK8" s="153">
        <v>1</v>
      </c>
      <c r="EL8" s="152">
        <v>1</v>
      </c>
      <c r="EM8" s="153">
        <v>1</v>
      </c>
      <c r="EN8" s="152">
        <v>1</v>
      </c>
      <c r="EO8" s="153">
        <v>1</v>
      </c>
    </row>
    <row r="9" spans="1:145" ht="31.5" customHeight="1" x14ac:dyDescent="0.25">
      <c r="A9" s="3" t="s">
        <v>252</v>
      </c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60"/>
      <c r="AM9" s="149"/>
      <c r="AN9" s="160"/>
      <c r="AO9" s="149"/>
      <c r="AP9" s="160"/>
      <c r="AQ9" s="149"/>
      <c r="AR9" s="160"/>
      <c r="AS9" s="149"/>
      <c r="AT9" s="160"/>
      <c r="AU9" s="149"/>
      <c r="AV9" s="160"/>
      <c r="AW9" s="149"/>
      <c r="AX9" s="160"/>
      <c r="AY9" s="149"/>
      <c r="AZ9" s="160"/>
      <c r="BA9" s="149"/>
      <c r="BB9" s="160"/>
      <c r="BC9" s="149"/>
      <c r="BD9" s="160"/>
      <c r="BE9" s="149"/>
      <c r="BF9" s="160"/>
      <c r="BG9" s="149"/>
      <c r="BH9" s="160"/>
      <c r="BI9" s="149"/>
      <c r="BJ9" s="160"/>
      <c r="BK9" s="149"/>
      <c r="BL9" s="160"/>
      <c r="BM9" s="149"/>
      <c r="BN9" s="160"/>
      <c r="BO9" s="149"/>
      <c r="BP9" s="160"/>
      <c r="BQ9" s="149"/>
      <c r="BR9" s="160"/>
      <c r="BS9" s="149"/>
      <c r="BT9" s="160"/>
      <c r="BU9" s="149"/>
      <c r="BV9" s="161"/>
      <c r="BW9" s="151"/>
      <c r="BX9" s="161"/>
      <c r="BY9" s="151"/>
      <c r="BZ9" s="161"/>
      <c r="CA9" s="151"/>
      <c r="CB9" s="161"/>
      <c r="CC9" s="151"/>
      <c r="CD9" s="161"/>
      <c r="CE9" s="151"/>
      <c r="CF9" s="161"/>
      <c r="CG9" s="151"/>
      <c r="CH9" s="161"/>
      <c r="CI9" s="151"/>
      <c r="CJ9" s="161"/>
      <c r="CK9" s="151"/>
      <c r="CL9" s="161"/>
      <c r="CM9" s="151"/>
      <c r="CN9" s="161"/>
      <c r="CO9" s="151"/>
      <c r="CP9" s="161"/>
      <c r="CQ9" s="151"/>
      <c r="CR9" s="161"/>
      <c r="CS9" s="151"/>
      <c r="CT9" s="161"/>
      <c r="CU9" s="151"/>
      <c r="CV9" s="161"/>
      <c r="CW9" s="151"/>
      <c r="CX9" s="161"/>
      <c r="CY9" s="151"/>
      <c r="CZ9" s="161"/>
      <c r="DA9" s="151"/>
      <c r="DB9" s="161"/>
      <c r="DC9" s="151"/>
      <c r="DD9" s="161"/>
      <c r="DE9" s="151"/>
      <c r="DF9" s="162"/>
      <c r="DG9" s="153"/>
      <c r="DH9" s="162"/>
      <c r="DI9" s="153"/>
      <c r="DJ9" s="162"/>
      <c r="DK9" s="153"/>
      <c r="DL9" s="162"/>
      <c r="DM9" s="153"/>
      <c r="DN9" s="162"/>
      <c r="DO9" s="153"/>
      <c r="DP9" s="162"/>
      <c r="DQ9" s="153"/>
      <c r="DR9" s="162"/>
      <c r="DS9" s="153"/>
      <c r="DT9" s="162"/>
      <c r="DU9" s="153"/>
      <c r="DV9" s="162"/>
      <c r="DW9" s="153"/>
      <c r="DX9" s="162"/>
      <c r="DY9" s="153"/>
      <c r="DZ9" s="162"/>
      <c r="EA9" s="153"/>
      <c r="EB9" s="162"/>
      <c r="EC9" s="153"/>
      <c r="ED9" s="162"/>
      <c r="EE9" s="153"/>
      <c r="EF9" s="162"/>
      <c r="EG9" s="153"/>
      <c r="EH9" s="162"/>
      <c r="EI9" s="153"/>
      <c r="EJ9" s="162"/>
      <c r="EK9" s="153"/>
      <c r="EL9" s="162"/>
      <c r="EM9" s="153"/>
      <c r="EN9" s="162"/>
      <c r="EO9" s="153"/>
    </row>
    <row r="10" spans="1:145" x14ac:dyDescent="0.25">
      <c r="A10" s="3" t="s">
        <v>4</v>
      </c>
      <c r="B10" s="147">
        <v>1.359</v>
      </c>
      <c r="C10" s="147">
        <v>1.359</v>
      </c>
      <c r="D10" s="147">
        <v>1.387</v>
      </c>
      <c r="E10" s="147">
        <v>1.387</v>
      </c>
      <c r="F10" s="147">
        <v>1.387</v>
      </c>
      <c r="G10" s="147">
        <v>1.387</v>
      </c>
      <c r="H10" s="147">
        <v>1.359</v>
      </c>
      <c r="I10" s="147">
        <v>1.359</v>
      </c>
      <c r="J10" s="147">
        <v>1.387</v>
      </c>
      <c r="K10" s="147">
        <v>1.387</v>
      </c>
      <c r="L10" s="147">
        <v>1.387</v>
      </c>
      <c r="M10" s="147">
        <v>1.387</v>
      </c>
      <c r="N10" s="147">
        <v>1.359</v>
      </c>
      <c r="O10" s="147">
        <v>1.359</v>
      </c>
      <c r="P10" s="147">
        <v>1.387</v>
      </c>
      <c r="Q10" s="147">
        <v>1.387</v>
      </c>
      <c r="R10" s="147">
        <v>1.387</v>
      </c>
      <c r="S10" s="147">
        <v>1.387</v>
      </c>
      <c r="T10" s="147">
        <v>1.359</v>
      </c>
      <c r="U10" s="147">
        <v>1.359</v>
      </c>
      <c r="V10" s="147">
        <v>1.387</v>
      </c>
      <c r="W10" s="147">
        <v>1.387</v>
      </c>
      <c r="X10" s="147">
        <v>1.387</v>
      </c>
      <c r="Y10" s="147">
        <v>1.387</v>
      </c>
      <c r="Z10" s="147">
        <v>1.359</v>
      </c>
      <c r="AA10" s="147">
        <v>1.359</v>
      </c>
      <c r="AB10" s="147">
        <v>1.387</v>
      </c>
      <c r="AC10" s="147">
        <v>1.387</v>
      </c>
      <c r="AD10" s="147">
        <v>1.387</v>
      </c>
      <c r="AE10" s="147">
        <v>1.387</v>
      </c>
      <c r="AF10" s="147">
        <v>1.359</v>
      </c>
      <c r="AG10" s="147">
        <v>1.359</v>
      </c>
      <c r="AH10" s="147">
        <v>1.387</v>
      </c>
      <c r="AI10" s="147">
        <v>1.387</v>
      </c>
      <c r="AJ10" s="147">
        <v>1.387</v>
      </c>
      <c r="AK10" s="147">
        <v>1.387</v>
      </c>
      <c r="AL10" s="147">
        <v>1.359</v>
      </c>
      <c r="AM10" s="147">
        <v>1.359</v>
      </c>
      <c r="AN10" s="147">
        <v>1.387</v>
      </c>
      <c r="AO10" s="147">
        <v>1.387</v>
      </c>
      <c r="AP10" s="147">
        <v>1.387</v>
      </c>
      <c r="AQ10" s="147">
        <v>1.387</v>
      </c>
      <c r="AR10" s="147">
        <v>1.359</v>
      </c>
      <c r="AS10" s="147">
        <v>1.359</v>
      </c>
      <c r="AT10" s="147">
        <v>1.387</v>
      </c>
      <c r="AU10" s="147">
        <v>1.387</v>
      </c>
      <c r="AV10" s="147">
        <v>1.387</v>
      </c>
      <c r="AW10" s="147">
        <v>1.387</v>
      </c>
      <c r="AX10" s="147">
        <v>1.359</v>
      </c>
      <c r="AY10" s="147">
        <v>1.359</v>
      </c>
      <c r="AZ10" s="147">
        <v>1.387</v>
      </c>
      <c r="BA10" s="147">
        <v>1.387</v>
      </c>
      <c r="BB10" s="147">
        <v>1.387</v>
      </c>
      <c r="BC10" s="147">
        <v>1.387</v>
      </c>
      <c r="BD10" s="147">
        <v>1.359</v>
      </c>
      <c r="BE10" s="147">
        <v>1.359</v>
      </c>
      <c r="BF10" s="147">
        <v>1.387</v>
      </c>
      <c r="BG10" s="147">
        <v>1.387</v>
      </c>
      <c r="BH10" s="147">
        <v>1.387</v>
      </c>
      <c r="BI10" s="147">
        <v>1.387</v>
      </c>
      <c r="BJ10" s="147">
        <v>1.359</v>
      </c>
      <c r="BK10" s="147">
        <v>1.359</v>
      </c>
      <c r="BL10" s="147">
        <v>1.387</v>
      </c>
      <c r="BM10" s="147">
        <v>1.387</v>
      </c>
      <c r="BN10" s="147">
        <v>1.387</v>
      </c>
      <c r="BO10" s="147">
        <v>1.387</v>
      </c>
      <c r="BP10" s="147">
        <v>1.359</v>
      </c>
      <c r="BQ10" s="147">
        <v>1.359</v>
      </c>
      <c r="BR10" s="147">
        <v>1.387</v>
      </c>
      <c r="BS10" s="147">
        <v>1.387</v>
      </c>
      <c r="BT10" s="147">
        <v>1.387</v>
      </c>
      <c r="BU10" s="147">
        <v>1.387</v>
      </c>
      <c r="BV10" s="147">
        <v>1.359</v>
      </c>
      <c r="BW10" s="147">
        <v>1.359</v>
      </c>
      <c r="BX10" s="147">
        <v>1.387</v>
      </c>
      <c r="BY10" s="147">
        <v>1.387</v>
      </c>
      <c r="BZ10" s="147">
        <v>1.387</v>
      </c>
      <c r="CA10" s="147">
        <v>1.387</v>
      </c>
      <c r="CB10" s="147">
        <v>1.359</v>
      </c>
      <c r="CC10" s="147">
        <v>1.359</v>
      </c>
      <c r="CD10" s="147">
        <v>1.387</v>
      </c>
      <c r="CE10" s="147">
        <v>1.387</v>
      </c>
      <c r="CF10" s="147">
        <v>1.387</v>
      </c>
      <c r="CG10" s="147">
        <v>1.387</v>
      </c>
      <c r="CH10" s="147">
        <v>1.359</v>
      </c>
      <c r="CI10" s="147">
        <v>1.359</v>
      </c>
      <c r="CJ10" s="147">
        <v>1.387</v>
      </c>
      <c r="CK10" s="147">
        <v>1.387</v>
      </c>
      <c r="CL10" s="147">
        <v>1.387</v>
      </c>
      <c r="CM10" s="147">
        <v>1.387</v>
      </c>
      <c r="CN10" s="147">
        <v>1.359</v>
      </c>
      <c r="CO10" s="147">
        <v>1.359</v>
      </c>
      <c r="CP10" s="147">
        <v>1.387</v>
      </c>
      <c r="CQ10" s="147">
        <v>1.387</v>
      </c>
      <c r="CR10" s="147">
        <v>1.387</v>
      </c>
      <c r="CS10" s="147">
        <v>1.387</v>
      </c>
      <c r="CT10" s="147">
        <v>1.359</v>
      </c>
      <c r="CU10" s="147">
        <v>1.359</v>
      </c>
      <c r="CV10" s="147">
        <v>1.387</v>
      </c>
      <c r="CW10" s="147">
        <v>1.387</v>
      </c>
      <c r="CX10" s="147">
        <v>1.387</v>
      </c>
      <c r="CY10" s="147">
        <v>1.387</v>
      </c>
      <c r="CZ10" s="147">
        <v>1.359</v>
      </c>
      <c r="DA10" s="147">
        <v>1.359</v>
      </c>
      <c r="DB10" s="147">
        <v>1.387</v>
      </c>
      <c r="DC10" s="147">
        <v>1.387</v>
      </c>
      <c r="DD10" s="147">
        <v>1.387</v>
      </c>
      <c r="DE10" s="147">
        <v>1.387</v>
      </c>
      <c r="DF10" s="147">
        <v>1.359</v>
      </c>
      <c r="DG10" s="147">
        <v>1.359</v>
      </c>
      <c r="DH10" s="147">
        <v>1.387</v>
      </c>
      <c r="DI10" s="147">
        <v>1.387</v>
      </c>
      <c r="DJ10" s="147">
        <v>1.387</v>
      </c>
      <c r="DK10" s="147">
        <v>1.387</v>
      </c>
      <c r="DL10" s="147">
        <v>1.359</v>
      </c>
      <c r="DM10" s="147">
        <v>1.359</v>
      </c>
      <c r="DN10" s="147">
        <v>1.387</v>
      </c>
      <c r="DO10" s="147">
        <v>1.387</v>
      </c>
      <c r="DP10" s="147">
        <v>1.387</v>
      </c>
      <c r="DQ10" s="147">
        <v>1.387</v>
      </c>
      <c r="DR10" s="147">
        <v>1.359</v>
      </c>
      <c r="DS10" s="147">
        <v>1.359</v>
      </c>
      <c r="DT10" s="147">
        <v>1.387</v>
      </c>
      <c r="DU10" s="147">
        <v>1.387</v>
      </c>
      <c r="DV10" s="147">
        <v>1.387</v>
      </c>
      <c r="DW10" s="147">
        <v>1.387</v>
      </c>
      <c r="DX10" s="147">
        <v>1.359</v>
      </c>
      <c r="DY10" s="147">
        <v>1.359</v>
      </c>
      <c r="DZ10" s="147">
        <v>1.387</v>
      </c>
      <c r="EA10" s="147">
        <v>1.387</v>
      </c>
      <c r="EB10" s="147">
        <v>1.387</v>
      </c>
      <c r="EC10" s="147">
        <v>1.387</v>
      </c>
      <c r="ED10" s="147">
        <v>1.359</v>
      </c>
      <c r="EE10" s="147">
        <v>1.359</v>
      </c>
      <c r="EF10" s="147">
        <v>1.387</v>
      </c>
      <c r="EG10" s="147">
        <v>1.387</v>
      </c>
      <c r="EH10" s="147">
        <v>1.387</v>
      </c>
      <c r="EI10" s="147">
        <v>1.387</v>
      </c>
      <c r="EJ10" s="147">
        <v>1.359</v>
      </c>
      <c r="EK10" s="147">
        <v>1.359</v>
      </c>
      <c r="EL10" s="147">
        <v>1.387</v>
      </c>
      <c r="EM10" s="147">
        <v>1.387</v>
      </c>
      <c r="EN10" s="147">
        <v>1.387</v>
      </c>
      <c r="EO10" s="147">
        <v>1.387</v>
      </c>
    </row>
    <row r="11" spans="1:145" ht="30" customHeight="1" x14ac:dyDescent="0.25">
      <c r="A11" s="4" t="s">
        <v>5</v>
      </c>
      <c r="B11" s="147">
        <f>1.3*B10</f>
        <v>1.7666999999999999</v>
      </c>
      <c r="C11" s="147">
        <f t="shared" ref="C11:BN11" si="34">1.3*C10</f>
        <v>1.7666999999999999</v>
      </c>
      <c r="D11" s="147">
        <f t="shared" si="34"/>
        <v>1.8031000000000001</v>
      </c>
      <c r="E11" s="147">
        <f t="shared" si="34"/>
        <v>1.8031000000000001</v>
      </c>
      <c r="F11" s="147">
        <f t="shared" si="34"/>
        <v>1.8031000000000001</v>
      </c>
      <c r="G11" s="147">
        <f t="shared" si="34"/>
        <v>1.8031000000000001</v>
      </c>
      <c r="H11" s="147">
        <f t="shared" si="34"/>
        <v>1.7666999999999999</v>
      </c>
      <c r="I11" s="147">
        <f t="shared" si="34"/>
        <v>1.7666999999999999</v>
      </c>
      <c r="J11" s="147">
        <f t="shared" si="34"/>
        <v>1.8031000000000001</v>
      </c>
      <c r="K11" s="147">
        <f t="shared" si="34"/>
        <v>1.8031000000000001</v>
      </c>
      <c r="L11" s="147">
        <f t="shared" si="34"/>
        <v>1.8031000000000001</v>
      </c>
      <c r="M11" s="147">
        <f t="shared" si="34"/>
        <v>1.8031000000000001</v>
      </c>
      <c r="N11" s="147">
        <f t="shared" si="34"/>
        <v>1.7666999999999999</v>
      </c>
      <c r="O11" s="147">
        <f t="shared" si="34"/>
        <v>1.7666999999999999</v>
      </c>
      <c r="P11" s="147">
        <f t="shared" si="34"/>
        <v>1.8031000000000001</v>
      </c>
      <c r="Q11" s="147">
        <f t="shared" si="34"/>
        <v>1.8031000000000001</v>
      </c>
      <c r="R11" s="147">
        <f t="shared" si="34"/>
        <v>1.8031000000000001</v>
      </c>
      <c r="S11" s="147">
        <f t="shared" si="34"/>
        <v>1.8031000000000001</v>
      </c>
      <c r="T11" s="147">
        <f t="shared" si="34"/>
        <v>1.7666999999999999</v>
      </c>
      <c r="U11" s="147">
        <f t="shared" si="34"/>
        <v>1.7666999999999999</v>
      </c>
      <c r="V11" s="147">
        <f t="shared" si="34"/>
        <v>1.8031000000000001</v>
      </c>
      <c r="W11" s="147">
        <f t="shared" si="34"/>
        <v>1.8031000000000001</v>
      </c>
      <c r="X11" s="147">
        <f t="shared" si="34"/>
        <v>1.8031000000000001</v>
      </c>
      <c r="Y11" s="147">
        <f t="shared" si="34"/>
        <v>1.8031000000000001</v>
      </c>
      <c r="Z11" s="147">
        <f t="shared" si="34"/>
        <v>1.7666999999999999</v>
      </c>
      <c r="AA11" s="147">
        <f t="shared" si="34"/>
        <v>1.7666999999999999</v>
      </c>
      <c r="AB11" s="147">
        <f t="shared" si="34"/>
        <v>1.8031000000000001</v>
      </c>
      <c r="AC11" s="147">
        <f t="shared" si="34"/>
        <v>1.8031000000000001</v>
      </c>
      <c r="AD11" s="147">
        <f t="shared" si="34"/>
        <v>1.8031000000000001</v>
      </c>
      <c r="AE11" s="147">
        <f t="shared" si="34"/>
        <v>1.8031000000000001</v>
      </c>
      <c r="AF11" s="147">
        <f t="shared" si="34"/>
        <v>1.7666999999999999</v>
      </c>
      <c r="AG11" s="147">
        <f t="shared" si="34"/>
        <v>1.7666999999999999</v>
      </c>
      <c r="AH11" s="147">
        <f t="shared" si="34"/>
        <v>1.8031000000000001</v>
      </c>
      <c r="AI11" s="147">
        <f t="shared" si="34"/>
        <v>1.8031000000000001</v>
      </c>
      <c r="AJ11" s="147">
        <f t="shared" si="34"/>
        <v>1.8031000000000001</v>
      </c>
      <c r="AK11" s="147">
        <f t="shared" si="34"/>
        <v>1.8031000000000001</v>
      </c>
      <c r="AL11" s="147">
        <f t="shared" si="34"/>
        <v>1.7666999999999999</v>
      </c>
      <c r="AM11" s="147">
        <f t="shared" si="34"/>
        <v>1.7666999999999999</v>
      </c>
      <c r="AN11" s="147">
        <f t="shared" si="34"/>
        <v>1.8031000000000001</v>
      </c>
      <c r="AO11" s="147">
        <f t="shared" si="34"/>
        <v>1.8031000000000001</v>
      </c>
      <c r="AP11" s="147">
        <f t="shared" si="34"/>
        <v>1.8031000000000001</v>
      </c>
      <c r="AQ11" s="147">
        <f t="shared" si="34"/>
        <v>1.8031000000000001</v>
      </c>
      <c r="AR11" s="147">
        <f t="shared" si="34"/>
        <v>1.7666999999999999</v>
      </c>
      <c r="AS11" s="147">
        <f t="shared" si="34"/>
        <v>1.7666999999999999</v>
      </c>
      <c r="AT11" s="147">
        <f t="shared" si="34"/>
        <v>1.8031000000000001</v>
      </c>
      <c r="AU11" s="147">
        <f t="shared" si="34"/>
        <v>1.8031000000000001</v>
      </c>
      <c r="AV11" s="147">
        <f t="shared" si="34"/>
        <v>1.8031000000000001</v>
      </c>
      <c r="AW11" s="147">
        <f t="shared" si="34"/>
        <v>1.8031000000000001</v>
      </c>
      <c r="AX11" s="147">
        <f t="shared" si="34"/>
        <v>1.7666999999999999</v>
      </c>
      <c r="AY11" s="147">
        <f t="shared" si="34"/>
        <v>1.7666999999999999</v>
      </c>
      <c r="AZ11" s="147">
        <f t="shared" si="34"/>
        <v>1.8031000000000001</v>
      </c>
      <c r="BA11" s="147">
        <f t="shared" si="34"/>
        <v>1.8031000000000001</v>
      </c>
      <c r="BB11" s="147">
        <f t="shared" si="34"/>
        <v>1.8031000000000001</v>
      </c>
      <c r="BC11" s="147">
        <f t="shared" si="34"/>
        <v>1.8031000000000001</v>
      </c>
      <c r="BD11" s="147">
        <f t="shared" si="34"/>
        <v>1.7666999999999999</v>
      </c>
      <c r="BE11" s="147">
        <f t="shared" si="34"/>
        <v>1.7666999999999999</v>
      </c>
      <c r="BF11" s="147">
        <f t="shared" si="34"/>
        <v>1.8031000000000001</v>
      </c>
      <c r="BG11" s="147">
        <f t="shared" si="34"/>
        <v>1.8031000000000001</v>
      </c>
      <c r="BH11" s="147">
        <f t="shared" si="34"/>
        <v>1.8031000000000001</v>
      </c>
      <c r="BI11" s="147">
        <f t="shared" si="34"/>
        <v>1.8031000000000001</v>
      </c>
      <c r="BJ11" s="147">
        <f t="shared" si="34"/>
        <v>1.7666999999999999</v>
      </c>
      <c r="BK11" s="147">
        <f t="shared" si="34"/>
        <v>1.7666999999999999</v>
      </c>
      <c r="BL11" s="147">
        <f t="shared" si="34"/>
        <v>1.8031000000000001</v>
      </c>
      <c r="BM11" s="147">
        <f t="shared" si="34"/>
        <v>1.8031000000000001</v>
      </c>
      <c r="BN11" s="147">
        <f t="shared" si="34"/>
        <v>1.8031000000000001</v>
      </c>
      <c r="BO11" s="147">
        <f t="shared" ref="BO11:DZ11" si="35">1.3*BO10</f>
        <v>1.8031000000000001</v>
      </c>
      <c r="BP11" s="147">
        <f t="shared" si="35"/>
        <v>1.7666999999999999</v>
      </c>
      <c r="BQ11" s="147">
        <f t="shared" si="35"/>
        <v>1.7666999999999999</v>
      </c>
      <c r="BR11" s="147">
        <f t="shared" si="35"/>
        <v>1.8031000000000001</v>
      </c>
      <c r="BS11" s="147">
        <f t="shared" si="35"/>
        <v>1.8031000000000001</v>
      </c>
      <c r="BT11" s="147">
        <f t="shared" si="35"/>
        <v>1.8031000000000001</v>
      </c>
      <c r="BU11" s="147">
        <f t="shared" si="35"/>
        <v>1.8031000000000001</v>
      </c>
      <c r="BV11" s="147">
        <f t="shared" si="35"/>
        <v>1.7666999999999999</v>
      </c>
      <c r="BW11" s="147">
        <f t="shared" si="35"/>
        <v>1.7666999999999999</v>
      </c>
      <c r="BX11" s="147">
        <f t="shared" si="35"/>
        <v>1.8031000000000001</v>
      </c>
      <c r="BY11" s="147">
        <f t="shared" si="35"/>
        <v>1.8031000000000001</v>
      </c>
      <c r="BZ11" s="147">
        <f t="shared" si="35"/>
        <v>1.8031000000000001</v>
      </c>
      <c r="CA11" s="147">
        <f t="shared" si="35"/>
        <v>1.8031000000000001</v>
      </c>
      <c r="CB11" s="147">
        <f t="shared" si="35"/>
        <v>1.7666999999999999</v>
      </c>
      <c r="CC11" s="147">
        <f t="shared" si="35"/>
        <v>1.7666999999999999</v>
      </c>
      <c r="CD11" s="147">
        <f t="shared" si="35"/>
        <v>1.8031000000000001</v>
      </c>
      <c r="CE11" s="147">
        <f t="shared" si="35"/>
        <v>1.8031000000000001</v>
      </c>
      <c r="CF11" s="147">
        <f t="shared" si="35"/>
        <v>1.8031000000000001</v>
      </c>
      <c r="CG11" s="147">
        <f t="shared" si="35"/>
        <v>1.8031000000000001</v>
      </c>
      <c r="CH11" s="147">
        <f t="shared" si="35"/>
        <v>1.7666999999999999</v>
      </c>
      <c r="CI11" s="147">
        <f t="shared" si="35"/>
        <v>1.7666999999999999</v>
      </c>
      <c r="CJ11" s="147">
        <f t="shared" si="35"/>
        <v>1.8031000000000001</v>
      </c>
      <c r="CK11" s="147">
        <f t="shared" si="35"/>
        <v>1.8031000000000001</v>
      </c>
      <c r="CL11" s="147">
        <f t="shared" si="35"/>
        <v>1.8031000000000001</v>
      </c>
      <c r="CM11" s="147">
        <f t="shared" si="35"/>
        <v>1.8031000000000001</v>
      </c>
      <c r="CN11" s="147">
        <f t="shared" si="35"/>
        <v>1.7666999999999999</v>
      </c>
      <c r="CO11" s="147">
        <f t="shared" si="35"/>
        <v>1.7666999999999999</v>
      </c>
      <c r="CP11" s="147">
        <f t="shared" si="35"/>
        <v>1.8031000000000001</v>
      </c>
      <c r="CQ11" s="147">
        <f t="shared" si="35"/>
        <v>1.8031000000000001</v>
      </c>
      <c r="CR11" s="147">
        <f t="shared" si="35"/>
        <v>1.8031000000000001</v>
      </c>
      <c r="CS11" s="147">
        <f t="shared" si="35"/>
        <v>1.8031000000000001</v>
      </c>
      <c r="CT11" s="147">
        <f t="shared" si="35"/>
        <v>1.7666999999999999</v>
      </c>
      <c r="CU11" s="147">
        <f t="shared" si="35"/>
        <v>1.7666999999999999</v>
      </c>
      <c r="CV11" s="147">
        <f t="shared" si="35"/>
        <v>1.8031000000000001</v>
      </c>
      <c r="CW11" s="147">
        <f t="shared" si="35"/>
        <v>1.8031000000000001</v>
      </c>
      <c r="CX11" s="147">
        <f t="shared" si="35"/>
        <v>1.8031000000000001</v>
      </c>
      <c r="CY11" s="147">
        <f t="shared" si="35"/>
        <v>1.8031000000000001</v>
      </c>
      <c r="CZ11" s="147">
        <f t="shared" si="35"/>
        <v>1.7666999999999999</v>
      </c>
      <c r="DA11" s="147">
        <f t="shared" si="35"/>
        <v>1.7666999999999999</v>
      </c>
      <c r="DB11" s="147">
        <f t="shared" si="35"/>
        <v>1.8031000000000001</v>
      </c>
      <c r="DC11" s="147">
        <f t="shared" si="35"/>
        <v>1.8031000000000001</v>
      </c>
      <c r="DD11" s="147">
        <f t="shared" si="35"/>
        <v>1.8031000000000001</v>
      </c>
      <c r="DE11" s="147">
        <f t="shared" si="35"/>
        <v>1.8031000000000001</v>
      </c>
      <c r="DF11" s="147">
        <f t="shared" si="35"/>
        <v>1.7666999999999999</v>
      </c>
      <c r="DG11" s="147">
        <f t="shared" si="35"/>
        <v>1.7666999999999999</v>
      </c>
      <c r="DH11" s="147">
        <f t="shared" si="35"/>
        <v>1.8031000000000001</v>
      </c>
      <c r="DI11" s="147">
        <f t="shared" si="35"/>
        <v>1.8031000000000001</v>
      </c>
      <c r="DJ11" s="147">
        <f t="shared" si="35"/>
        <v>1.8031000000000001</v>
      </c>
      <c r="DK11" s="147">
        <f t="shared" si="35"/>
        <v>1.8031000000000001</v>
      </c>
      <c r="DL11" s="147">
        <f t="shared" si="35"/>
        <v>1.7666999999999999</v>
      </c>
      <c r="DM11" s="147">
        <f t="shared" si="35"/>
        <v>1.7666999999999999</v>
      </c>
      <c r="DN11" s="147">
        <f t="shared" si="35"/>
        <v>1.8031000000000001</v>
      </c>
      <c r="DO11" s="147">
        <f t="shared" si="35"/>
        <v>1.8031000000000001</v>
      </c>
      <c r="DP11" s="147">
        <f t="shared" si="35"/>
        <v>1.8031000000000001</v>
      </c>
      <c r="DQ11" s="147">
        <f t="shared" si="35"/>
        <v>1.8031000000000001</v>
      </c>
      <c r="DR11" s="147">
        <f t="shared" si="35"/>
        <v>1.7666999999999999</v>
      </c>
      <c r="DS11" s="147">
        <f t="shared" si="35"/>
        <v>1.7666999999999999</v>
      </c>
      <c r="DT11" s="147">
        <f t="shared" si="35"/>
        <v>1.8031000000000001</v>
      </c>
      <c r="DU11" s="147">
        <f t="shared" si="35"/>
        <v>1.8031000000000001</v>
      </c>
      <c r="DV11" s="147">
        <f t="shared" si="35"/>
        <v>1.8031000000000001</v>
      </c>
      <c r="DW11" s="147">
        <f t="shared" si="35"/>
        <v>1.8031000000000001</v>
      </c>
      <c r="DX11" s="147">
        <f t="shared" si="35"/>
        <v>1.7666999999999999</v>
      </c>
      <c r="DY11" s="147">
        <f t="shared" si="35"/>
        <v>1.7666999999999999</v>
      </c>
      <c r="DZ11" s="147">
        <f t="shared" si="35"/>
        <v>1.8031000000000001</v>
      </c>
      <c r="EA11" s="147">
        <f t="shared" ref="EA11:EO11" si="36">1.3*EA10</f>
        <v>1.8031000000000001</v>
      </c>
      <c r="EB11" s="147">
        <f t="shared" si="36"/>
        <v>1.8031000000000001</v>
      </c>
      <c r="EC11" s="147">
        <f t="shared" si="36"/>
        <v>1.8031000000000001</v>
      </c>
      <c r="ED11" s="147">
        <f t="shared" si="36"/>
        <v>1.7666999999999999</v>
      </c>
      <c r="EE11" s="147">
        <f t="shared" si="36"/>
        <v>1.7666999999999999</v>
      </c>
      <c r="EF11" s="147">
        <f t="shared" si="36"/>
        <v>1.8031000000000001</v>
      </c>
      <c r="EG11" s="147">
        <f t="shared" si="36"/>
        <v>1.8031000000000001</v>
      </c>
      <c r="EH11" s="147">
        <f t="shared" si="36"/>
        <v>1.8031000000000001</v>
      </c>
      <c r="EI11" s="147">
        <f t="shared" si="36"/>
        <v>1.8031000000000001</v>
      </c>
      <c r="EJ11" s="147">
        <f t="shared" si="36"/>
        <v>1.7666999999999999</v>
      </c>
      <c r="EK11" s="147">
        <f t="shared" si="36"/>
        <v>1.7666999999999999</v>
      </c>
      <c r="EL11" s="147">
        <f t="shared" si="36"/>
        <v>1.8031000000000001</v>
      </c>
      <c r="EM11" s="147">
        <f t="shared" si="36"/>
        <v>1.8031000000000001</v>
      </c>
      <c r="EN11" s="147">
        <f t="shared" si="36"/>
        <v>1.8031000000000001</v>
      </c>
      <c r="EO11" s="147">
        <f t="shared" si="36"/>
        <v>1.8031000000000001</v>
      </c>
    </row>
    <row r="12" spans="1:145" ht="30" customHeight="1" x14ac:dyDescent="0.25">
      <c r="A12" s="4" t="s">
        <v>119</v>
      </c>
      <c r="B12" s="147">
        <v>417</v>
      </c>
      <c r="C12" s="147">
        <v>417</v>
      </c>
      <c r="D12" s="147">
        <v>417</v>
      </c>
      <c r="E12" s="147">
        <v>417</v>
      </c>
      <c r="F12" s="147">
        <v>417</v>
      </c>
      <c r="G12" s="147">
        <v>417</v>
      </c>
      <c r="H12" s="147">
        <v>417</v>
      </c>
      <c r="I12" s="147">
        <v>417</v>
      </c>
      <c r="J12" s="147">
        <v>417</v>
      </c>
      <c r="K12" s="147">
        <v>417</v>
      </c>
      <c r="L12" s="147">
        <v>417</v>
      </c>
      <c r="M12" s="147">
        <v>417</v>
      </c>
      <c r="N12" s="147">
        <v>417</v>
      </c>
      <c r="O12" s="147">
        <v>417</v>
      </c>
      <c r="P12" s="147">
        <v>417</v>
      </c>
      <c r="Q12" s="147">
        <v>417</v>
      </c>
      <c r="R12" s="147">
        <v>417</v>
      </c>
      <c r="S12" s="147">
        <v>417</v>
      </c>
      <c r="T12" s="147">
        <v>417</v>
      </c>
      <c r="U12" s="147">
        <v>417</v>
      </c>
      <c r="V12" s="147">
        <v>417</v>
      </c>
      <c r="W12" s="147">
        <v>417</v>
      </c>
      <c r="X12" s="147">
        <v>417</v>
      </c>
      <c r="Y12" s="147">
        <v>417</v>
      </c>
      <c r="Z12" s="147">
        <v>417</v>
      </c>
      <c r="AA12" s="147">
        <v>417</v>
      </c>
      <c r="AB12" s="147">
        <v>417</v>
      </c>
      <c r="AC12" s="147">
        <v>417</v>
      </c>
      <c r="AD12" s="147">
        <v>417</v>
      </c>
      <c r="AE12" s="147">
        <v>417</v>
      </c>
      <c r="AF12" s="147">
        <v>417</v>
      </c>
      <c r="AG12" s="147">
        <v>417</v>
      </c>
      <c r="AH12" s="147">
        <v>417</v>
      </c>
      <c r="AI12" s="147">
        <v>417</v>
      </c>
      <c r="AJ12" s="147">
        <v>417</v>
      </c>
      <c r="AK12" s="147">
        <v>417</v>
      </c>
      <c r="AL12" s="147">
        <v>417</v>
      </c>
      <c r="AM12" s="147">
        <v>417</v>
      </c>
      <c r="AN12" s="147">
        <v>417</v>
      </c>
      <c r="AO12" s="147">
        <v>417</v>
      </c>
      <c r="AP12" s="147">
        <v>417</v>
      </c>
      <c r="AQ12" s="147">
        <v>417</v>
      </c>
      <c r="AR12" s="147">
        <v>417</v>
      </c>
      <c r="AS12" s="147">
        <v>417</v>
      </c>
      <c r="AT12" s="147">
        <v>417</v>
      </c>
      <c r="AU12" s="147">
        <v>417</v>
      </c>
      <c r="AV12" s="147">
        <v>417</v>
      </c>
      <c r="AW12" s="147">
        <v>417</v>
      </c>
      <c r="AX12" s="147">
        <v>417</v>
      </c>
      <c r="AY12" s="147">
        <v>417</v>
      </c>
      <c r="AZ12" s="147">
        <v>417</v>
      </c>
      <c r="BA12" s="147">
        <v>417</v>
      </c>
      <c r="BB12" s="147">
        <v>417</v>
      </c>
      <c r="BC12" s="147">
        <v>417</v>
      </c>
      <c r="BD12" s="147">
        <v>417</v>
      </c>
      <c r="BE12" s="147">
        <v>417</v>
      </c>
      <c r="BF12" s="147">
        <v>417</v>
      </c>
      <c r="BG12" s="147">
        <v>417</v>
      </c>
      <c r="BH12" s="147">
        <v>417</v>
      </c>
      <c r="BI12" s="147">
        <v>417</v>
      </c>
      <c r="BJ12" s="147">
        <v>417</v>
      </c>
      <c r="BK12" s="147">
        <v>417</v>
      </c>
      <c r="BL12" s="147">
        <v>417</v>
      </c>
      <c r="BM12" s="147">
        <v>417</v>
      </c>
      <c r="BN12" s="147">
        <v>417</v>
      </c>
      <c r="BO12" s="147">
        <v>417</v>
      </c>
      <c r="BP12" s="147">
        <v>417</v>
      </c>
      <c r="BQ12" s="147">
        <v>417</v>
      </c>
      <c r="BR12" s="147">
        <v>417</v>
      </c>
      <c r="BS12" s="147">
        <v>417</v>
      </c>
      <c r="BT12" s="147">
        <v>417</v>
      </c>
      <c r="BU12" s="147">
        <v>417</v>
      </c>
      <c r="BV12" s="147">
        <v>417</v>
      </c>
      <c r="BW12" s="147">
        <v>417</v>
      </c>
      <c r="BX12" s="147">
        <v>417</v>
      </c>
      <c r="BY12" s="147">
        <v>417</v>
      </c>
      <c r="BZ12" s="147">
        <v>417</v>
      </c>
      <c r="CA12" s="147">
        <v>417</v>
      </c>
      <c r="CB12" s="147">
        <v>417</v>
      </c>
      <c r="CC12" s="147">
        <v>417</v>
      </c>
      <c r="CD12" s="147">
        <v>417</v>
      </c>
      <c r="CE12" s="147">
        <v>417</v>
      </c>
      <c r="CF12" s="147">
        <v>417</v>
      </c>
      <c r="CG12" s="147">
        <v>417</v>
      </c>
      <c r="CH12" s="147">
        <v>417</v>
      </c>
      <c r="CI12" s="147">
        <v>417</v>
      </c>
      <c r="CJ12" s="147">
        <v>417</v>
      </c>
      <c r="CK12" s="147">
        <v>417</v>
      </c>
      <c r="CL12" s="147">
        <v>417</v>
      </c>
      <c r="CM12" s="147">
        <v>417</v>
      </c>
      <c r="CN12" s="147">
        <v>417</v>
      </c>
      <c r="CO12" s="147">
        <v>417</v>
      </c>
      <c r="CP12" s="147">
        <v>417</v>
      </c>
      <c r="CQ12" s="147">
        <v>417</v>
      </c>
      <c r="CR12" s="147">
        <v>417</v>
      </c>
      <c r="CS12" s="147">
        <v>417</v>
      </c>
      <c r="CT12" s="147">
        <v>417</v>
      </c>
      <c r="CU12" s="147">
        <v>417</v>
      </c>
      <c r="CV12" s="147">
        <v>417</v>
      </c>
      <c r="CW12" s="147">
        <v>417</v>
      </c>
      <c r="CX12" s="147">
        <v>417</v>
      </c>
      <c r="CY12" s="147">
        <v>417</v>
      </c>
      <c r="CZ12" s="147">
        <v>417</v>
      </c>
      <c r="DA12" s="147">
        <v>417</v>
      </c>
      <c r="DB12" s="147">
        <v>417</v>
      </c>
      <c r="DC12" s="147">
        <v>417</v>
      </c>
      <c r="DD12" s="147">
        <v>417</v>
      </c>
      <c r="DE12" s="147">
        <v>417</v>
      </c>
      <c r="DF12" s="147">
        <v>417</v>
      </c>
      <c r="DG12" s="147">
        <v>417</v>
      </c>
      <c r="DH12" s="147">
        <v>417</v>
      </c>
      <c r="DI12" s="147">
        <v>417</v>
      </c>
      <c r="DJ12" s="147">
        <v>417</v>
      </c>
      <c r="DK12" s="147">
        <v>417</v>
      </c>
      <c r="DL12" s="147">
        <v>417</v>
      </c>
      <c r="DM12" s="147">
        <v>417</v>
      </c>
      <c r="DN12" s="147">
        <v>417</v>
      </c>
      <c r="DO12" s="147">
        <v>417</v>
      </c>
      <c r="DP12" s="147">
        <v>417</v>
      </c>
      <c r="DQ12" s="147">
        <v>417</v>
      </c>
      <c r="DR12" s="147">
        <v>417</v>
      </c>
      <c r="DS12" s="147">
        <v>417</v>
      </c>
      <c r="DT12" s="147">
        <v>417</v>
      </c>
      <c r="DU12" s="147">
        <v>417</v>
      </c>
      <c r="DV12" s="147">
        <v>417</v>
      </c>
      <c r="DW12" s="147">
        <v>417</v>
      </c>
      <c r="DX12" s="147">
        <v>417</v>
      </c>
      <c r="DY12" s="147">
        <v>417</v>
      </c>
      <c r="DZ12" s="147">
        <v>417</v>
      </c>
      <c r="EA12" s="147">
        <v>417</v>
      </c>
      <c r="EB12" s="147">
        <v>417</v>
      </c>
      <c r="EC12" s="147">
        <v>417</v>
      </c>
      <c r="ED12" s="147">
        <v>417</v>
      </c>
      <c r="EE12" s="147">
        <v>417</v>
      </c>
      <c r="EF12" s="147">
        <v>417</v>
      </c>
      <c r="EG12" s="147">
        <v>417</v>
      </c>
      <c r="EH12" s="147">
        <v>417</v>
      </c>
      <c r="EI12" s="147">
        <v>417</v>
      </c>
      <c r="EJ12" s="147">
        <v>417</v>
      </c>
      <c r="EK12" s="147">
        <v>417</v>
      </c>
      <c r="EL12" s="147">
        <v>417</v>
      </c>
      <c r="EM12" s="147">
        <v>417</v>
      </c>
      <c r="EN12" s="147">
        <v>417</v>
      </c>
      <c r="EO12" s="147">
        <v>417</v>
      </c>
    </row>
    <row r="13" spans="1:145" ht="29.25" customHeight="1" x14ac:dyDescent="0.25">
      <c r="A13" s="3" t="s">
        <v>54</v>
      </c>
      <c r="B13" s="147">
        <v>3092</v>
      </c>
      <c r="C13" s="147">
        <v>3092</v>
      </c>
      <c r="D13" s="147">
        <v>3092</v>
      </c>
      <c r="E13" s="147">
        <v>3092</v>
      </c>
      <c r="F13" s="147">
        <v>3092</v>
      </c>
      <c r="G13" s="147">
        <v>3092</v>
      </c>
      <c r="H13" s="147">
        <v>3092</v>
      </c>
      <c r="I13" s="147">
        <v>3092</v>
      </c>
      <c r="J13" s="147">
        <v>3092</v>
      </c>
      <c r="K13" s="147">
        <v>3092</v>
      </c>
      <c r="L13" s="147">
        <v>3092</v>
      </c>
      <c r="M13" s="147">
        <v>3092</v>
      </c>
      <c r="N13" s="147">
        <v>3092</v>
      </c>
      <c r="O13" s="147">
        <v>3092</v>
      </c>
      <c r="P13" s="147">
        <v>3092</v>
      </c>
      <c r="Q13" s="147">
        <v>3092</v>
      </c>
      <c r="R13" s="147">
        <v>3092</v>
      </c>
      <c r="S13" s="147">
        <v>3092</v>
      </c>
      <c r="T13" s="147">
        <v>3092</v>
      </c>
      <c r="U13" s="147">
        <v>3092</v>
      </c>
      <c r="V13" s="147">
        <v>3092</v>
      </c>
      <c r="W13" s="147">
        <v>3092</v>
      </c>
      <c r="X13" s="147">
        <v>3092</v>
      </c>
      <c r="Y13" s="147">
        <v>3092</v>
      </c>
      <c r="Z13" s="147">
        <v>3092</v>
      </c>
      <c r="AA13" s="147">
        <v>3092</v>
      </c>
      <c r="AB13" s="147">
        <v>3092</v>
      </c>
      <c r="AC13" s="147">
        <v>3092</v>
      </c>
      <c r="AD13" s="147">
        <v>3092</v>
      </c>
      <c r="AE13" s="147">
        <v>3092</v>
      </c>
      <c r="AF13" s="147">
        <v>3092</v>
      </c>
      <c r="AG13" s="147">
        <v>3092</v>
      </c>
      <c r="AH13" s="147">
        <v>3092</v>
      </c>
      <c r="AI13" s="147">
        <v>3092</v>
      </c>
      <c r="AJ13" s="147">
        <v>3092</v>
      </c>
      <c r="AK13" s="147">
        <v>3092</v>
      </c>
      <c r="AL13" s="148">
        <v>3092</v>
      </c>
      <c r="AM13" s="149">
        <v>3092</v>
      </c>
      <c r="AN13" s="148">
        <v>3092</v>
      </c>
      <c r="AO13" s="149">
        <v>3092</v>
      </c>
      <c r="AP13" s="148">
        <v>3092</v>
      </c>
      <c r="AQ13" s="149">
        <v>3092</v>
      </c>
      <c r="AR13" s="148">
        <v>3092</v>
      </c>
      <c r="AS13" s="149">
        <v>3092</v>
      </c>
      <c r="AT13" s="148">
        <v>3092</v>
      </c>
      <c r="AU13" s="149">
        <v>3092</v>
      </c>
      <c r="AV13" s="148">
        <v>3092</v>
      </c>
      <c r="AW13" s="149">
        <v>3092</v>
      </c>
      <c r="AX13" s="148">
        <v>3092</v>
      </c>
      <c r="AY13" s="149">
        <v>3092</v>
      </c>
      <c r="AZ13" s="148">
        <v>3092</v>
      </c>
      <c r="BA13" s="149">
        <v>3092</v>
      </c>
      <c r="BB13" s="148">
        <v>3092</v>
      </c>
      <c r="BC13" s="149">
        <v>3092</v>
      </c>
      <c r="BD13" s="148">
        <v>3092</v>
      </c>
      <c r="BE13" s="149">
        <v>3092</v>
      </c>
      <c r="BF13" s="148">
        <v>3092</v>
      </c>
      <c r="BG13" s="149">
        <v>3092</v>
      </c>
      <c r="BH13" s="148">
        <v>3092</v>
      </c>
      <c r="BI13" s="149">
        <v>3092</v>
      </c>
      <c r="BJ13" s="148">
        <v>3092</v>
      </c>
      <c r="BK13" s="149">
        <v>3092</v>
      </c>
      <c r="BL13" s="148">
        <v>3092</v>
      </c>
      <c r="BM13" s="149">
        <v>3092</v>
      </c>
      <c r="BN13" s="148">
        <v>3092</v>
      </c>
      <c r="BO13" s="149">
        <v>3092</v>
      </c>
      <c r="BP13" s="148">
        <v>3092</v>
      </c>
      <c r="BQ13" s="149">
        <v>3092</v>
      </c>
      <c r="BR13" s="148">
        <v>3092</v>
      </c>
      <c r="BS13" s="149">
        <v>3092</v>
      </c>
      <c r="BT13" s="148">
        <v>3092</v>
      </c>
      <c r="BU13" s="149">
        <v>3092</v>
      </c>
      <c r="BV13" s="150">
        <v>3092</v>
      </c>
      <c r="BW13" s="151">
        <v>3092</v>
      </c>
      <c r="BX13" s="150">
        <v>3092</v>
      </c>
      <c r="BY13" s="151">
        <v>3092</v>
      </c>
      <c r="BZ13" s="150">
        <v>3092</v>
      </c>
      <c r="CA13" s="151">
        <v>3092</v>
      </c>
      <c r="CB13" s="150">
        <v>3092</v>
      </c>
      <c r="CC13" s="151">
        <v>3092</v>
      </c>
      <c r="CD13" s="150">
        <v>3092</v>
      </c>
      <c r="CE13" s="151">
        <v>3092</v>
      </c>
      <c r="CF13" s="150">
        <v>3092</v>
      </c>
      <c r="CG13" s="151">
        <v>3092</v>
      </c>
      <c r="CH13" s="150">
        <v>3092</v>
      </c>
      <c r="CI13" s="151">
        <v>3092</v>
      </c>
      <c r="CJ13" s="150">
        <v>3092</v>
      </c>
      <c r="CK13" s="151">
        <v>3092</v>
      </c>
      <c r="CL13" s="150">
        <v>3092</v>
      </c>
      <c r="CM13" s="151">
        <v>3092</v>
      </c>
      <c r="CN13" s="150">
        <v>3092</v>
      </c>
      <c r="CO13" s="151">
        <v>3092</v>
      </c>
      <c r="CP13" s="150">
        <v>3092</v>
      </c>
      <c r="CQ13" s="151">
        <v>3092</v>
      </c>
      <c r="CR13" s="150">
        <v>3092</v>
      </c>
      <c r="CS13" s="151">
        <v>3092</v>
      </c>
      <c r="CT13" s="150">
        <v>3092</v>
      </c>
      <c r="CU13" s="151">
        <v>3092</v>
      </c>
      <c r="CV13" s="150">
        <v>3092</v>
      </c>
      <c r="CW13" s="151">
        <v>3092</v>
      </c>
      <c r="CX13" s="150">
        <v>3092</v>
      </c>
      <c r="CY13" s="151">
        <v>3092</v>
      </c>
      <c r="CZ13" s="150">
        <v>3092</v>
      </c>
      <c r="DA13" s="151">
        <v>3092</v>
      </c>
      <c r="DB13" s="150">
        <v>3092</v>
      </c>
      <c r="DC13" s="151">
        <v>3092</v>
      </c>
      <c r="DD13" s="150">
        <v>3092</v>
      </c>
      <c r="DE13" s="151">
        <v>3092</v>
      </c>
      <c r="DF13" s="152">
        <v>3092</v>
      </c>
      <c r="DG13" s="153">
        <v>3092</v>
      </c>
      <c r="DH13" s="152">
        <v>3092</v>
      </c>
      <c r="DI13" s="153">
        <v>3092</v>
      </c>
      <c r="DJ13" s="152">
        <v>3092</v>
      </c>
      <c r="DK13" s="153">
        <v>3092</v>
      </c>
      <c r="DL13" s="152">
        <v>3092</v>
      </c>
      <c r="DM13" s="153">
        <v>3092</v>
      </c>
      <c r="DN13" s="152">
        <v>3092</v>
      </c>
      <c r="DO13" s="153">
        <v>3092</v>
      </c>
      <c r="DP13" s="152">
        <v>3092</v>
      </c>
      <c r="DQ13" s="153">
        <v>3092</v>
      </c>
      <c r="DR13" s="152">
        <v>3092</v>
      </c>
      <c r="DS13" s="153">
        <v>3092</v>
      </c>
      <c r="DT13" s="152">
        <v>3092</v>
      </c>
      <c r="DU13" s="153">
        <v>3092</v>
      </c>
      <c r="DV13" s="152">
        <v>3092</v>
      </c>
      <c r="DW13" s="153">
        <v>3092</v>
      </c>
      <c r="DX13" s="152">
        <v>3092</v>
      </c>
      <c r="DY13" s="153">
        <v>3092</v>
      </c>
      <c r="DZ13" s="152">
        <v>3092</v>
      </c>
      <c r="EA13" s="153">
        <v>3092</v>
      </c>
      <c r="EB13" s="152">
        <v>3092</v>
      </c>
      <c r="EC13" s="153">
        <v>3092</v>
      </c>
      <c r="ED13" s="152">
        <v>3092</v>
      </c>
      <c r="EE13" s="153">
        <v>3092</v>
      </c>
      <c r="EF13" s="152">
        <v>3092</v>
      </c>
      <c r="EG13" s="153">
        <v>3092</v>
      </c>
      <c r="EH13" s="152">
        <v>3092</v>
      </c>
      <c r="EI13" s="153">
        <v>3092</v>
      </c>
      <c r="EJ13" s="152">
        <v>3092</v>
      </c>
      <c r="EK13" s="153">
        <v>3092</v>
      </c>
      <c r="EL13" s="152">
        <v>3092</v>
      </c>
      <c r="EM13" s="153">
        <v>3092</v>
      </c>
      <c r="EN13" s="152">
        <v>3092</v>
      </c>
      <c r="EO13" s="153">
        <v>3092</v>
      </c>
    </row>
    <row r="14" spans="1:145" ht="29.25" customHeight="1" x14ac:dyDescent="0.25">
      <c r="A14" s="18" t="s">
        <v>108</v>
      </c>
      <c r="B14" s="147">
        <v>400</v>
      </c>
      <c r="C14" s="147">
        <v>400</v>
      </c>
      <c r="D14" s="147">
        <v>400</v>
      </c>
      <c r="E14" s="147">
        <v>400</v>
      </c>
      <c r="F14" s="147">
        <v>400</v>
      </c>
      <c r="G14" s="147">
        <v>400</v>
      </c>
      <c r="H14" s="147">
        <v>400</v>
      </c>
      <c r="I14" s="147">
        <v>400</v>
      </c>
      <c r="J14" s="147">
        <v>400</v>
      </c>
      <c r="K14" s="147">
        <v>400</v>
      </c>
      <c r="L14" s="147">
        <v>400</v>
      </c>
      <c r="M14" s="147">
        <v>400</v>
      </c>
      <c r="N14" s="147">
        <v>400</v>
      </c>
      <c r="O14" s="147">
        <v>400</v>
      </c>
      <c r="P14" s="147">
        <v>400</v>
      </c>
      <c r="Q14" s="147">
        <v>400</v>
      </c>
      <c r="R14" s="147">
        <v>400</v>
      </c>
      <c r="S14" s="147">
        <v>400</v>
      </c>
      <c r="T14" s="147">
        <v>400</v>
      </c>
      <c r="U14" s="147">
        <v>400</v>
      </c>
      <c r="V14" s="147">
        <v>400</v>
      </c>
      <c r="W14" s="147">
        <v>400</v>
      </c>
      <c r="X14" s="147">
        <v>400</v>
      </c>
      <c r="Y14" s="147">
        <v>400</v>
      </c>
      <c r="Z14" s="147">
        <v>400</v>
      </c>
      <c r="AA14" s="147">
        <v>400</v>
      </c>
      <c r="AB14" s="147">
        <v>400</v>
      </c>
      <c r="AC14" s="147">
        <v>400</v>
      </c>
      <c r="AD14" s="147">
        <v>400</v>
      </c>
      <c r="AE14" s="147">
        <v>400</v>
      </c>
      <c r="AF14" s="147">
        <v>400</v>
      </c>
      <c r="AG14" s="147">
        <v>400</v>
      </c>
      <c r="AH14" s="147">
        <v>400</v>
      </c>
      <c r="AI14" s="147">
        <v>400</v>
      </c>
      <c r="AJ14" s="147">
        <v>400</v>
      </c>
      <c r="AK14" s="147">
        <v>400</v>
      </c>
      <c r="AL14" s="147">
        <v>400</v>
      </c>
      <c r="AM14" s="147">
        <v>400</v>
      </c>
      <c r="AN14" s="147">
        <v>400</v>
      </c>
      <c r="AO14" s="147">
        <v>400</v>
      </c>
      <c r="AP14" s="147">
        <v>400</v>
      </c>
      <c r="AQ14" s="147">
        <v>400</v>
      </c>
      <c r="AR14" s="147">
        <v>400</v>
      </c>
      <c r="AS14" s="147">
        <v>400</v>
      </c>
      <c r="AT14" s="147">
        <v>400</v>
      </c>
      <c r="AU14" s="147">
        <v>400</v>
      </c>
      <c r="AV14" s="147">
        <v>400</v>
      </c>
      <c r="AW14" s="147">
        <v>400</v>
      </c>
      <c r="AX14" s="147">
        <v>400</v>
      </c>
      <c r="AY14" s="147">
        <v>400</v>
      </c>
      <c r="AZ14" s="147">
        <v>400</v>
      </c>
      <c r="BA14" s="147">
        <v>400</v>
      </c>
      <c r="BB14" s="147">
        <v>400</v>
      </c>
      <c r="BC14" s="147">
        <v>400</v>
      </c>
      <c r="BD14" s="147">
        <v>400</v>
      </c>
      <c r="BE14" s="147">
        <v>400</v>
      </c>
      <c r="BF14" s="147">
        <v>400</v>
      </c>
      <c r="BG14" s="147">
        <v>400</v>
      </c>
      <c r="BH14" s="147">
        <v>400</v>
      </c>
      <c r="BI14" s="147">
        <v>400</v>
      </c>
      <c r="BJ14" s="147">
        <v>400</v>
      </c>
      <c r="BK14" s="147">
        <v>400</v>
      </c>
      <c r="BL14" s="147">
        <v>400</v>
      </c>
      <c r="BM14" s="147">
        <v>400</v>
      </c>
      <c r="BN14" s="147">
        <v>400</v>
      </c>
      <c r="BO14" s="147">
        <v>400</v>
      </c>
      <c r="BP14" s="147">
        <v>400</v>
      </c>
      <c r="BQ14" s="147">
        <v>400</v>
      </c>
      <c r="BR14" s="147">
        <v>400</v>
      </c>
      <c r="BS14" s="147">
        <v>400</v>
      </c>
      <c r="BT14" s="147">
        <v>400</v>
      </c>
      <c r="BU14" s="147">
        <v>400</v>
      </c>
      <c r="BV14" s="147">
        <v>400</v>
      </c>
      <c r="BW14" s="147">
        <v>400</v>
      </c>
      <c r="BX14" s="147">
        <v>400</v>
      </c>
      <c r="BY14" s="147">
        <v>400</v>
      </c>
      <c r="BZ14" s="147">
        <v>400</v>
      </c>
      <c r="CA14" s="147">
        <v>400</v>
      </c>
      <c r="CB14" s="147">
        <v>400</v>
      </c>
      <c r="CC14" s="147">
        <v>400</v>
      </c>
      <c r="CD14" s="147">
        <v>400</v>
      </c>
      <c r="CE14" s="147">
        <v>400</v>
      </c>
      <c r="CF14" s="147">
        <v>400</v>
      </c>
      <c r="CG14" s="147">
        <v>400</v>
      </c>
      <c r="CH14" s="147">
        <v>400</v>
      </c>
      <c r="CI14" s="147">
        <v>400</v>
      </c>
      <c r="CJ14" s="147">
        <v>400</v>
      </c>
      <c r="CK14" s="147">
        <v>400</v>
      </c>
      <c r="CL14" s="147">
        <v>400</v>
      </c>
      <c r="CM14" s="147">
        <v>400</v>
      </c>
      <c r="CN14" s="147">
        <v>400</v>
      </c>
      <c r="CO14" s="147">
        <v>400</v>
      </c>
      <c r="CP14" s="147">
        <v>400</v>
      </c>
      <c r="CQ14" s="147">
        <v>400</v>
      </c>
      <c r="CR14" s="147">
        <v>400</v>
      </c>
      <c r="CS14" s="147">
        <v>400</v>
      </c>
      <c r="CT14" s="147">
        <v>400</v>
      </c>
      <c r="CU14" s="147">
        <v>400</v>
      </c>
      <c r="CV14" s="147">
        <v>400</v>
      </c>
      <c r="CW14" s="147">
        <v>400</v>
      </c>
      <c r="CX14" s="147">
        <v>400</v>
      </c>
      <c r="CY14" s="147">
        <v>400</v>
      </c>
      <c r="CZ14" s="147">
        <v>400</v>
      </c>
      <c r="DA14" s="147">
        <v>400</v>
      </c>
      <c r="DB14" s="147">
        <v>400</v>
      </c>
      <c r="DC14" s="147">
        <v>400</v>
      </c>
      <c r="DD14" s="147">
        <v>400</v>
      </c>
      <c r="DE14" s="147">
        <v>400</v>
      </c>
      <c r="DF14" s="147">
        <v>400</v>
      </c>
      <c r="DG14" s="147">
        <v>400</v>
      </c>
      <c r="DH14" s="147">
        <v>400</v>
      </c>
      <c r="DI14" s="147">
        <v>400</v>
      </c>
      <c r="DJ14" s="147">
        <v>400</v>
      </c>
      <c r="DK14" s="147">
        <v>400</v>
      </c>
      <c r="DL14" s="147">
        <v>400</v>
      </c>
      <c r="DM14" s="147">
        <v>400</v>
      </c>
      <c r="DN14" s="147">
        <v>400</v>
      </c>
      <c r="DO14" s="147">
        <v>400</v>
      </c>
      <c r="DP14" s="147">
        <v>400</v>
      </c>
      <c r="DQ14" s="147">
        <v>400</v>
      </c>
      <c r="DR14" s="147">
        <v>400</v>
      </c>
      <c r="DS14" s="147">
        <v>400</v>
      </c>
      <c r="DT14" s="147">
        <v>400</v>
      </c>
      <c r="DU14" s="147">
        <v>400</v>
      </c>
      <c r="DV14" s="147">
        <v>400</v>
      </c>
      <c r="DW14" s="147">
        <v>400</v>
      </c>
      <c r="DX14" s="147">
        <v>400</v>
      </c>
      <c r="DY14" s="147">
        <v>400</v>
      </c>
      <c r="DZ14" s="147">
        <v>400</v>
      </c>
      <c r="EA14" s="147">
        <v>400</v>
      </c>
      <c r="EB14" s="147">
        <v>400</v>
      </c>
      <c r="EC14" s="147">
        <v>400</v>
      </c>
      <c r="ED14" s="147">
        <v>400</v>
      </c>
      <c r="EE14" s="147">
        <v>400</v>
      </c>
      <c r="EF14" s="147">
        <v>400</v>
      </c>
      <c r="EG14" s="147">
        <v>400</v>
      </c>
      <c r="EH14" s="147">
        <v>400</v>
      </c>
      <c r="EI14" s="147">
        <v>400</v>
      </c>
      <c r="EJ14" s="147">
        <v>400</v>
      </c>
      <c r="EK14" s="147">
        <v>400</v>
      </c>
      <c r="EL14" s="147">
        <v>400</v>
      </c>
      <c r="EM14" s="147">
        <v>400</v>
      </c>
      <c r="EN14" s="147">
        <v>400</v>
      </c>
      <c r="EO14" s="147">
        <v>400</v>
      </c>
    </row>
    <row r="15" spans="1:145" s="165" customFormat="1" ht="19.5" customHeight="1" x14ac:dyDescent="0.25">
      <c r="A15" s="101" t="s">
        <v>7</v>
      </c>
      <c r="B15" s="163">
        <f ca="1">RANDBETWEEN(1130,1230)/1000*((B$5)/(4*B$10*B$12)*1000)</f>
        <v>59.769403020629852</v>
      </c>
      <c r="C15" s="163">
        <f ca="1">RANDBETWEEN(1130,1230)/1000*((C$5)/(4*C$10*C$12)*1000)</f>
        <v>5.3588916945913461</v>
      </c>
      <c r="D15" s="163">
        <f ca="1">RANDBETWEEN(1300,1350)/1000*((D$5)/(4*D$10*D$12)*1000)</f>
        <v>66.525496257644207</v>
      </c>
      <c r="E15" s="163">
        <f ca="1">RANDBETWEEN(1300,1350)/1000*((E$5)/(4*E$10*E$12)*1000)</f>
        <v>5.5188725731743373</v>
      </c>
      <c r="F15" s="163">
        <f ca="1">RANDBETWEEN(1500,1550)/1000*((F$5)/(4*F$10*F$12)*1000)</f>
        <v>74.997276872085607</v>
      </c>
      <c r="G15" s="163">
        <f ca="1">RANDBETWEEN(1500,1550)/1000*((G$5)/(4*G$10*G$12)*1000)</f>
        <v>8.1951453977409283</v>
      </c>
      <c r="H15" s="163">
        <f ca="1">RANDBETWEEN(1130,1230)/1000*((H$5)/(4*H$10*H$12)*1000)</f>
        <v>60.96169422078232</v>
      </c>
      <c r="I15" s="163">
        <f ca="1">RANDBETWEEN(1130,1230)/1000*((I$5)/(4*I$10*I$12)*1000)</f>
        <v>4.9305368067576856</v>
      </c>
      <c r="J15" s="163">
        <f ca="1">RANDBETWEEN(1300,1350)/1000*((J$5)/(4*J$10*J$12)*1000)</f>
        <v>69.748037186689004</v>
      </c>
      <c r="K15" s="163">
        <f ca="1">RANDBETWEEN(1300,1350)/1000*((K$5)/(4*K$10*K$12)*1000)</f>
        <v>4.3493971945731085</v>
      </c>
      <c r="L15" s="163">
        <f ca="1">RANDBETWEEN(1500,1550)/1000*((L$5)/(4*L$10*L$12)*1000)</f>
        <v>81.209725802631155</v>
      </c>
      <c r="M15" s="163">
        <f ca="1">RANDBETWEEN(1500,1550)/1000*((M$5)/(4*M$10*M$12)*1000)</f>
        <v>7.0676839926760824</v>
      </c>
      <c r="N15" s="163">
        <f ca="1">RANDBETWEEN(1130,1230)/1000*((N$5)/(4*N$10*N$12)*1000)</f>
        <v>72.006015496653461</v>
      </c>
      <c r="O15" s="163">
        <f ca="1">RANDBETWEEN(1130,1230)/1000*((O$5)/(4*O$10*O$12)*1000)</f>
        <v>4.8621588380509717</v>
      </c>
      <c r="P15" s="163">
        <f ca="1">RANDBETWEEN(1300,1350)/1000*((P$5)/(4*P$10*P$12)*1000)</f>
        <v>76.919589058385583</v>
      </c>
      <c r="Q15" s="163">
        <f ca="1">RANDBETWEEN(1300,1350)/1000*((Q$5)/(4*Q$10*Q$12)*1000)</f>
        <v>5.9475707105548423</v>
      </c>
      <c r="R15" s="163">
        <f ca="1">RANDBETWEEN(1500,1550)/1000*((R$5)/(4*R$10*R$12)*1000)</f>
        <v>86.865057341293507</v>
      </c>
      <c r="S15" s="163">
        <f ca="1">RANDBETWEEN(1500,1550)/1000*((S$5)/(4*S$10*S$12)*1000)</f>
        <v>6.2491895452635715</v>
      </c>
      <c r="T15" s="163">
        <f ca="1">RANDBETWEEN(1130,1230)/1000*((T$5)/(4*T$10*T$12)*1000)</f>
        <v>15.680435783823274</v>
      </c>
      <c r="U15" s="163">
        <f ca="1">RANDBETWEEN(1130,1230)/1000*((U$5)/(4*U$10*U$12)*1000)</f>
        <v>1.2165543503387137</v>
      </c>
      <c r="V15" s="163">
        <f ca="1">RANDBETWEEN(1300,1350)/1000*((V$5)/(4*V$10*V$12)*1000)</f>
        <v>16.646524164950662</v>
      </c>
      <c r="W15" s="163">
        <f ca="1">RANDBETWEEN(1300,1350)/1000*((W$5)/(4*W$10*W$12)*1000)</f>
        <v>0.96186929331804927</v>
      </c>
      <c r="X15" s="163">
        <f ca="1">RANDBETWEEN(1500,1550)/1000*((X$5)/(4*X$10*X$12)*1000)</f>
        <v>19.136370788012705</v>
      </c>
      <c r="Y15" s="163">
        <f ca="1">RANDBETWEEN(1500,1550)/1000*((Y$5)/(4*Y$10*Y$12)*1000)</f>
        <v>0.90770930479841072</v>
      </c>
      <c r="Z15" s="164">
        <f ca="1">RANDBETWEEN(1065,1115)/1000*((Z$5)/(4*Z$10*Z$12)*1000)</f>
        <v>38.326742579446389</v>
      </c>
      <c r="AA15" s="164">
        <f ca="1">RANDBETWEEN(1065,1115)/1000*((AA$5)/(4*AA$10*AA$12)*1000)</f>
        <v>2.3440849969031401</v>
      </c>
      <c r="AB15" s="164">
        <f ca="1">RANDBETWEEN(1150,1175)/1000*((AB$5)/(4*AB$10*AB$12)*1000)</f>
        <v>39.039519069675762</v>
      </c>
      <c r="AC15" s="164">
        <f ca="1">RANDBETWEEN(1150,1175)/1000*((AC$5)/(4*AC$10*AC$12)*1000)</f>
        <v>2.8900167537203112</v>
      </c>
      <c r="AD15" s="164">
        <f ca="1">RANDBETWEEN(1250,1300)/1000*((AD$5)/(4*AD$10*AD$12)*1000)</f>
        <v>43.035986783752527</v>
      </c>
      <c r="AE15" s="164">
        <f ca="1">RANDBETWEEN(1250,1300)/1000*((AE$5)/(4*AE$10*AE$12)*1000)</f>
        <v>3.3559309725975526</v>
      </c>
      <c r="AF15" s="164">
        <f ca="1">RANDBETWEEN(1350,1400)/1000*((AF$5)/(4*AF$10*AF$12)*1000)</f>
        <v>77.148810752722341</v>
      </c>
      <c r="AG15" s="164">
        <f ca="1">RANDBETWEEN(1350,1400)/1000*((AG$5)/(4*AG$10*AG$12)*1000)</f>
        <v>6.1248131737435658</v>
      </c>
      <c r="AH15" s="164">
        <f ca="1">RANDBETWEEN(1550,1600)/1000*((AH$5)/(4*AH$10*AH$12)*1000)</f>
        <v>89.169370257218873</v>
      </c>
      <c r="AI15" s="164">
        <f ca="1">RANDBETWEEN(1550,1600)/1000*((AI$5)/(4*AI$10*AI$12)*1000)</f>
        <v>5.4618113728195521</v>
      </c>
      <c r="AJ15" s="164">
        <f ca="1">RANDBETWEEN(1750,1800)/1000*((AJ$5)/(4*AJ$10*AJ$12)*1000)</f>
        <v>99.87214266078125</v>
      </c>
      <c r="AK15" s="164">
        <f ca="1">RANDBETWEEN(1750,1800)/1000*((AK$5)/(4*AK$10*AK$12)*1000)</f>
        <v>8.7847297360381358</v>
      </c>
      <c r="AL15" s="163">
        <f ca="1">RANDBETWEEN(1130,1230)/1000*((AL$5)/(4*AL$10*AL$12)*1000)</f>
        <v>59.289345565490208</v>
      </c>
      <c r="AM15" s="163">
        <f ca="1">RANDBETWEEN(1130,1230)/1000*((AM$5)/(4*AM$10*AM$12)*1000)</f>
        <v>5.9872631695967735</v>
      </c>
      <c r="AN15" s="163">
        <f ca="1">RANDBETWEEN(1300,1350)/1000*((AN$5)/(4*AN$10*AN$12)*1000)</f>
        <v>64.789869618364435</v>
      </c>
      <c r="AO15" s="163">
        <f ca="1">RANDBETWEEN(1300,1350)/1000*((AO$5)/(4*AO$10*AO$12)*1000)</f>
        <v>6.4304720607075971</v>
      </c>
      <c r="AP15" s="163">
        <f ca="1">RANDBETWEEN(1500,1550)/1000*((AP$5)/(4*AP$10*AP$12)*1000)</f>
        <v>74.668772552253799</v>
      </c>
      <c r="AQ15" s="163">
        <f ca="1">RANDBETWEEN(1500,1550)/1000*((AQ$5)/(4*AQ$10*AQ$12)*1000)</f>
        <v>8.0986688659166397</v>
      </c>
      <c r="AR15" s="163">
        <f ca="1">RANDBETWEEN(1130,1230)/1000*((AR$5)/(4*AR$10*AR$12)*1000)</f>
        <v>63.933621314868638</v>
      </c>
      <c r="AS15" s="163">
        <f ca="1">RANDBETWEEN(1130,1230)/1000*((AS$5)/(4*AS$10*AS$12)*1000)</f>
        <v>5.2959839633811727</v>
      </c>
      <c r="AT15" s="163">
        <f ca="1">RANDBETWEEN(1300,1350)/1000*((AT$5)/(4*AT$10*AT$12)*1000)</f>
        <v>71.026610578876486</v>
      </c>
      <c r="AU15" s="163">
        <f ca="1">RANDBETWEEN(1300,1350)/1000*((AU$5)/(4*AU$10*AU$12)*1000)</f>
        <v>4.8534352042518831</v>
      </c>
      <c r="AV15" s="163">
        <f ca="1">RANDBETWEEN(1500,1550)/1000*((AV$5)/(4*AV$10*AV$12)*1000)</f>
        <v>80.431386685892818</v>
      </c>
      <c r="AW15" s="163">
        <f ca="1">RANDBETWEEN(1500,1550)/1000*((AW$5)/(4*AW$10*AW$12)*1000)</f>
        <v>6.5833994664398254</v>
      </c>
      <c r="AX15" s="163">
        <f ca="1">RANDBETWEEN(1130,1230)/1000*((AX$5)/(4*AX$10*AX$12)*1000)</f>
        <v>67.490378558080693</v>
      </c>
      <c r="AY15" s="163">
        <f ca="1">RANDBETWEEN(1130,1230)/1000*((AY$5)/(4*AY$10*AY$12)*1000)</f>
        <v>4.9630935428257841</v>
      </c>
      <c r="AZ15" s="163">
        <f ca="1">RANDBETWEEN(1300,1350)/1000*((AZ$5)/(4*AZ$10*AZ$12)*1000)</f>
        <v>75.313246158660675</v>
      </c>
      <c r="BA15" s="163">
        <f ca="1">RANDBETWEEN(1300,1350)/1000*((BA$5)/(4*BA$10*BA$12)*1000)</f>
        <v>5.8892611937846979</v>
      </c>
      <c r="BB15" s="163">
        <f ca="1">RANDBETWEEN(1500,1550)/1000*((BB$5)/(4*BB$10*BB$12)*1000)</f>
        <v>87.045172801917076</v>
      </c>
      <c r="BC15" s="163">
        <f ca="1">RANDBETWEEN(1500,1550)/1000*((BC$5)/(4*BC$10*BC$12)*1000)</f>
        <v>6.7654600184308205</v>
      </c>
      <c r="BD15" s="163">
        <f ca="1">RANDBETWEEN(1130,1230)/1000*((BD$5)/(4*BD$10*BD$12)*1000)</f>
        <v>14.91522014176738</v>
      </c>
      <c r="BE15" s="163">
        <f ca="1">RANDBETWEEN(1130,1230)/1000*((BE$5)/(4*BE$10*BE$12)*1000)</f>
        <v>0.90444200930646212</v>
      </c>
      <c r="BF15" s="163">
        <f ca="1">RANDBETWEEN(1300,1350)/1000*((BF$5)/(4*BF$10*BF$12)*1000)</f>
        <v>16.912785561024865</v>
      </c>
      <c r="BG15" s="163">
        <f ca="1">RANDBETWEEN(1300,1350)/1000*((BG$5)/(4*BG$10*BG$12)*1000)</f>
        <v>0.68985907164679205</v>
      </c>
      <c r="BH15" s="163">
        <f ca="1">RANDBETWEEN(1500,1550)/1000*((BH$5)/(4*BH$10*BH$12)*1000)</f>
        <v>20.741676305674996</v>
      </c>
      <c r="BI15" s="163">
        <f ca="1">RANDBETWEEN(1500,1550)/1000*((BI$5)/(4*BI$10*BI$12)*1000)</f>
        <v>2.7666979610255558</v>
      </c>
      <c r="BJ15" s="164">
        <f ca="1">RANDBETWEEN(1065,1115)/1000*((BJ$5)/(4*BJ$10*BJ$12)*1000)</f>
        <v>38.155663548631303</v>
      </c>
      <c r="BK15" s="164">
        <f ca="1">RANDBETWEEN(1065,1115)/1000*((BK$5)/(4*BK$10*BK$12)*1000)</f>
        <v>2.6730050837916868</v>
      </c>
      <c r="BL15" s="164">
        <f ca="1">RANDBETWEEN(1150,1175)/1000*((BL$5)/(4*BL$10*BL$12)*1000)</f>
        <v>38.901491928303066</v>
      </c>
      <c r="BM15" s="164">
        <f ca="1">RANDBETWEEN(1150,1175)/1000*((BM$5)/(4*BM$10*BM$12)*1000)</f>
        <v>2.9659185413025027</v>
      </c>
      <c r="BN15" s="164">
        <f ca="1">RANDBETWEEN(1250,1300)/1000*((BN$5)/(4*BN$10*BN$12)*1000)</f>
        <v>42.759462221138733</v>
      </c>
      <c r="BO15" s="164">
        <f ca="1">RANDBETWEEN(1250,1300)/1000*((BO$5)/(4*BO$10*BO$12)*1000)</f>
        <v>3.7504819504165954</v>
      </c>
      <c r="BP15" s="164">
        <f ca="1">RANDBETWEEN(1350,1400)/1000*((BP$5)/(4*BP$10*BP$12)*1000)</f>
        <v>78.045524992809291</v>
      </c>
      <c r="BQ15" s="164">
        <f ca="1">RANDBETWEEN(1350,1400)/1000*((BQ$5)/(4*BQ$10*BQ$12)*1000)</f>
        <v>6.199050825564715</v>
      </c>
      <c r="BR15" s="164">
        <f ca="1">RANDBETWEEN(1550,1600)/1000*((BR$5)/(4*BR$10*BR$12)*1000)</f>
        <v>88.718190624140917</v>
      </c>
      <c r="BS15" s="164">
        <f ca="1">RANDBETWEEN(1550,1600)/1000*((BS$5)/(4*BS$10*BS$12)*1000)</f>
        <v>6.2351615463217023</v>
      </c>
      <c r="BT15" s="164">
        <f ca="1">RANDBETWEEN(1750,1800)/1000*((BT$5)/(4*BT$10*BT$12)*1000)</f>
        <v>97.065165574822046</v>
      </c>
      <c r="BU15" s="164">
        <f ca="1">RANDBETWEEN(1750,1800)/1000*((BU$5)/(4*BU$10*BU$12)*1000)</f>
        <v>8.1599228187745378</v>
      </c>
      <c r="BV15" s="163">
        <f ca="1">RANDBETWEEN(1130,1230)/1000*((BV$5)/(4*BV$10*BV$12)*1000)</f>
        <v>60.48075446927227</v>
      </c>
      <c r="BW15" s="163">
        <f ca="1">RANDBETWEEN(1130,1230)/1000*((BW$5)/(4*BW$10*BW$12)*1000)</f>
        <v>6.2518638510824909</v>
      </c>
      <c r="BX15" s="163">
        <f ca="1">RANDBETWEEN(1300,1350)/1000*((BX$5)/(4*BX$10*BX$12)*1000)</f>
        <v>65.823750516529813</v>
      </c>
      <c r="BY15" s="163">
        <f ca="1">RANDBETWEEN(1300,1350)/1000*((BY$5)/(4*BY$10*BY$12)*1000)</f>
        <v>5.927341760333622</v>
      </c>
      <c r="BZ15" s="163">
        <f ca="1">RANDBETWEEN(1500,1550)/1000*((BZ$5)/(4*BZ$10*BZ$12)*1000)</f>
        <v>74.258790516253171</v>
      </c>
      <c r="CA15" s="163">
        <f ca="1">RANDBETWEEN(1500,1550)/1000*((CA$5)/(4*CA$10*CA$12)*1000)</f>
        <v>8.1156992214447623</v>
      </c>
      <c r="CB15" s="163">
        <f ca="1">RANDBETWEEN(1130,1230)/1000*((CB$5)/(4*CB$10*CB$12)*1000)</f>
        <v>62.24821467329447</v>
      </c>
      <c r="CC15" s="163">
        <f ca="1">RANDBETWEEN(1130,1230)/1000*((CC$5)/(4*CC$10*CC$12)*1000)</f>
        <v>4.5222100465323107</v>
      </c>
      <c r="CD15" s="163">
        <f ca="1">RANDBETWEEN(1300,1350)/1000*((CD$5)/(4*CD$10*CD$12)*1000)</f>
        <v>69.905719260208272</v>
      </c>
      <c r="CE15" s="163">
        <f ca="1">RANDBETWEEN(1300,1350)/1000*((CE$5)/(4*CE$10*CE$12)*1000)</f>
        <v>4.4166541316334094</v>
      </c>
      <c r="CF15" s="163">
        <f ca="1">RANDBETWEEN(1500,1550)/1000*((CF$5)/(4*CF$10*CF$12)*1000)</f>
        <v>79.66899731836736</v>
      </c>
      <c r="CG15" s="163">
        <f ca="1">RANDBETWEEN(1500,1550)/1000*((CG$5)/(4*CG$10*CG$12)*1000)</f>
        <v>6.9439761817078418</v>
      </c>
      <c r="CH15" s="163">
        <f ca="1">RANDBETWEEN(1130,1230)/1000*((CH$5)/(4*CH$10*CH$12)*1000)</f>
        <v>67.332182818866315</v>
      </c>
      <c r="CI15" s="163">
        <f ca="1">RANDBETWEEN(1130,1230)/1000*((CI$5)/(4*CI$10*CI$12)*1000)</f>
        <v>4.7855755130994542</v>
      </c>
      <c r="CJ15" s="163">
        <f ca="1">RANDBETWEEN(1300,1350)/1000*((CJ$5)/(4*CJ$10*CJ$12)*1000)</f>
        <v>77.03011347230796</v>
      </c>
      <c r="CK15" s="163">
        <f ca="1">RANDBETWEEN(1300,1350)/1000*((CK$5)/(4*CK$10*CK$12)*1000)</f>
        <v>6.2618974755307493</v>
      </c>
      <c r="CL15" s="163">
        <f ca="1">RANDBETWEEN(1500,1550)/1000*((CL$5)/(4*CL$10*CL$12)*1000)</f>
        <v>84.466889358016104</v>
      </c>
      <c r="CM15" s="163">
        <f ca="1">RANDBETWEEN(1500,1550)/1000*((CM$5)/(4*CM$10*CM$12)*1000)</f>
        <v>7.0696723082961173</v>
      </c>
      <c r="CN15" s="163">
        <f ca="1">RANDBETWEEN(1130,1230)/1000*((CN$5)/(4*CN$10*CN$12)*1000)</f>
        <v>14.763024017871796</v>
      </c>
      <c r="CO15" s="163">
        <f ca="1">RANDBETWEEN(1130,1230)/1000*((CO$5)/(4*CO$10*CO$12)*1000)</f>
        <v>1.172924794821979</v>
      </c>
      <c r="CP15" s="163">
        <f ca="1">RANDBETWEEN(1300,1350)/1000*((CP$5)/(4*CP$10*CP$12)*1000)</f>
        <v>16.742265884480592</v>
      </c>
      <c r="CQ15" s="163">
        <f ca="1">RANDBETWEEN(1300,1350)/1000*((CQ$5)/(4*CQ$10*CQ$12)*1000)</f>
        <v>1.1402557838372416</v>
      </c>
      <c r="CR15" s="163">
        <f ca="1">RANDBETWEEN(1500,1550)/1000*((CR$5)/(4*CR$10*CR$12)*1000)</f>
        <v>20.128539158579407</v>
      </c>
      <c r="CS15" s="163">
        <f ca="1">RANDBETWEEN(1500,1550)/1000*((CS$5)/(4*CS$10*CS$12)*1000)</f>
        <v>2.6480403852836973</v>
      </c>
      <c r="CT15" s="164">
        <f ca="1">RANDBETWEEN(1065,1115)/1000*((CT$5)/(4*CT$10*CT$12)*1000)</f>
        <v>38.355090761827626</v>
      </c>
      <c r="CU15" s="164">
        <f ca="1">RANDBETWEEN(1065,1115)/1000*((CU$5)/(4*CU$10*CU$12)*1000)</f>
        <v>1.9428166076410396</v>
      </c>
      <c r="CV15" s="164">
        <f ca="1">RANDBETWEEN(1150,1175)/1000*((CV$5)/(4*CV$10*CV$12)*1000)</f>
        <v>39.303228505875907</v>
      </c>
      <c r="CW15" s="164">
        <f ca="1">RANDBETWEEN(1150,1175)/1000*((CW$5)/(4*CW$10*CW$12)*1000)</f>
        <v>2.2660314430503181</v>
      </c>
      <c r="CX15" s="164">
        <f ca="1">RANDBETWEEN(1250,1300)/1000*((CX$5)/(4*CX$10*CX$12)*1000)</f>
        <v>41.985793052652326</v>
      </c>
      <c r="CY15" s="164">
        <f ca="1">RANDBETWEEN(1250,1300)/1000*((CY$5)/(4*CY$10*CY$12)*1000)</f>
        <v>2.7641909543742078</v>
      </c>
      <c r="CZ15" s="164">
        <f ca="1">RANDBETWEEN(1350,1400)/1000*((CZ$5)/(4*CZ$10*CZ$12)*1000)</f>
        <v>78.121942446043178</v>
      </c>
      <c r="DA15" s="164">
        <f ca="1">RANDBETWEEN(1350,1400)/1000*((DA$5)/(4*DA$10*DA$12)*1000)</f>
        <v>5.4058408902017465</v>
      </c>
      <c r="DB15" s="164">
        <f ca="1">RANDBETWEEN(1550,1600)/1000*((DB$5)/(4*DB$10*DB$12)*1000)</f>
        <v>89.339351532472648</v>
      </c>
      <c r="DC15" s="164">
        <f ca="1">RANDBETWEEN(1550,1600)/1000*((DC$5)/(4*DC$10*DC$12)*1000)</f>
        <v>5.6728921693214991</v>
      </c>
      <c r="DD15" s="164">
        <f ca="1">RANDBETWEEN(1750,1800)/1000*((DD$5)/(4*DD$10*DD$12)*1000)</f>
        <v>100.50819077974823</v>
      </c>
      <c r="DE15" s="164">
        <f ca="1">RANDBETWEEN(1750,1800)/1000*((DE$5)/(4*DE$10*DE$12)*1000)</f>
        <v>8.5489060806149606</v>
      </c>
      <c r="DF15" s="163">
        <f ca="1">RANDBETWEEN(1130,1230)/1000*((DF$5)/(4*DF$10*DF$12)*1000)</f>
        <v>59.354547267263456</v>
      </c>
      <c r="DG15" s="163">
        <f ca="1">RANDBETWEEN(1130,1230)/1000*((DG$5)/(4*DG$10*DG$12)*1000)</f>
        <v>6.9644505146434739</v>
      </c>
      <c r="DH15" s="163">
        <f ca="1">RANDBETWEEN(1300,1350)/1000*((DH$5)/(4*DH$10*DH$12)*1000)</f>
        <v>68.22373270813776</v>
      </c>
      <c r="DI15" s="163">
        <f ca="1">RANDBETWEEN(1300,1350)/1000*((DI$5)/(4*DI$10*DI$12)*1000)</f>
        <v>6.3523766423054786</v>
      </c>
      <c r="DJ15" s="163">
        <f ca="1">RANDBETWEEN(1500,1550)/1000*((DJ$5)/(4*DJ$10*DJ$12)*1000)</f>
        <v>77.50975139138869</v>
      </c>
      <c r="DK15" s="163">
        <f ca="1">RANDBETWEEN(1500,1550)/1000*((DK$5)/(4*DK$10*DK$12)*1000)</f>
        <v>8.4692462900623973</v>
      </c>
      <c r="DL15" s="163">
        <f ca="1">RANDBETWEEN(1130,1230)/1000*((DL$5)/(4*DL$10*DL$12)*1000)</f>
        <v>64.211412327091978</v>
      </c>
      <c r="DM15" s="163">
        <f ca="1">RANDBETWEEN(1130,1230)/1000*((DM$5)/(4*DM$10*DM$12)*1000)</f>
        <v>6.032789662309888</v>
      </c>
      <c r="DN15" s="163">
        <f ca="1">RANDBETWEEN(1300,1350)/1000*((DN$5)/(4*DN$10*DN$12)*1000)</f>
        <v>75.047206070759813</v>
      </c>
      <c r="DO15" s="163">
        <f ca="1">RANDBETWEEN(1300,1350)/1000*((DO$5)/(4*DO$10*DO$12)*1000)</f>
        <v>4.630406705637653</v>
      </c>
      <c r="DP15" s="163">
        <f ca="1">RANDBETWEEN(1500,1550)/1000*((DP$5)/(4*DP$10*DP$12)*1000)</f>
        <v>84.339270616671769</v>
      </c>
      <c r="DQ15" s="163">
        <f ca="1">RANDBETWEEN(1500,1550)/1000*((DQ$5)/(4*DQ$10*DQ$12)*1000)</f>
        <v>7.2061907071314817</v>
      </c>
      <c r="DR15" s="163">
        <f ca="1">RANDBETWEEN(1130,1230)/1000*((DR$5)/(4*DR$10*DR$12)*1000)</f>
        <v>71.340064592917287</v>
      </c>
      <c r="DS15" s="163">
        <f ca="1">RANDBETWEEN(1130,1230)/1000*((DS$5)/(4*DS$10*DS$12)*1000)</f>
        <v>5.2244424328087185</v>
      </c>
      <c r="DT15" s="163">
        <f ca="1">RANDBETWEEN(1300,1350)/1000*((DT$5)/(4*DT$10*DT$12)*1000)</f>
        <v>81.041631179555282</v>
      </c>
      <c r="DU15" s="163">
        <f ca="1">RANDBETWEEN(1300,1350)/1000*((DU$5)/(4*DU$10*DU$12)*1000)</f>
        <v>6.6301179676302215</v>
      </c>
      <c r="DV15" s="163">
        <f ca="1">RANDBETWEEN(1500,1550)/1000*((DV$5)/(4*DV$10*DV$12)*1000)</f>
        <v>91.110218602335152</v>
      </c>
      <c r="DW15" s="163">
        <f ca="1">RANDBETWEEN(1500,1550)/1000*((DW$5)/(4*DW$10*DW$12)*1000)</f>
        <v>7.4607356076206095</v>
      </c>
      <c r="DX15" s="163">
        <f ca="1">RANDBETWEEN(1130,1230)/1000*((DX$5)/(4*DX$10*DX$12)*1000)</f>
        <v>15.573757947284557</v>
      </c>
      <c r="DY15" s="163">
        <f ca="1">RANDBETWEEN(1130,1230)/1000*((DY$5)/(4*DY$10*DY$12)*1000)</f>
        <v>1.2556332417509701</v>
      </c>
      <c r="DZ15" s="163">
        <f ca="1">RANDBETWEEN(1300,1350)/1000*((DZ$5)/(4*DZ$10*DZ$12)*1000)</f>
        <v>17.949545194414043</v>
      </c>
      <c r="EA15" s="163">
        <f ca="1">RANDBETWEEN(1300,1350)/1000*((EA$5)/(4*EA$10*EA$12)*1000)</f>
        <v>1.1947140196998853</v>
      </c>
      <c r="EB15" s="163">
        <f ca="1">RANDBETWEEN(1500,1550)/1000*((EB$5)/(4*EB$10*EB$12)*1000)</f>
        <v>21.396096673634418</v>
      </c>
      <c r="EC15" s="163">
        <f ca="1">RANDBETWEEN(1500,1550)/1000*((EC$5)/(4*EC$10*EC$12)*1000)</f>
        <v>2.8096909768508191</v>
      </c>
      <c r="ED15" s="164">
        <f ca="1">RANDBETWEEN(1065,1115)/1000*((ED$5)/(4*ED$10*ED$12)*1000)</f>
        <v>39.130571039856868</v>
      </c>
      <c r="EE15" s="164">
        <f ca="1">RANDBETWEEN(1065,1115)/1000*((EE$5)/(4*EE$10*EE$12)*1000)</f>
        <v>1.6013679122926827</v>
      </c>
      <c r="EF15" s="164">
        <f ca="1">RANDBETWEEN(1150,1175)/1000*((EF$5)/(4*EF$10*EF$12)*1000)</f>
        <v>41.069028154549187</v>
      </c>
      <c r="EG15" s="164">
        <f ca="1">RANDBETWEEN(1150,1175)/1000*((EG$5)/(4*EG$10*EG$12)*1000)</f>
        <v>2.3124110661002559</v>
      </c>
      <c r="EH15" s="164">
        <f ca="1">RANDBETWEEN(1250,1300)/1000*((EH$5)/(4*EH$10*EH$12)*1000)</f>
        <v>45.433115875576391</v>
      </c>
      <c r="EI15" s="164">
        <f ca="1">RANDBETWEEN(1250,1300)/1000*((EI$5)/(4*EI$10*EI$12)*1000)</f>
        <v>2.5092543124836828</v>
      </c>
      <c r="EJ15" s="164">
        <f ca="1">RANDBETWEEN(1350,1400)/1000*((EJ$5)/(4*EJ$10*EJ$12)*1000)</f>
        <v>78.326121442801607</v>
      </c>
      <c r="EK15" s="164">
        <f ca="1">RANDBETWEEN(1350,1400)/1000*((EK$5)/(4*EK$10*EK$12)*1000)</f>
        <v>7.3632050650870031</v>
      </c>
      <c r="EL15" s="164">
        <f ca="1">RANDBETWEEN(1550,1600)/1000*((EL$5)/(4*EL$10*EL$12)*1000)</f>
        <v>92.605243717354881</v>
      </c>
      <c r="EM15" s="164">
        <f ca="1">RANDBETWEEN(1550,1600)/1000*((EM$5)/(4*EM$10*EM$12)*1000)</f>
        <v>5.9028056516574781</v>
      </c>
      <c r="EN15" s="164">
        <f ca="1">RANDBETWEEN(1750,1800)/1000*((EN$5)/(4*EN$10*EN$12)*1000)</f>
        <v>104.62981987805573</v>
      </c>
      <c r="EO15" s="164">
        <f ca="1">RANDBETWEEN(1750,1800)/1000*((EO$5)/(4*EO$10*EO$12)*1000)</f>
        <v>9.0064264262706626</v>
      </c>
    </row>
    <row r="16" spans="1:145" s="165" customFormat="1" ht="19.5" customHeight="1" x14ac:dyDescent="0.25">
      <c r="A16" s="101" t="s">
        <v>8</v>
      </c>
      <c r="B16" s="163">
        <f ca="1">RANDBETWEEN(1130,1230)/1000*((B$5)/(4*B$10*B$12)*1000)</f>
        <v>59.356488319278348</v>
      </c>
      <c r="C16" s="163">
        <f ca="1">RANDBETWEEN(1130,1230)/1000*((C$5)/(4*C$10*C$12)*1000)</f>
        <v>5.5365861835917567</v>
      </c>
      <c r="D16" s="163">
        <f ca="1">RANDBETWEEN(650,700)/1000*((D$5)/(4*D$10*D$12)*1000)</f>
        <v>32.891235677643898</v>
      </c>
      <c r="E16" s="163">
        <f ca="1">RANDBETWEEN(650,700)/1000*((E$5)/(4*E$10*E$12)*1000)</f>
        <v>2.6937354226208075</v>
      </c>
      <c r="F16" s="163">
        <f ca="1">RANDBETWEEN(450,500)/1000*((F$5)/(4*F$10*F$12)*1000)</f>
        <v>22.973474140658634</v>
      </c>
      <c r="G16" s="163">
        <f ca="1">RANDBETWEEN(450,500)/1000*((G$5)/(4*G$10*G$12)*1000)</f>
        <v>2.486950598137208</v>
      </c>
      <c r="H16" s="163">
        <f ca="1">RANDBETWEEN(1130,1230)/1000*((H$5)/(4*H$10*H$12)*1000)</f>
        <v>61.815051270242094</v>
      </c>
      <c r="I16" s="163">
        <f ca="1">RANDBETWEEN(1130,1230)/1000*((I$5)/(4*I$10*I$12)*1000)</f>
        <v>4.7853990538253726</v>
      </c>
      <c r="J16" s="163">
        <f ca="1">RANDBETWEEN(650,700)/1000*((J$5)/(4*J$10*J$12)*1000)</f>
        <v>34.742616865411783</v>
      </c>
      <c r="K16" s="163">
        <f ca="1">RANDBETWEEN(650,700)/1000*((K$5)/(4*K$10*K$12)*1000)</f>
        <v>2.2206892020630074</v>
      </c>
      <c r="L16" s="163">
        <f ca="1">RANDBETWEEN(450,500)/1000*((L$5)/(4*L$10*L$12)*1000)</f>
        <v>24.257450564422292</v>
      </c>
      <c r="M16" s="163">
        <f ca="1">RANDBETWEEN(450,500)/1000*((M$5)/(4*M$10*M$12)*1000)</f>
        <v>2.1800584046101257</v>
      </c>
      <c r="N16" s="163">
        <f ca="1">RANDBETWEEN(1130,1230)/1000*((N$5)/(4*N$10*N$12)*1000)</f>
        <v>69.879504784693225</v>
      </c>
      <c r="O16" s="163">
        <f ca="1">RANDBETWEEN(1130,1230)/1000*((O$5)/(4*O$10*O$12)*1000)</f>
        <v>4.618645039818035</v>
      </c>
      <c r="P16" s="163">
        <f ca="1">RANDBETWEEN(650,700)/1000*((P$5)/(4*P$10*P$12)*1000)</f>
        <v>40.453578017182501</v>
      </c>
      <c r="Q16" s="163">
        <f ca="1">RANDBETWEEN(650,700)/1000*((Q$5)/(4*Q$10*Q$12)*1000)</f>
        <v>2.9451276757973575</v>
      </c>
      <c r="R16" s="163">
        <f ca="1">RANDBETWEEN(450,500)/1000*((R$5)/(4*R$10*R$12)*1000)</f>
        <v>28.135357611531539</v>
      </c>
      <c r="S16" s="163">
        <f ca="1">RANDBETWEEN(450,500)/1000*((S$5)/(4*S$10*S$12)*1000)</f>
        <v>2.0664650687524957</v>
      </c>
      <c r="T16" s="163">
        <f ca="1">RANDBETWEEN(1130,1230)/1000*((T$5)/(4*T$10*T$12)*1000)</f>
        <v>15.408070894277953</v>
      </c>
      <c r="U16" s="163">
        <f ca="1">RANDBETWEEN(1130,1230)/1000*((U$5)/(4*U$10*U$12)*1000)</f>
        <v>1.2003200971231844</v>
      </c>
      <c r="V16" s="163">
        <f ca="1">RANDBETWEEN(650,700)/1000*((V$5)/(4*V$10*V$12)*1000)</f>
        <v>8.7745232797179682</v>
      </c>
      <c r="W16" s="163">
        <f ca="1">RANDBETWEEN(650,700)/1000*((W$5)/(4*W$10*W$12)*1000)</f>
        <v>0.50555085852010528</v>
      </c>
      <c r="X16" s="163">
        <f ca="1">RANDBETWEEN(450,500)/1000*((X$5)/(4*X$10*X$12)*1000)</f>
        <v>6.2943588892404465</v>
      </c>
      <c r="Y16" s="163">
        <f ca="1">RANDBETWEEN(450,500)/1000*((Y$5)/(4*Y$10*Y$12)*1000)</f>
        <v>0.28925669846242685</v>
      </c>
      <c r="Z16" s="164">
        <f ca="1">RANDBETWEEN(1065,1115)/1000*((Z$5)/(4*Z$10*Z$12)*1000)</f>
        <v>38.326742579446389</v>
      </c>
      <c r="AA16" s="164">
        <f ca="1">RANDBETWEEN(1065,1115)/1000*((AA$5)/(4*AA$10*AA$12)*1000)</f>
        <v>2.3567900646370323</v>
      </c>
      <c r="AB16" s="164">
        <f ca="1">RANDBETWEEN(850,900)/1000*((AB$5)/(4*AB$10*AB$12)*1000)</f>
        <v>28.664910033040613</v>
      </c>
      <c r="AC16" s="164">
        <f ca="1">RANDBETWEEN(850,900)/1000*((AC$5)/(4*AC$10*AC$12)*1000)</f>
        <v>2.1385631221050554</v>
      </c>
      <c r="AD16" s="164">
        <f ca="1">RANDBETWEEN(700,750)/1000*((AD$5)/(4*AD$10*AD$12)*1000)</f>
        <v>25.028735483134767</v>
      </c>
      <c r="AE16" s="164">
        <f ca="1">RANDBETWEEN(700,750)/1000*((AE$5)/(4*AE$10*AE$12)*1000)</f>
        <v>1.8387597060059231</v>
      </c>
      <c r="AF16" s="164">
        <f ca="1">RANDBETWEEN(1350,1400)/1000*((AF$5)/(4*AF$10*AF$12)*1000)</f>
        <v>76.64383671870452</v>
      </c>
      <c r="AG16" s="164">
        <f ca="1">RANDBETWEEN(1350,1400)/1000*((AG$5)/(4*AG$10*AG$12)*1000)</f>
        <v>5.9760677109526519</v>
      </c>
      <c r="AH16" s="164">
        <f ca="1">RANDBETWEEN(400,450)/1000*((AH$5)/(4*AH$10*AH$12)*1000)</f>
        <v>25.228133109950395</v>
      </c>
      <c r="AI16" s="164">
        <f ca="1">RANDBETWEEN(400,450)/1000*((AI$5)/(4*AI$10*AI$12)*1000)</f>
        <v>1.5654873361584702</v>
      </c>
      <c r="AJ16" s="164">
        <f ca="1">RANDBETWEEN(200,250)/1000*((AJ$5)/(4*AJ$10*AJ$12)*1000)</f>
        <v>11.510687628700211</v>
      </c>
      <c r="AK16" s="164">
        <f ca="1">RANDBETWEEN(200,250)/1000*((AK$5)/(4*AK$10*AK$12)*1000)</f>
        <v>1.1915723081232203</v>
      </c>
      <c r="AL16" s="163">
        <f ca="1">RANDBETWEEN(1130,1230)/1000*((AL$5)/(4*AL$10*AL$12)*1000)</f>
        <v>61.32122999172406</v>
      </c>
      <c r="AM16" s="163">
        <f ca="1">RANDBETWEEN(1130,1230)/1000*((AM$5)/(4*AM$10*AM$12)*1000)</f>
        <v>6.2731271936093522</v>
      </c>
      <c r="AN16" s="163">
        <f ca="1">RANDBETWEEN(650,700)/1000*((AN$5)/(4*AN$10*AN$12)*1000)</f>
        <v>33.674977825958415</v>
      </c>
      <c r="AO16" s="163">
        <f ca="1">RANDBETWEEN(650,700)/1000*((AO$5)/(4*AO$10*AO$12)*1000)</f>
        <v>3.3211786734995563</v>
      </c>
      <c r="AP16" s="163">
        <f ca="1">RANDBETWEEN(450,500)/1000*((AP$5)/(4*AP$10*AP$12)*1000)</f>
        <v>24.018290774734215</v>
      </c>
      <c r="AQ16" s="163">
        <f ca="1">RANDBETWEEN(450,500)/1000*((AQ$5)/(4*AQ$10*AQ$12)*1000)</f>
        <v>2.6638242398150696</v>
      </c>
      <c r="AR16" s="163">
        <f ca="1">RANDBETWEEN(1130,1230)/1000*((AR$5)/(4*AR$10*AR$12)*1000)</f>
        <v>64.365240699272817</v>
      </c>
      <c r="AS16" s="163">
        <f ca="1">RANDBETWEEN(1130,1230)/1000*((AS$5)/(4*AS$10*AS$12)*1000)</f>
        <v>5.2311351801560964</v>
      </c>
      <c r="AT16" s="163">
        <f ca="1">RANDBETWEEN(650,700)/1000*((AT$5)/(4*AT$10*AT$12)*1000)</f>
        <v>36.461731840194751</v>
      </c>
      <c r="AU16" s="163">
        <f ca="1">RANDBETWEEN(650,700)/1000*((AU$5)/(4*AU$10*AU$12)*1000)</f>
        <v>2.4285546328618435</v>
      </c>
      <c r="AV16" s="163">
        <f ca="1">RANDBETWEEN(450,500)/1000*((AV$5)/(4*AV$10*AV$12)*1000)</f>
        <v>25.9337303048693</v>
      </c>
      <c r="AW16" s="163">
        <f ca="1">RANDBETWEEN(450,500)/1000*((AW$5)/(4*AW$10*AW$12)*1000)</f>
        <v>2.1391682616415877</v>
      </c>
      <c r="AX16" s="163">
        <f ca="1">RANDBETWEEN(1130,1230)/1000*((AX$5)/(4*AX$10*AX$12)*1000)</f>
        <v>68.130925722997759</v>
      </c>
      <c r="AY16" s="163">
        <f ca="1">RANDBETWEEN(1130,1230)/1000*((AY$5)/(4*AY$10*AY$12)*1000)</f>
        <v>4.9328307773207491</v>
      </c>
      <c r="AZ16" s="163">
        <f ca="1">RANDBETWEEN(650,700)/1000*((AZ$5)/(4*AZ$10*AZ$12)*1000)</f>
        <v>37.313249616600885</v>
      </c>
      <c r="BA16" s="163">
        <f ca="1">RANDBETWEEN(650,700)/1000*((BA$5)/(4*BA$10*BA$12)*1000)</f>
        <v>2.8420378333238241</v>
      </c>
      <c r="BB16" s="163">
        <f ca="1">RANDBETWEEN(450,500)/1000*((BB$5)/(4*BB$10*BB$12)*1000)</f>
        <v>26.897587913807381</v>
      </c>
      <c r="BC16" s="163">
        <f ca="1">RANDBETWEEN(450,500)/1000*((BC$5)/(4*BC$10*BC$12)*1000)</f>
        <v>2.1847266238919461</v>
      </c>
      <c r="BD16" s="163">
        <f ca="1">RANDBETWEEN(1130,1230)/1000*((BD$5)/(4*BD$10*BD$12)*1000)</f>
        <v>15.745284567048348</v>
      </c>
      <c r="BE16" s="163">
        <f ca="1">RANDBETWEEN(1130,1230)/1000*((BE$5)/(4*BE$10*BE$12)*1000)</f>
        <v>0.89094287483920154</v>
      </c>
      <c r="BF16" s="163">
        <f ca="1">RANDBETWEEN(650,700)/1000*((BF$5)/(4*BF$10*BF$12)*1000)</f>
        <v>8.7466868610374853</v>
      </c>
      <c r="BG16" s="163">
        <f ca="1">RANDBETWEEN(650,700)/1000*((BG$5)/(4*BG$10*BG$12)*1000)</f>
        <v>0.34285477169814249</v>
      </c>
      <c r="BH16" s="163">
        <f ca="1">RANDBETWEEN(450,500)/1000*((BH$5)/(4*BH$10*BH$12)*1000)</f>
        <v>6.2816077347206596</v>
      </c>
      <c r="BI16" s="163">
        <f ca="1">RANDBETWEEN(450,500)/1000*((BI$5)/(4*BI$10*BI$12)*1000)</f>
        <v>0.86958551399687745</v>
      </c>
      <c r="BJ16" s="164">
        <f ca="1">RANDBETWEEN(1065,1115)/1000*((BJ$5)/(4*BJ$10*BJ$12)*1000)</f>
        <v>38.828790389322108</v>
      </c>
      <c r="BK16" s="164">
        <f ca="1">RANDBETWEEN(1065,1115)/1000*((BK$5)/(4*BK$10*BK$12)*1000)</f>
        <v>2.7347658297203297</v>
      </c>
      <c r="BL16" s="164">
        <f ca="1">RANDBETWEEN(850,900)/1000*((BL$5)/(4*BL$10*BL$12)*1000)</f>
        <v>29.695028692258887</v>
      </c>
      <c r="BM16" s="164">
        <f ca="1">RANDBETWEEN(850,900)/1000*((BM$5)/(4*BM$10*BM$12)*1000)</f>
        <v>2.1829976537875688</v>
      </c>
      <c r="BN16" s="164">
        <f ca="1">RANDBETWEEN(700,750)/1000*((BN$5)/(4*BN$10*BN$12)*1000)</f>
        <v>24.314204008098496</v>
      </c>
      <c r="BO16" s="164">
        <f ca="1">RANDBETWEEN(700,750)/1000*((BO$5)/(4*BO$10*BO$12)*1000)</f>
        <v>2.0868669159841557</v>
      </c>
      <c r="BP16" s="164">
        <f ca="1">RANDBETWEEN(1350,1400)/1000*((BP$5)/(4*BP$10*BP$12)*1000)</f>
        <v>78.735684388471569</v>
      </c>
      <c r="BQ16" s="164">
        <f ca="1">RANDBETWEEN(1350,1400)/1000*((BQ$5)/(4*BQ$10*BQ$12)*1000)</f>
        <v>6.3318222243397351</v>
      </c>
      <c r="BR16" s="164">
        <f ca="1">RANDBETWEEN(400,450)/1000*((BR$5)/(4*BR$10*BR$12)*1000)</f>
        <v>22.61444074733004</v>
      </c>
      <c r="BS16" s="164">
        <f ca="1">RANDBETWEEN(400,450)/1000*((BS$5)/(4*BS$10*BS$12)*1000)</f>
        <v>1.6192691124677761</v>
      </c>
      <c r="BT16" s="164">
        <f ca="1">RANDBETWEEN(200,250)/1000*((BT$5)/(4*BT$10*BT$12)*1000)</f>
        <v>12.340668143207136</v>
      </c>
      <c r="BU16" s="164">
        <f ca="1">RANDBETWEEN(200,250)/1000*((BU$5)/(4*BU$10*BU$12)*1000)</f>
        <v>1.010717712780028</v>
      </c>
      <c r="BV16" s="163">
        <f ca="1">RANDBETWEEN(1130,1230)/1000*((BV$5)/(4*BV$10*BV$12)*1000)</f>
        <v>57.729313238151207</v>
      </c>
      <c r="BW16" s="163">
        <f ca="1">RANDBETWEEN(1130,1230)/1000*((BW$5)/(4*BW$10*BW$12)*1000)</f>
        <v>6.3872081143032613</v>
      </c>
      <c r="BX16" s="163">
        <f ca="1">RANDBETWEEN(650,700)/1000*((BX$5)/(4*BX$10*BX$12)*1000)</f>
        <v>33.724210249680574</v>
      </c>
      <c r="BY16" s="163">
        <f ca="1">RANDBETWEEN(650,700)/1000*((BY$5)/(4*BY$10*BY$12)*1000)</f>
        <v>2.959132333642819</v>
      </c>
      <c r="BZ16" s="163">
        <f ca="1">RANDBETWEEN(450,500)/1000*((BZ$5)/(4*BZ$10*BZ$12)*1000)</f>
        <v>22.438963032890197</v>
      </c>
      <c r="CA16" s="163">
        <f ca="1">RANDBETWEEN(450,500)/1000*((CA$5)/(4*CA$10*CA$12)*1000)</f>
        <v>2.5259388739909299</v>
      </c>
      <c r="CB16" s="163">
        <f ca="1">RANDBETWEEN(1130,1230)/1000*((CB$5)/(4*CB$10*CB$12)*1000)</f>
        <v>62.627116849566704</v>
      </c>
      <c r="CC16" s="163">
        <f ca="1">RANDBETWEEN(1130,1230)/1000*((CC$5)/(4*CC$10*CC$12)*1000)</f>
        <v>4.3234727890976403</v>
      </c>
      <c r="CD16" s="163">
        <f ca="1">RANDBETWEEN(650,700)/1000*((CD$5)/(4*CD$10*CD$12)*1000)</f>
        <v>35.793830688873562</v>
      </c>
      <c r="CE16" s="163">
        <f ca="1">RANDBETWEEN(650,700)/1000*((CE$5)/(4*CE$10*CE$12)*1000)</f>
        <v>2.3297007671440348</v>
      </c>
      <c r="CF16" s="163">
        <f ca="1">RANDBETWEEN(450,500)/1000*((CF$5)/(4*CF$10*CF$12)*1000)</f>
        <v>24.788244386466314</v>
      </c>
      <c r="CG16" s="163">
        <f ca="1">RANDBETWEEN(450,500)/1000*((CG$5)/(4*CG$10*CG$12)*1000)</f>
        <v>2.0559615753684004</v>
      </c>
      <c r="CH16" s="163">
        <f ca="1">RANDBETWEEN(1130,1230)/1000*((CH$5)/(4*CH$10*CH$12)*1000)</f>
        <v>71.027945855236339</v>
      </c>
      <c r="CI16" s="163">
        <f ca="1">RANDBETWEEN(1130,1230)/1000*((CI$5)/(4*CI$10*CI$12)*1000)</f>
        <v>5.1794326128501176</v>
      </c>
      <c r="CJ16" s="163">
        <f ca="1">RANDBETWEEN(650,700)/1000*((CJ$5)/(4*CJ$10*CJ$12)*1000)</f>
        <v>39.259032572067802</v>
      </c>
      <c r="CK16" s="163">
        <f ca="1">RANDBETWEEN(650,700)/1000*((CK$5)/(4*CK$10*CK$12)*1000)</f>
        <v>3.275966105270073</v>
      </c>
      <c r="CL16" s="163">
        <f ca="1">RANDBETWEEN(450,500)/1000*((CL$5)/(4*CL$10*CL$12)*1000)</f>
        <v>27.092097050549899</v>
      </c>
      <c r="CM16" s="163">
        <f ca="1">RANDBETWEEN(450,500)/1000*((CM$5)/(4*CM$10*CM$12)*1000)</f>
        <v>2.1076145572366909</v>
      </c>
      <c r="CN16" s="163">
        <f ca="1">RANDBETWEEN(1130,1230)/1000*((CN$5)/(4*CN$10*CN$12)*1000)</f>
        <v>14.737349193492889</v>
      </c>
      <c r="CO16" s="163">
        <f ca="1">RANDBETWEEN(1130,1230)/1000*((CO$5)/(4*CO$10*CO$12)*1000)</f>
        <v>1.243949652639919</v>
      </c>
      <c r="CP16" s="163">
        <f ca="1">RANDBETWEEN(650,700)/1000*((CP$5)/(4*CP$10*CP$12)*1000)</f>
        <v>8.4157619830595518</v>
      </c>
      <c r="CQ16" s="163">
        <f ca="1">RANDBETWEEN(650,700)/1000*((CQ$5)/(4*CQ$10*CQ$12)*1000)</f>
        <v>0.56450873907939259</v>
      </c>
      <c r="CR16" s="163">
        <f ca="1">RANDBETWEEN(450,500)/1000*((CR$5)/(4*CR$10*CR$12)*1000)</f>
        <v>6.0504253266456773</v>
      </c>
      <c r="CS16" s="163">
        <f ca="1">RANDBETWEEN(450,500)/1000*((CS$5)/(4*CS$10*CS$12)*1000)</f>
        <v>0.86701125040846905</v>
      </c>
      <c r="CT16" s="164">
        <f ca="1">RANDBETWEEN(1065,1115)/1000*((CT$5)/(4*CT$10*CT$12)*1000)</f>
        <v>37.835374084838094</v>
      </c>
      <c r="CU16" s="164">
        <f ca="1">RANDBETWEEN(1065,1115)/1000*((CU$5)/(4*CU$10*CU$12)*1000)</f>
        <v>1.9498749786043132</v>
      </c>
      <c r="CV16" s="164">
        <f ca="1">RANDBETWEEN(850,900)/1000*((CV$5)/(4*CV$10*CV$12)*1000)</f>
        <v>28.590253103933584</v>
      </c>
      <c r="CW16" s="164">
        <f ca="1">RANDBETWEEN(850,900)/1000*((CW$5)/(4*CW$10*CW$12)*1000)</f>
        <v>1.7214058601712716</v>
      </c>
      <c r="CX16" s="164">
        <f ca="1">RANDBETWEEN(700,750)/1000*((CX$5)/(4*CX$10*CX$12)*1000)</f>
        <v>23.336521554205806</v>
      </c>
      <c r="CY16" s="164">
        <f ca="1">RANDBETWEEN(700,750)/1000*((CY$5)/(4*CY$10*CY$12)*1000)</f>
        <v>1.5236549044830465</v>
      </c>
      <c r="CZ16" s="164">
        <f ca="1">RANDBETWEEN(1350,1400)/1000*((CZ$5)/(4*CZ$10*CZ$12)*1000)</f>
        <v>79.5590642717614</v>
      </c>
      <c r="DA16" s="164">
        <f ca="1">RANDBETWEEN(1350,1400)/1000*((DA$5)/(4*DA$10*DA$12)*1000)</f>
        <v>5.4806485937078158</v>
      </c>
      <c r="DB16" s="164">
        <f ca="1">RANDBETWEEN(400,450)/1000*((DB$5)/(4*DB$10*DB$12)*1000)</f>
        <v>24.751302519628133</v>
      </c>
      <c r="DC16" s="164">
        <f ca="1">RANDBETWEEN(400,450)/1000*((DC$5)/(4*DC$10*DC$12)*1000)</f>
        <v>1.5353570928405074</v>
      </c>
      <c r="DD16" s="164">
        <f ca="1">RANDBETWEEN(200,250)/1000*((DD$5)/(4*DD$10*DD$12)*1000)</f>
        <v>13.81498226076673</v>
      </c>
      <c r="DE16" s="164">
        <f ca="1">RANDBETWEEN(200,250)/1000*((DE$5)/(4*DE$10*DE$12)*1000)</f>
        <v>1.0014847530771345</v>
      </c>
      <c r="DF16" s="163">
        <f ca="1">RANDBETWEEN(1130,1230)/1000*((DF$5)/(4*DF$10*DF$12)*1000)</f>
        <v>62.24989103639826</v>
      </c>
      <c r="DG16" s="163">
        <f ca="1">RANDBETWEEN(1130,1230)/1000*((DG$5)/(4*DG$10*DG$12)*1000)</f>
        <v>7.2167431617619817</v>
      </c>
      <c r="DH16" s="163">
        <f ca="1">RANDBETWEEN(650,700)/1000*((DH$5)/(4*DH$10*DH$12)*1000)</f>
        <v>34.11186635406888</v>
      </c>
      <c r="DI16" s="163">
        <f ca="1">RANDBETWEEN(650,700)/1000*((DI$5)/(4*DI$10*DI$12)*1000)</f>
        <v>3.2500531658307099</v>
      </c>
      <c r="DJ16" s="163">
        <f ca="1">RANDBETWEEN(450,500)/1000*((DJ$5)/(4*DJ$10*DJ$12)*1000)</f>
        <v>24.596427774867344</v>
      </c>
      <c r="DK16" s="163">
        <f ca="1">RANDBETWEEN(450,500)/1000*((DK$5)/(4*DK$10*DK$12)*1000)</f>
        <v>2.516225347047524</v>
      </c>
      <c r="DL16" s="163">
        <f ca="1">RANDBETWEEN(1130,1230)/1000*((DL$5)/(4*DL$10*DL$12)*1000)</f>
        <v>64.90877937826339</v>
      </c>
      <c r="DM16" s="163">
        <f ca="1">RANDBETWEEN(1130,1230)/1000*((DM$5)/(4*DM$10*DM$12)*1000)</f>
        <v>5.6128165899951119</v>
      </c>
      <c r="DN16" s="163">
        <f ca="1">RANDBETWEEN(650,700)/1000*((DN$5)/(4*DN$10*DN$12)*1000)</f>
        <v>38.220032193423336</v>
      </c>
      <c r="DO16" s="163">
        <f ca="1">RANDBETWEEN(650,700)/1000*((DO$5)/(4*DO$10*DO$12)*1000)</f>
        <v>2.3647642808608196</v>
      </c>
      <c r="DP16" s="163">
        <f ca="1">RANDBETWEEN(450,500)/1000*((DP$5)/(4*DP$10*DP$12)*1000)</f>
        <v>25.886857276975821</v>
      </c>
      <c r="DQ16" s="163">
        <f ca="1">RANDBETWEEN(450,500)/1000*((DQ$5)/(4*DQ$10*DQ$12)*1000)</f>
        <v>2.2360737941730249</v>
      </c>
      <c r="DR16" s="163">
        <f ca="1">RANDBETWEEN(1130,1230)/1000*((DR$5)/(4*DR$10*DR$12)*1000)</f>
        <v>70.791763498693314</v>
      </c>
      <c r="DS16" s="163">
        <f ca="1">RANDBETWEEN(1130,1230)/1000*((DS$5)/(4*DS$10*DS$12)*1000)</f>
        <v>5.1124260856215678</v>
      </c>
      <c r="DT16" s="163">
        <f ca="1">RANDBETWEEN(650,700)/1000*((DT$5)/(4*DT$10*DT$12)*1000)</f>
        <v>40.611466183938219</v>
      </c>
      <c r="DU16" s="163">
        <f ca="1">RANDBETWEEN(650,700)/1000*((DU$5)/(4*DU$10*DU$12)*1000)</f>
        <v>3.3452416149272364</v>
      </c>
      <c r="DV16" s="163">
        <f ca="1">RANDBETWEEN(450,500)/1000*((DV$5)/(4*DV$10*DV$12)*1000)</f>
        <v>26.734358223586959</v>
      </c>
      <c r="DW16" s="163">
        <f ca="1">RANDBETWEEN(450,500)/1000*((DW$5)/(4*DW$10*DW$12)*1000)</f>
        <v>2.3175696213036781</v>
      </c>
      <c r="DX16" s="163">
        <f ca="1">RANDBETWEEN(1130,1230)/1000*((DX$5)/(4*DX$10*DX$12)*1000)</f>
        <v>16.060860715401191</v>
      </c>
      <c r="DY16" s="163">
        <f ca="1">RANDBETWEEN(1130,1230)/1000*((DY$5)/(4*DY$10*DY$12)*1000)</f>
        <v>1.2192380753234058</v>
      </c>
      <c r="DZ16" s="163">
        <f ca="1">RANDBETWEEN(650,700)/1000*((DZ$5)/(4*DZ$10*DZ$12)*1000)</f>
        <v>9.2586132968174848</v>
      </c>
      <c r="EA16" s="163">
        <f ca="1">RANDBETWEEN(650,700)/1000*((EA$5)/(4*EA$10*EA$12)*1000)</f>
        <v>0.6133780790796346</v>
      </c>
      <c r="EB16" s="163">
        <f ca="1">RANDBETWEEN(450,500)/1000*((EB$5)/(4*EB$10*EB$12)*1000)</f>
        <v>6.8634232186853259</v>
      </c>
      <c r="EC16" s="163">
        <f ca="1">RANDBETWEEN(450,500)/1000*((EC$5)/(4*EC$10*EC$12)*1000)</f>
        <v>0.89939359831529153</v>
      </c>
      <c r="ED16" s="164">
        <f ca="1">RANDBETWEEN(1065,1115)/1000*((ED$5)/(4*ED$10*ED$12)*1000)</f>
        <v>38.884466819480409</v>
      </c>
      <c r="EE16" s="164">
        <f ca="1">RANDBETWEEN(1065,1115)/1000*((EE$5)/(4*EE$10*EE$12)*1000)</f>
        <v>1.5911773892144563</v>
      </c>
      <c r="EF16" s="164">
        <f ca="1">RANDBETWEEN(850,900)/1000*((EF$5)/(4*EF$10*EF$12)*1000)</f>
        <v>30.56381751930828</v>
      </c>
      <c r="EG16" s="164">
        <f ca="1">RANDBETWEEN(850,900)/1000*((EG$5)/(4*EG$10*EG$12)*1000)</f>
        <v>1.781530795551014</v>
      </c>
      <c r="EH16" s="164">
        <f ca="1">RANDBETWEEN(700,750)/1000*((EH$5)/(4*EH$10*EH$12)*1000)</f>
        <v>24.736978790723729</v>
      </c>
      <c r="EI16" s="164">
        <f ca="1">RANDBETWEEN(700,750)/1000*((EI$5)/(4*EI$10*EI$12)*1000)</f>
        <v>1.4117040902245759</v>
      </c>
      <c r="EJ16" s="164">
        <f ca="1">RANDBETWEEN(1350,1400)/1000*((EJ$5)/(4*EJ$10*EJ$12)*1000)</f>
        <v>79.231625736938042</v>
      </c>
      <c r="EK16" s="164">
        <f ca="1">RANDBETWEEN(1350,1400)/1000*((EK$5)/(4*EK$10*EK$12)*1000)</f>
        <v>7.3684720214997981</v>
      </c>
      <c r="EL16" s="164">
        <f ca="1">RANDBETWEEN(400,450)/1000*((EL$5)/(4*EL$10*EL$12)*1000)</f>
        <v>25.887107519463878</v>
      </c>
      <c r="EM16" s="164">
        <f ca="1">RANDBETWEEN(400,450)/1000*((EM$5)/(4*EM$10*EM$12)*1000)</f>
        <v>1.5111480966632609</v>
      </c>
      <c r="EN16" s="164">
        <f ca="1">RANDBETWEEN(200,250)/1000*((EN$5)/(4*EN$10*EN$12)*1000)</f>
        <v>11.924292321297971</v>
      </c>
      <c r="EO16" s="164">
        <f ca="1">RANDBETWEEN(200,250)/1000*((EO$5)/(4*EO$10*EO$12)*1000)</f>
        <v>1.2542506600343373</v>
      </c>
    </row>
    <row r="17" spans="1:145" ht="29.25" customHeight="1" x14ac:dyDescent="0.25">
      <c r="A17" s="18" t="s">
        <v>50</v>
      </c>
      <c r="B17" s="147">
        <f t="shared" ref="B17:AG17" si="37">B5*B10*(1000/B7)/2</f>
        <v>43.207336956521736</v>
      </c>
      <c r="C17" s="147">
        <f t="shared" si="37"/>
        <v>3.9145108695652171</v>
      </c>
      <c r="D17" s="147">
        <f t="shared" si="37"/>
        <v>39.737549999999999</v>
      </c>
      <c r="E17" s="147">
        <f t="shared" si="37"/>
        <v>3.2941250000000002</v>
      </c>
      <c r="F17" s="147">
        <f t="shared" si="37"/>
        <v>39.633524999999999</v>
      </c>
      <c r="G17" s="147">
        <f t="shared" si="37"/>
        <v>4.2997000000000005</v>
      </c>
      <c r="H17" s="147">
        <f t="shared" si="37"/>
        <v>44.647581521739127</v>
      </c>
      <c r="I17" s="147">
        <f t="shared" si="37"/>
        <v>3.4713586956521736</v>
      </c>
      <c r="J17" s="147">
        <f t="shared" si="37"/>
        <v>42.1648</v>
      </c>
      <c r="K17" s="147">
        <f t="shared" si="37"/>
        <v>2.6353</v>
      </c>
      <c r="L17" s="147">
        <f t="shared" si="37"/>
        <v>42.3035</v>
      </c>
      <c r="M17" s="147">
        <f t="shared" si="37"/>
        <v>3.7449000000000003</v>
      </c>
      <c r="N17" s="147">
        <f t="shared" si="37"/>
        <v>49.44839673913043</v>
      </c>
      <c r="O17" s="147">
        <f t="shared" si="37"/>
        <v>3.3974999999999995</v>
      </c>
      <c r="P17" s="147">
        <f t="shared" si="37"/>
        <v>46.360474999999994</v>
      </c>
      <c r="Q17" s="147">
        <f t="shared" si="37"/>
        <v>3.5368499999999998</v>
      </c>
      <c r="R17" s="147">
        <f t="shared" si="37"/>
        <v>45.875025000000001</v>
      </c>
      <c r="S17" s="147">
        <f t="shared" si="37"/>
        <v>3.3287999999999998</v>
      </c>
      <c r="T17" s="147">
        <f t="shared" si="37"/>
        <v>10.857228260869565</v>
      </c>
      <c r="U17" s="147">
        <f t="shared" si="37"/>
        <v>0.84937499999999988</v>
      </c>
      <c r="V17" s="147">
        <f t="shared" si="37"/>
        <v>10.05575</v>
      </c>
      <c r="W17" s="147">
        <f t="shared" si="37"/>
        <v>0.58947499999999997</v>
      </c>
      <c r="X17" s="147">
        <f t="shared" si="37"/>
        <v>10.159775</v>
      </c>
      <c r="Y17" s="147">
        <f t="shared" si="37"/>
        <v>0.48544999999999999</v>
      </c>
      <c r="Z17" s="147">
        <f t="shared" si="37"/>
        <v>29.380989130434781</v>
      </c>
      <c r="AA17" s="147">
        <f t="shared" si="37"/>
        <v>1.7726086956521738</v>
      </c>
      <c r="AB17" s="147">
        <f t="shared" si="37"/>
        <v>27.021533999999999</v>
      </c>
      <c r="AC17" s="147">
        <f t="shared" si="37"/>
        <v>1.976475</v>
      </c>
      <c r="AD17" s="147">
        <f t="shared" si="37"/>
        <v>26.950797000000001</v>
      </c>
      <c r="AE17" s="147">
        <f t="shared" si="37"/>
        <v>2.0804999999999998</v>
      </c>
      <c r="AF17" s="147">
        <f t="shared" ca="1" si="37"/>
        <v>46.969255760869565</v>
      </c>
      <c r="AG17" s="147">
        <f t="shared" ca="1" si="37"/>
        <v>3.6622834239130433</v>
      </c>
      <c r="AH17" s="147">
        <f t="shared" ref="AH17:BM17" ca="1" si="38">AH5*AH10*(1000/AH7)/2</f>
        <v>45.074171199999995</v>
      </c>
      <c r="AI17" s="147">
        <f t="shared" ca="1" si="38"/>
        <v>2.7907826999999998</v>
      </c>
      <c r="AJ17" s="147">
        <f t="shared" ca="1" si="38"/>
        <v>45.264744999999998</v>
      </c>
      <c r="AK17" s="147">
        <f t="shared" ca="1" si="38"/>
        <v>3.9995532000000007</v>
      </c>
      <c r="AL17" s="148">
        <f t="shared" si="38"/>
        <v>43.613559782608689</v>
      </c>
      <c r="AM17" s="149">
        <f t="shared" si="38"/>
        <v>4.4315217391304342</v>
      </c>
      <c r="AN17" s="148">
        <f t="shared" si="38"/>
        <v>39.494824999999999</v>
      </c>
      <c r="AO17" s="149">
        <f t="shared" si="38"/>
        <v>3.95295</v>
      </c>
      <c r="AP17" s="148">
        <f t="shared" si="38"/>
        <v>39.564174999999999</v>
      </c>
      <c r="AQ17" s="149">
        <f t="shared" si="38"/>
        <v>4.2997000000000005</v>
      </c>
      <c r="AR17" s="148">
        <f t="shared" si="38"/>
        <v>45.164592391304346</v>
      </c>
      <c r="AS17" s="149">
        <f t="shared" si="38"/>
        <v>3.6190760869565217</v>
      </c>
      <c r="AT17" s="148">
        <f t="shared" si="38"/>
        <v>42.268825</v>
      </c>
      <c r="AU17" s="149">
        <f t="shared" si="38"/>
        <v>2.9473750000000001</v>
      </c>
      <c r="AV17" s="148">
        <f t="shared" si="38"/>
        <v>42.199475</v>
      </c>
      <c r="AW17" s="149">
        <f t="shared" si="38"/>
        <v>3.5021749999999998</v>
      </c>
      <c r="AX17" s="148">
        <f t="shared" si="38"/>
        <v>48.746739130434783</v>
      </c>
      <c r="AY17" s="149">
        <f t="shared" si="38"/>
        <v>3.6190760869565217</v>
      </c>
      <c r="AZ17" s="148">
        <f t="shared" si="38"/>
        <v>45.909700000000001</v>
      </c>
      <c r="BA17" s="149">
        <f t="shared" si="38"/>
        <v>3.5021749999999998</v>
      </c>
      <c r="BB17" s="148">
        <f t="shared" si="38"/>
        <v>45.909700000000001</v>
      </c>
      <c r="BC17" s="149">
        <f t="shared" si="38"/>
        <v>3.6062000000000003</v>
      </c>
      <c r="BD17" s="148">
        <f t="shared" si="38"/>
        <v>10.857228260869565</v>
      </c>
      <c r="BE17" s="149">
        <f t="shared" si="38"/>
        <v>0.62779891304347812</v>
      </c>
      <c r="BF17" s="148">
        <f t="shared" si="38"/>
        <v>10.1251</v>
      </c>
      <c r="BG17" s="149">
        <f t="shared" si="38"/>
        <v>0.41609999999999997</v>
      </c>
      <c r="BH17" s="148">
        <f t="shared" si="38"/>
        <v>11.02665</v>
      </c>
      <c r="BI17" s="149">
        <f t="shared" si="38"/>
        <v>1.45635</v>
      </c>
      <c r="BJ17" s="148">
        <f t="shared" si="38"/>
        <v>29.657220652173915</v>
      </c>
      <c r="BK17" s="149">
        <f t="shared" si="38"/>
        <v>2.0680434782608694</v>
      </c>
      <c r="BL17" s="148">
        <f t="shared" si="38"/>
        <v>26.856481000000006</v>
      </c>
      <c r="BM17" s="149">
        <f t="shared" si="38"/>
        <v>2.0458250000000002</v>
      </c>
      <c r="BN17" s="148">
        <f t="shared" ref="BN17:CS17" si="39">BN5*BN10*(1000/BN7)/2</f>
        <v>26.903639000000002</v>
      </c>
      <c r="BO17" s="149">
        <f t="shared" si="39"/>
        <v>2.3578999999999999</v>
      </c>
      <c r="BP17" s="148">
        <f t="shared" ca="1" si="39"/>
        <v>48.145455489130434</v>
      </c>
      <c r="BQ17" s="149">
        <f t="shared" ca="1" si="39"/>
        <v>3.8326015760869567</v>
      </c>
      <c r="BR17" s="148">
        <f t="shared" ca="1" si="39"/>
        <v>45.016298624999997</v>
      </c>
      <c r="BS17" s="149">
        <f t="shared" ca="1" si="39"/>
        <v>3.1301122499999998</v>
      </c>
      <c r="BT17" s="148">
        <f t="shared" ca="1" si="39"/>
        <v>44.393847700000002</v>
      </c>
      <c r="BU17" s="149">
        <f t="shared" ca="1" si="39"/>
        <v>3.7193098499999997</v>
      </c>
      <c r="BV17" s="150">
        <f t="shared" si="39"/>
        <v>42.653396739130429</v>
      </c>
      <c r="BW17" s="151">
        <f t="shared" si="39"/>
        <v>4.3576630434782606</v>
      </c>
      <c r="BX17" s="150">
        <f t="shared" si="39"/>
        <v>39.494824999999999</v>
      </c>
      <c r="BY17" s="151">
        <f t="shared" si="39"/>
        <v>3.6408749999999999</v>
      </c>
      <c r="BZ17" s="150">
        <f t="shared" si="39"/>
        <v>39.217424999999999</v>
      </c>
      <c r="CA17" s="151">
        <f t="shared" si="39"/>
        <v>4.2303499999999996</v>
      </c>
      <c r="CB17" s="150">
        <f t="shared" si="39"/>
        <v>45.312309782608693</v>
      </c>
      <c r="CC17" s="151">
        <f t="shared" si="39"/>
        <v>3.1389945652173914</v>
      </c>
      <c r="CD17" s="150">
        <f t="shared" si="39"/>
        <v>42.1648</v>
      </c>
      <c r="CE17" s="151">
        <f t="shared" si="39"/>
        <v>2.70465</v>
      </c>
      <c r="CF17" s="150">
        <f t="shared" si="39"/>
        <v>42.130125</v>
      </c>
      <c r="CG17" s="151">
        <f t="shared" si="39"/>
        <v>3.6408749999999999</v>
      </c>
      <c r="CH17" s="150">
        <f t="shared" si="39"/>
        <v>48.340516304347823</v>
      </c>
      <c r="CI17" s="151">
        <f t="shared" si="39"/>
        <v>3.5452173913043477</v>
      </c>
      <c r="CJ17" s="150">
        <f t="shared" si="39"/>
        <v>45.909700000000001</v>
      </c>
      <c r="CK17" s="151">
        <f t="shared" si="39"/>
        <v>3.8142499999999999</v>
      </c>
      <c r="CL17" s="150">
        <f t="shared" si="39"/>
        <v>44.904125000000001</v>
      </c>
      <c r="CM17" s="151">
        <f t="shared" si="39"/>
        <v>3.6755499999999999</v>
      </c>
      <c r="CN17" s="150">
        <f t="shared" si="39"/>
        <v>10.746440217391305</v>
      </c>
      <c r="CO17" s="151">
        <f t="shared" si="39"/>
        <v>0.84937499999999988</v>
      </c>
      <c r="CP17" s="150">
        <f t="shared" si="39"/>
        <v>10.229125</v>
      </c>
      <c r="CQ17" s="151">
        <f t="shared" si="39"/>
        <v>0.69350000000000001</v>
      </c>
      <c r="CR17" s="150">
        <f t="shared" ca="1" si="39"/>
        <v>10.574557350000001</v>
      </c>
      <c r="CS17" s="151">
        <f t="shared" ca="1" si="39"/>
        <v>1.39663965</v>
      </c>
      <c r="CT17" s="150">
        <f t="shared" ref="CT17:DY17" si="40">CT5*CT10*(1000/CT7)/2</f>
        <v>29.004309782608694</v>
      </c>
      <c r="CU17" s="151">
        <f t="shared" si="40"/>
        <v>1.4771739130434782</v>
      </c>
      <c r="CV17" s="150">
        <f t="shared" si="40"/>
        <v>26.856481000000006</v>
      </c>
      <c r="CW17" s="151">
        <f t="shared" si="40"/>
        <v>1.5603750000000001</v>
      </c>
      <c r="CX17" s="150">
        <f t="shared" si="40"/>
        <v>26.667849</v>
      </c>
      <c r="CY17" s="151">
        <f t="shared" si="40"/>
        <v>1.7337500000000001</v>
      </c>
      <c r="CZ17" s="150">
        <f t="shared" ca="1" si="40"/>
        <v>48.121672989130431</v>
      </c>
      <c r="DA17" s="151">
        <f t="shared" ca="1" si="40"/>
        <v>3.2959442934782608</v>
      </c>
      <c r="DB17" s="150">
        <f t="shared" ca="1" si="40"/>
        <v>44.821182399999998</v>
      </c>
      <c r="DC17" s="151">
        <f t="shared" ca="1" si="40"/>
        <v>2.8912708499999997</v>
      </c>
      <c r="DD17" s="150">
        <f t="shared" ca="1" si="40"/>
        <v>44.868583125000001</v>
      </c>
      <c r="DE17" s="151">
        <f t="shared" ca="1" si="40"/>
        <v>3.8811727499999997</v>
      </c>
      <c r="DF17" s="152">
        <f t="shared" si="40"/>
        <v>43.281195652173913</v>
      </c>
      <c r="DG17" s="153">
        <f t="shared" si="40"/>
        <v>4.9116032608695646</v>
      </c>
      <c r="DH17" s="152">
        <f t="shared" ca="1" si="40"/>
        <v>41.588050725000009</v>
      </c>
      <c r="DI17" s="153">
        <f t="shared" ca="1" si="40"/>
        <v>3.8229187500000004</v>
      </c>
      <c r="DJ17" s="152">
        <f t="shared" ca="1" si="40"/>
        <v>41.452818225000001</v>
      </c>
      <c r="DK17" s="153">
        <f t="shared" ca="1" si="40"/>
        <v>4.4757102999999994</v>
      </c>
      <c r="DL17" s="152">
        <f t="shared" si="40"/>
        <v>44.90608695652174</v>
      </c>
      <c r="DM17" s="153">
        <f t="shared" si="40"/>
        <v>4.1360869565217389</v>
      </c>
      <c r="DN17" s="152">
        <f t="shared" ca="1" si="40"/>
        <v>44.694687999999992</v>
      </c>
      <c r="DO17" s="153">
        <f t="shared" ca="1" si="40"/>
        <v>2.8398824999999999</v>
      </c>
      <c r="DP17" s="152">
        <f t="shared" ca="1" si="40"/>
        <v>44.278761375000002</v>
      </c>
      <c r="DQ17" s="153">
        <f t="shared" ca="1" si="40"/>
        <v>3.8411231250000002</v>
      </c>
      <c r="DR17" s="152">
        <f t="shared" ca="1" si="40"/>
        <v>50.999244701086958</v>
      </c>
      <c r="DS17" s="153">
        <f t="shared" ca="1" si="40"/>
        <v>3.7508399999999988</v>
      </c>
      <c r="DT17" s="152">
        <f t="shared" ca="1" si="40"/>
        <v>48.480643200000003</v>
      </c>
      <c r="DU17" s="153">
        <f t="shared" ca="1" si="40"/>
        <v>4.0354764999999997</v>
      </c>
      <c r="DV17" s="152">
        <f t="shared" ca="1" si="40"/>
        <v>47.553468375000001</v>
      </c>
      <c r="DW17" s="153">
        <f t="shared" ca="1" si="40"/>
        <v>3.8813808000000001</v>
      </c>
      <c r="DX17" s="152">
        <f t="shared" ca="1" si="40"/>
        <v>11.326747989130435</v>
      </c>
      <c r="DY17" s="153">
        <f t="shared" ca="1" si="40"/>
        <v>0.89609062499999992</v>
      </c>
      <c r="DZ17" s="152">
        <f t="shared" ref="DZ17:EO17" ca="1" si="41">DZ5*DZ10*(1000/DZ7)/2</f>
        <v>10.8428725</v>
      </c>
      <c r="EA17" s="153">
        <f t="shared" ca="1" si="41"/>
        <v>0.73441649999999992</v>
      </c>
      <c r="EB17" s="152">
        <f t="shared" ca="1" si="41"/>
        <v>11.145583446900002</v>
      </c>
      <c r="EC17" s="153">
        <f t="shared" ca="1" si="41"/>
        <v>1.4664716325</v>
      </c>
      <c r="ED17" s="152">
        <f t="shared" si="41"/>
        <v>29.431213043478266</v>
      </c>
      <c r="EE17" s="153">
        <f t="shared" si="41"/>
        <v>1.2186684782608694</v>
      </c>
      <c r="EF17" s="152">
        <f t="shared" ca="1" si="41"/>
        <v>28.279874493000005</v>
      </c>
      <c r="EG17" s="153">
        <f t="shared" si="41"/>
        <v>1.5950499999999999</v>
      </c>
      <c r="EH17" s="152">
        <f t="shared" ca="1" si="41"/>
        <v>28.187916393000002</v>
      </c>
      <c r="EI17" s="153">
        <f t="shared" si="41"/>
        <v>1.5950499999999999</v>
      </c>
      <c r="EJ17" s="152">
        <f t="shared" ca="1" si="41"/>
        <v>47.37592173913044</v>
      </c>
      <c r="EK17" s="153">
        <f t="shared" ca="1" si="41"/>
        <v>4.4090686956521736</v>
      </c>
      <c r="EL17" s="152">
        <f t="shared" ca="1" si="41"/>
        <v>47.197590527999992</v>
      </c>
      <c r="EM17" s="153">
        <f t="shared" ca="1" si="41"/>
        <v>2.9932361550000004</v>
      </c>
      <c r="EN17" s="152">
        <f t="shared" ca="1" si="41"/>
        <v>46.891208296125001</v>
      </c>
      <c r="EO17" s="153">
        <f t="shared" ca="1" si="41"/>
        <v>4.0408615274999997</v>
      </c>
    </row>
    <row r="18" spans="1:145" ht="29.25" customHeight="1" x14ac:dyDescent="0.25">
      <c r="A18" s="18" t="s">
        <v>51</v>
      </c>
      <c r="B18" s="147">
        <f t="shared" ref="B18:AG18" si="42">B6*B11*(1000/B7)/2</f>
        <v>1.4882527173913043</v>
      </c>
      <c r="C18" s="147">
        <f t="shared" si="42"/>
        <v>4.9928478260869564</v>
      </c>
      <c r="D18" s="147">
        <f t="shared" si="42"/>
        <v>8.9704224999999997</v>
      </c>
      <c r="E18" s="147">
        <f>E6*E11*(1000/E7)/2</f>
        <v>7.4377875000000007</v>
      </c>
      <c r="F18" s="147">
        <f t="shared" si="42"/>
        <v>24.837702500000002</v>
      </c>
      <c r="G18" s="147">
        <f t="shared" si="42"/>
        <v>7.3476325000000013</v>
      </c>
      <c r="H18" s="147">
        <f t="shared" si="42"/>
        <v>4.2727255434782609</v>
      </c>
      <c r="I18" s="147">
        <f t="shared" si="42"/>
        <v>3.840652173913043</v>
      </c>
      <c r="J18" s="147">
        <f t="shared" si="42"/>
        <v>4.5077500000000006</v>
      </c>
      <c r="K18" s="147">
        <f t="shared" si="42"/>
        <v>5.7699200000000008</v>
      </c>
      <c r="L18" s="147">
        <f t="shared" si="42"/>
        <v>17.084372500000001</v>
      </c>
      <c r="M18" s="147">
        <f t="shared" si="42"/>
        <v>5.9502300000000004</v>
      </c>
      <c r="N18" s="147">
        <f t="shared" si="42"/>
        <v>7.4892717391304338</v>
      </c>
      <c r="O18" s="147">
        <f t="shared" si="42"/>
        <v>3.5045951086956522</v>
      </c>
      <c r="P18" s="147">
        <f t="shared" si="42"/>
        <v>10.503057500000001</v>
      </c>
      <c r="Q18" s="147">
        <f t="shared" si="42"/>
        <v>3.2455800000000004</v>
      </c>
      <c r="R18" s="147">
        <f t="shared" si="42"/>
        <v>9.5564300000000006</v>
      </c>
      <c r="S18" s="147">
        <f t="shared" si="42"/>
        <v>5.6797650000000006</v>
      </c>
      <c r="T18" s="147">
        <f t="shared" si="42"/>
        <v>0.38406521739130434</v>
      </c>
      <c r="U18" s="147">
        <f t="shared" si="42"/>
        <v>0.62410597826086955</v>
      </c>
      <c r="V18" s="147">
        <f t="shared" si="42"/>
        <v>1.3072475000000001</v>
      </c>
      <c r="W18" s="147">
        <f t="shared" si="42"/>
        <v>0.49585250000000008</v>
      </c>
      <c r="X18" s="147">
        <f t="shared" si="42"/>
        <v>3.9217425000000001</v>
      </c>
      <c r="Y18" s="147">
        <f t="shared" si="42"/>
        <v>1.5326350000000002</v>
      </c>
      <c r="Z18" s="147">
        <f t="shared" si="42"/>
        <v>0.74412635869565213</v>
      </c>
      <c r="AA18" s="147">
        <f t="shared" si="42"/>
        <v>2.4964239130434782</v>
      </c>
      <c r="AB18" s="147">
        <f t="shared" si="42"/>
        <v>4.4852112499999999</v>
      </c>
      <c r="AC18" s="147">
        <f t="shared" si="42"/>
        <v>3.7188937500000003</v>
      </c>
      <c r="AD18" s="147">
        <f t="shared" si="42"/>
        <v>12.418851250000001</v>
      </c>
      <c r="AE18" s="147">
        <f t="shared" si="42"/>
        <v>3.6738162500000007</v>
      </c>
      <c r="AF18" s="147">
        <f t="shared" ca="1" si="42"/>
        <v>4.4863618206521743</v>
      </c>
      <c r="AG18" s="147">
        <f t="shared" ca="1" si="42"/>
        <v>4.0826132608695644</v>
      </c>
      <c r="AH18" s="147">
        <f t="shared" ref="AH18:BM18" ca="1" si="43">AH6*AH11*(1000/AH7)/2</f>
        <v>4.8097692500000004</v>
      </c>
      <c r="AI18" s="147">
        <f t="shared" ca="1" si="43"/>
        <v>6.0872656000000003</v>
      </c>
      <c r="AJ18" s="147">
        <f t="shared" ca="1" si="43"/>
        <v>18.194856712500002</v>
      </c>
      <c r="AK18" s="147">
        <f t="shared" ca="1" si="43"/>
        <v>6.2715424200000003</v>
      </c>
      <c r="AL18" s="148">
        <f t="shared" si="43"/>
        <v>1.296220108695652</v>
      </c>
      <c r="AM18" s="149">
        <f t="shared" si="43"/>
        <v>5.2808967391304344</v>
      </c>
      <c r="AN18" s="148">
        <f t="shared" si="43"/>
        <v>9.6015075000000003</v>
      </c>
      <c r="AO18" s="149">
        <f t="shared" si="43"/>
        <v>6.8968575000000012</v>
      </c>
      <c r="AP18" s="148">
        <f t="shared" si="43"/>
        <v>25.243400000000001</v>
      </c>
      <c r="AQ18" s="149">
        <f t="shared" si="43"/>
        <v>6.9419350000000009</v>
      </c>
      <c r="AR18" s="148">
        <f t="shared" si="43"/>
        <v>2.112358695652174</v>
      </c>
      <c r="AS18" s="149">
        <f t="shared" si="43"/>
        <v>5.6649619565217382</v>
      </c>
      <c r="AT18" s="148">
        <f t="shared" si="43"/>
        <v>4.8232925</v>
      </c>
      <c r="AU18" s="149">
        <f t="shared" si="43"/>
        <v>5.7699200000000008</v>
      </c>
      <c r="AV18" s="148">
        <f t="shared" si="43"/>
        <v>17.219605000000001</v>
      </c>
      <c r="AW18" s="149">
        <f t="shared" si="43"/>
        <v>5.8600750000000001</v>
      </c>
      <c r="AX18" s="148">
        <f t="shared" si="43"/>
        <v>7.4412635869565209</v>
      </c>
      <c r="AY18" s="149">
        <f t="shared" si="43"/>
        <v>3.264554347826087</v>
      </c>
      <c r="AZ18" s="148">
        <f t="shared" si="43"/>
        <v>8.8351900000000008</v>
      </c>
      <c r="BA18" s="149">
        <f t="shared" si="43"/>
        <v>2.8849600000000004</v>
      </c>
      <c r="BB18" s="148">
        <f t="shared" si="43"/>
        <v>11.9455375</v>
      </c>
      <c r="BC18" s="149">
        <f t="shared" si="43"/>
        <v>6.1756175000000004</v>
      </c>
      <c r="BD18" s="148">
        <f t="shared" si="43"/>
        <v>0.7201222826086956</v>
      </c>
      <c r="BE18" s="149">
        <f t="shared" si="43"/>
        <v>0.48008152173913038</v>
      </c>
      <c r="BF18" s="148">
        <f t="shared" si="43"/>
        <v>1.9383325</v>
      </c>
      <c r="BG18" s="149">
        <f t="shared" si="43"/>
        <v>0.36062000000000005</v>
      </c>
      <c r="BH18" s="148">
        <f t="shared" si="43"/>
        <v>5.3642225000000003</v>
      </c>
      <c r="BI18" s="149">
        <f t="shared" si="43"/>
        <v>2.2538750000000003</v>
      </c>
      <c r="BJ18" s="148">
        <f t="shared" si="43"/>
        <v>0.64811005434782598</v>
      </c>
      <c r="BK18" s="149">
        <f t="shared" si="43"/>
        <v>2.6404483695652172</v>
      </c>
      <c r="BL18" s="148">
        <f t="shared" si="43"/>
        <v>4.8007537500000002</v>
      </c>
      <c r="BM18" s="149">
        <f t="shared" si="43"/>
        <v>3.4484287500000006</v>
      </c>
      <c r="BN18" s="148">
        <f t="shared" ref="BN18:CS18" si="44">BN6*BN11*(1000/BN7)/2</f>
        <v>12.621700000000001</v>
      </c>
      <c r="BO18" s="149">
        <f t="shared" si="44"/>
        <v>3.4709675000000004</v>
      </c>
      <c r="BP18" s="148">
        <f t="shared" ca="1" si="44"/>
        <v>2.2222013478260867</v>
      </c>
      <c r="BQ18" s="149">
        <f t="shared" ca="1" si="44"/>
        <v>6.021854559782609</v>
      </c>
      <c r="BR18" s="148">
        <f t="shared" ca="1" si="44"/>
        <v>5.1271599275000002</v>
      </c>
      <c r="BS18" s="149">
        <f t="shared" ca="1" si="44"/>
        <v>6.1218851200000017</v>
      </c>
      <c r="BT18" s="148">
        <f t="shared" ca="1" si="44"/>
        <v>18.287220510000004</v>
      </c>
      <c r="BU18" s="149">
        <f t="shared" ca="1" si="44"/>
        <v>6.1823791250000006</v>
      </c>
      <c r="BV18" s="150">
        <f t="shared" si="44"/>
        <v>5.3769130434782602</v>
      </c>
      <c r="BW18" s="151">
        <f t="shared" si="44"/>
        <v>6.3850842391304345</v>
      </c>
      <c r="BX18" s="150">
        <f t="shared" si="44"/>
        <v>10.953832500000001</v>
      </c>
      <c r="BY18" s="151">
        <f t="shared" si="44"/>
        <v>6.7616250000000004</v>
      </c>
      <c r="BZ18" s="150">
        <f t="shared" si="44"/>
        <v>23.259990000000002</v>
      </c>
      <c r="CA18" s="151">
        <f t="shared" si="44"/>
        <v>10.142437500000002</v>
      </c>
      <c r="CB18" s="150">
        <f t="shared" si="44"/>
        <v>3.4085788043478256</v>
      </c>
      <c r="CC18" s="151">
        <f t="shared" si="44"/>
        <v>4.8008152173913032</v>
      </c>
      <c r="CD18" s="150">
        <f t="shared" si="44"/>
        <v>5.0486800000000001</v>
      </c>
      <c r="CE18" s="151">
        <f t="shared" si="44"/>
        <v>5.7248425000000003</v>
      </c>
      <c r="CF18" s="150">
        <f t="shared" si="44"/>
        <v>17.580225000000002</v>
      </c>
      <c r="CG18" s="151">
        <f t="shared" si="44"/>
        <v>5.6797650000000006</v>
      </c>
      <c r="CH18" s="150">
        <f t="shared" si="44"/>
        <v>4.4167499999999986</v>
      </c>
      <c r="CI18" s="151">
        <f t="shared" si="44"/>
        <v>5.6649619565217382</v>
      </c>
      <c r="CJ18" s="150">
        <f t="shared" si="44"/>
        <v>9.2859650000000009</v>
      </c>
      <c r="CK18" s="151">
        <f t="shared" si="44"/>
        <v>2.9300375000000001</v>
      </c>
      <c r="CL18" s="150">
        <f t="shared" si="44"/>
        <v>10.457980000000001</v>
      </c>
      <c r="CM18" s="151">
        <f t="shared" si="44"/>
        <v>6.8067025000000001</v>
      </c>
      <c r="CN18" s="150">
        <f t="shared" si="44"/>
        <v>0.62410597826086955</v>
      </c>
      <c r="CO18" s="151">
        <f t="shared" si="44"/>
        <v>0.62410597826086955</v>
      </c>
      <c r="CP18" s="150">
        <f t="shared" si="44"/>
        <v>1.5326350000000002</v>
      </c>
      <c r="CQ18" s="151">
        <f t="shared" si="44"/>
        <v>0.40569750000000004</v>
      </c>
      <c r="CR18" s="150">
        <f t="shared" ca="1" si="44"/>
        <v>5.1013755975000006</v>
      </c>
      <c r="CS18" s="151">
        <f t="shared" ca="1" si="44"/>
        <v>2.147942875</v>
      </c>
      <c r="CT18" s="150">
        <f t="shared" ref="CT18:DY18" si="45">CT6*CT11*(1000/CT7)/2</f>
        <v>2.6884565217391301</v>
      </c>
      <c r="CU18" s="151">
        <f t="shared" si="45"/>
        <v>3.1925421195652173</v>
      </c>
      <c r="CV18" s="150">
        <f t="shared" si="45"/>
        <v>5.4769162500000004</v>
      </c>
      <c r="CW18" s="151">
        <f t="shared" si="45"/>
        <v>3.3808125000000002</v>
      </c>
      <c r="CX18" s="150">
        <f t="shared" si="45"/>
        <v>11.629995000000001</v>
      </c>
      <c r="CY18" s="151">
        <f t="shared" si="45"/>
        <v>5.0712187500000008</v>
      </c>
      <c r="CZ18" s="150">
        <f t="shared" ca="1" si="45"/>
        <v>3.5960506385869562</v>
      </c>
      <c r="DA18" s="151">
        <f t="shared" ca="1" si="45"/>
        <v>5.1272706521739124</v>
      </c>
      <c r="DB18" s="150">
        <f t="shared" ca="1" si="45"/>
        <v>5.3364547600000005</v>
      </c>
      <c r="DC18" s="151">
        <f t="shared" ca="1" si="45"/>
        <v>6.0454336800000004</v>
      </c>
      <c r="DD18" s="150">
        <f t="shared" ca="1" si="45"/>
        <v>18.67019895</v>
      </c>
      <c r="DE18" s="151">
        <f t="shared" ca="1" si="45"/>
        <v>5.9751127799999999</v>
      </c>
      <c r="DF18" s="152">
        <f t="shared" si="45"/>
        <v>1.6322771739130435</v>
      </c>
      <c r="DG18" s="153">
        <f t="shared" si="45"/>
        <v>5.9050027173913042</v>
      </c>
      <c r="DH18" s="152">
        <f t="shared" ca="1" si="45"/>
        <v>11.600108617500002</v>
      </c>
      <c r="DI18" s="153">
        <f t="shared" ca="1" si="45"/>
        <v>7.1335143749999999</v>
      </c>
      <c r="DJ18" s="152">
        <f t="shared" ca="1" si="45"/>
        <v>24.469509480000006</v>
      </c>
      <c r="DK18" s="153">
        <f t="shared" ca="1" si="45"/>
        <v>10.720556437500001</v>
      </c>
      <c r="DL18" s="152">
        <f t="shared" si="45"/>
        <v>1.9683342391304346</v>
      </c>
      <c r="DM18" s="153">
        <f t="shared" si="45"/>
        <v>5.5689456521739125</v>
      </c>
      <c r="DN18" s="152">
        <f t="shared" ca="1" si="45"/>
        <v>5.3314060799999998</v>
      </c>
      <c r="DO18" s="153">
        <f t="shared" ca="1" si="45"/>
        <v>6.0110846250000005</v>
      </c>
      <c r="DP18" s="152">
        <f t="shared" ca="1" si="45"/>
        <v>18.564717600000002</v>
      </c>
      <c r="DQ18" s="153">
        <f t="shared" ca="1" si="45"/>
        <v>5.9751127799999999</v>
      </c>
      <c r="DR18" s="152">
        <f t="shared" ca="1" si="45"/>
        <v>4.6596712499999997</v>
      </c>
      <c r="DS18" s="153">
        <f t="shared" ca="1" si="45"/>
        <v>5.9538750163043481</v>
      </c>
      <c r="DT18" s="152">
        <f t="shared" ca="1" si="45"/>
        <v>9.7781211450000018</v>
      </c>
      <c r="DU18" s="153">
        <f t="shared" ca="1" si="45"/>
        <v>3.1058397499999999</v>
      </c>
      <c r="DV18" s="152">
        <f t="shared" ca="1" si="45"/>
        <v>11.064542840000001</v>
      </c>
      <c r="DW18" s="153">
        <f t="shared" ca="1" si="45"/>
        <v>7.1538443275000008</v>
      </c>
      <c r="DX18" s="152">
        <f t="shared" ca="1" si="45"/>
        <v>0.65718359510869562</v>
      </c>
      <c r="DY18" s="153">
        <f t="shared" ca="1" si="45"/>
        <v>0.6615523369565216</v>
      </c>
      <c r="DZ18" s="152">
        <f t="shared" ref="DZ18:EO18" ca="1" si="46">DZ6*DZ11*(1000/DZ7)/2</f>
        <v>1.6230604650000002</v>
      </c>
      <c r="EA18" s="153">
        <f t="shared" ca="1" si="46"/>
        <v>0.42922795500000005</v>
      </c>
      <c r="EB18" s="152">
        <f t="shared" ca="1" si="46"/>
        <v>5.3717485041675008</v>
      </c>
      <c r="EC18" s="153">
        <f t="shared" ca="1" si="46"/>
        <v>2.2574879616249999</v>
      </c>
      <c r="ED18" s="152">
        <f t="shared" si="46"/>
        <v>0.81613858695652175</v>
      </c>
      <c r="EE18" s="153">
        <f t="shared" si="46"/>
        <v>2.9525013586956521</v>
      </c>
      <c r="EF18" s="152">
        <f t="shared" ca="1" si="46"/>
        <v>5.8000543087500009</v>
      </c>
      <c r="EG18" s="153">
        <f t="shared" ca="1" si="46"/>
        <v>3.5667571874999999</v>
      </c>
      <c r="EH18" s="152">
        <f t="shared" ca="1" si="46"/>
        <v>12.234754740000003</v>
      </c>
      <c r="EI18" s="153">
        <f t="shared" ca="1" si="46"/>
        <v>5.3602782187500004</v>
      </c>
      <c r="EJ18" s="152">
        <f t="shared" ca="1" si="46"/>
        <v>2.0923392961956515</v>
      </c>
      <c r="EK18" s="153">
        <f t="shared" ca="1" si="46"/>
        <v>5.8696687173913036</v>
      </c>
      <c r="EL18" s="152">
        <f t="shared" ca="1" si="46"/>
        <v>5.67261606912</v>
      </c>
      <c r="EM18" s="153">
        <f t="shared" ca="1" si="46"/>
        <v>6.3116388562500001</v>
      </c>
      <c r="EN18" s="152">
        <f t="shared" ca="1" si="46"/>
        <v>19.530082915200001</v>
      </c>
      <c r="EO18" s="153">
        <f t="shared" ca="1" si="46"/>
        <v>6.3754453362599994</v>
      </c>
    </row>
    <row r="19" spans="1:145" ht="33.75" customHeight="1" x14ac:dyDescent="0.25">
      <c r="A19" s="14" t="s">
        <v>109</v>
      </c>
      <c r="B19" s="147">
        <f t="shared" ref="B19:AG19" si="47">B17*1000000/(B13*100)</f>
        <v>139.73912340401597</v>
      </c>
      <c r="C19" s="147">
        <f t="shared" si="47"/>
        <v>12.66012571010743</v>
      </c>
      <c r="D19" s="147">
        <f t="shared" si="47"/>
        <v>128.51730271668822</v>
      </c>
      <c r="E19" s="147">
        <f t="shared" si="47"/>
        <v>10.653703104786546</v>
      </c>
      <c r="F19" s="147">
        <f t="shared" si="47"/>
        <v>128.1808699870634</v>
      </c>
      <c r="G19" s="147">
        <f t="shared" si="47"/>
        <v>13.905886157826652</v>
      </c>
      <c r="H19" s="147">
        <f t="shared" si="47"/>
        <v>144.39709418414984</v>
      </c>
      <c r="I19" s="147">
        <f t="shared" si="47"/>
        <v>11.226903931604701</v>
      </c>
      <c r="J19" s="147">
        <f t="shared" si="47"/>
        <v>136.36739974126777</v>
      </c>
      <c r="K19" s="147">
        <f t="shared" si="47"/>
        <v>8.5229624838292359</v>
      </c>
      <c r="L19" s="147">
        <f t="shared" si="47"/>
        <v>136.81597671410091</v>
      </c>
      <c r="M19" s="147">
        <f t="shared" si="47"/>
        <v>12.111578266494179</v>
      </c>
      <c r="N19" s="147">
        <f t="shared" si="47"/>
        <v>159.92366345126271</v>
      </c>
      <c r="O19" s="147">
        <f t="shared" si="47"/>
        <v>10.988033635187579</v>
      </c>
      <c r="P19" s="147">
        <f t="shared" si="47"/>
        <v>149.93685316946957</v>
      </c>
      <c r="Q19" s="147">
        <f t="shared" si="47"/>
        <v>11.438712807244501</v>
      </c>
      <c r="R19" s="147">
        <f t="shared" si="47"/>
        <v>148.36683376455369</v>
      </c>
      <c r="S19" s="147">
        <f t="shared" si="47"/>
        <v>10.765847347994823</v>
      </c>
      <c r="T19" s="147">
        <f t="shared" si="47"/>
        <v>35.113933573316835</v>
      </c>
      <c r="U19" s="147">
        <f t="shared" si="47"/>
        <v>2.7470084087968947</v>
      </c>
      <c r="V19" s="147">
        <f t="shared" si="47"/>
        <v>32.521830530401033</v>
      </c>
      <c r="W19" s="147">
        <f t="shared" si="47"/>
        <v>1.9064521345407504</v>
      </c>
      <c r="X19" s="147">
        <f t="shared" si="47"/>
        <v>32.858263260025872</v>
      </c>
      <c r="Y19" s="147">
        <f t="shared" si="47"/>
        <v>1.570019404915912</v>
      </c>
      <c r="Z19" s="147">
        <f t="shared" si="47"/>
        <v>95.022603914730851</v>
      </c>
      <c r="AA19" s="147">
        <f t="shared" si="47"/>
        <v>5.7328871140109117</v>
      </c>
      <c r="AB19" s="147">
        <f t="shared" si="47"/>
        <v>87.391765847347997</v>
      </c>
      <c r="AC19" s="147">
        <f t="shared" si="47"/>
        <v>6.3922218628719278</v>
      </c>
      <c r="AD19" s="147">
        <f t="shared" si="47"/>
        <v>87.162991591203109</v>
      </c>
      <c r="AE19" s="147">
        <f t="shared" si="47"/>
        <v>6.7286545924967651</v>
      </c>
      <c r="AF19" s="147">
        <f t="shared" ca="1" si="47"/>
        <v>151.90574308172563</v>
      </c>
      <c r="AG19" s="147">
        <f t="shared" ca="1" si="47"/>
        <v>11.84438364784296</v>
      </c>
      <c r="AH19" s="147">
        <f t="shared" ref="AH19:BM19" ca="1" si="48">AH17*1000000/(AH13*100)</f>
        <v>145.77675032341526</v>
      </c>
      <c r="AI19" s="147">
        <f t="shared" ca="1" si="48"/>
        <v>9.0258172703751605</v>
      </c>
      <c r="AJ19" s="147">
        <f t="shared" ca="1" si="48"/>
        <v>146.39309508408797</v>
      </c>
      <c r="AK19" s="147">
        <f t="shared" ca="1" si="48"/>
        <v>12.935165588615785</v>
      </c>
      <c r="AL19" s="148">
        <f t="shared" si="48"/>
        <v>141.05291003431012</v>
      </c>
      <c r="AM19" s="149">
        <f t="shared" si="48"/>
        <v>14.332217785027279</v>
      </c>
      <c r="AN19" s="148">
        <f t="shared" si="48"/>
        <v>127.73229301423027</v>
      </c>
      <c r="AO19" s="149">
        <f t="shared" si="48"/>
        <v>12.784443725743856</v>
      </c>
      <c r="AP19" s="148">
        <f t="shared" si="48"/>
        <v>127.95658150064683</v>
      </c>
      <c r="AQ19" s="149">
        <f t="shared" si="48"/>
        <v>13.905886157826652</v>
      </c>
      <c r="AR19" s="148">
        <f t="shared" si="48"/>
        <v>146.06918625906968</v>
      </c>
      <c r="AS19" s="149">
        <f t="shared" si="48"/>
        <v>11.704644524438944</v>
      </c>
      <c r="AT19" s="148">
        <f t="shared" si="48"/>
        <v>136.70383247089262</v>
      </c>
      <c r="AU19" s="149">
        <f t="shared" si="48"/>
        <v>9.5322606727037513</v>
      </c>
      <c r="AV19" s="148">
        <f t="shared" si="48"/>
        <v>136.47954398447607</v>
      </c>
      <c r="AW19" s="149">
        <f t="shared" si="48"/>
        <v>11.326568564036222</v>
      </c>
      <c r="AX19" s="148">
        <f t="shared" si="48"/>
        <v>157.65439563530006</v>
      </c>
      <c r="AY19" s="149">
        <f t="shared" si="48"/>
        <v>11.704644524438944</v>
      </c>
      <c r="AZ19" s="148">
        <f t="shared" si="48"/>
        <v>148.47897800776195</v>
      </c>
      <c r="BA19" s="149">
        <f t="shared" si="48"/>
        <v>11.326568564036222</v>
      </c>
      <c r="BB19" s="148">
        <f t="shared" si="48"/>
        <v>148.47897800776195</v>
      </c>
      <c r="BC19" s="149">
        <f t="shared" si="48"/>
        <v>11.663001293661063</v>
      </c>
      <c r="BD19" s="148">
        <f t="shared" si="48"/>
        <v>35.113933573316835</v>
      </c>
      <c r="BE19" s="149">
        <f t="shared" si="48"/>
        <v>2.0303975195455308</v>
      </c>
      <c r="BF19" s="148">
        <f t="shared" si="48"/>
        <v>32.746119016817595</v>
      </c>
      <c r="BG19" s="149">
        <f t="shared" si="48"/>
        <v>1.3457309184993529</v>
      </c>
      <c r="BH19" s="148">
        <f t="shared" si="48"/>
        <v>35.661869340232862</v>
      </c>
      <c r="BI19" s="149">
        <f t="shared" si="48"/>
        <v>4.7100582147477361</v>
      </c>
      <c r="BJ19" s="148">
        <f t="shared" si="48"/>
        <v>95.915978823330903</v>
      </c>
      <c r="BK19" s="149">
        <f t="shared" si="48"/>
        <v>6.6883682996793965</v>
      </c>
      <c r="BL19" s="148">
        <f t="shared" si="48"/>
        <v>86.857959249676611</v>
      </c>
      <c r="BM19" s="149">
        <f t="shared" si="48"/>
        <v>6.6165103492884869</v>
      </c>
      <c r="BN19" s="148">
        <f t="shared" ref="BN19:CS19" si="49">BN17*1000000/(BN13*100)</f>
        <v>87.010475420439846</v>
      </c>
      <c r="BO19" s="149">
        <f t="shared" si="49"/>
        <v>7.6258085381630014</v>
      </c>
      <c r="BP19" s="148">
        <f t="shared" ca="1" si="49"/>
        <v>155.70975255216831</v>
      </c>
      <c r="BQ19" s="149">
        <f t="shared" ca="1" si="49"/>
        <v>12.395218551380843</v>
      </c>
      <c r="BR19" s="148">
        <f t="shared" ca="1" si="49"/>
        <v>145.58958158150065</v>
      </c>
      <c r="BS19" s="149">
        <f t="shared" ca="1" si="49"/>
        <v>10.123260834411385</v>
      </c>
      <c r="BT19" s="148">
        <f t="shared" ca="1" si="49"/>
        <v>143.57648027166883</v>
      </c>
      <c r="BU19" s="149">
        <f t="shared" ca="1" si="49"/>
        <v>12.028815815006467</v>
      </c>
      <c r="BV19" s="150">
        <f t="shared" si="49"/>
        <v>137.94759618088756</v>
      </c>
      <c r="BW19" s="151">
        <f t="shared" si="49"/>
        <v>14.093347488610158</v>
      </c>
      <c r="BX19" s="150">
        <f t="shared" si="49"/>
        <v>127.73229301423027</v>
      </c>
      <c r="BY19" s="151">
        <f t="shared" si="49"/>
        <v>11.77514553686934</v>
      </c>
      <c r="BZ19" s="150">
        <f t="shared" si="49"/>
        <v>126.83513906856403</v>
      </c>
      <c r="CA19" s="151">
        <f t="shared" si="49"/>
        <v>13.68159767141009</v>
      </c>
      <c r="CB19" s="150">
        <f t="shared" si="49"/>
        <v>146.54692685190392</v>
      </c>
      <c r="CC19" s="151">
        <f t="shared" si="49"/>
        <v>10.151987597727658</v>
      </c>
      <c r="CD19" s="150">
        <f t="shared" si="49"/>
        <v>136.36739974126777</v>
      </c>
      <c r="CE19" s="151">
        <f t="shared" si="49"/>
        <v>8.7472509702457959</v>
      </c>
      <c r="CF19" s="150">
        <f t="shared" si="49"/>
        <v>136.25525549805951</v>
      </c>
      <c r="CG19" s="151">
        <f t="shared" si="49"/>
        <v>11.77514553686934</v>
      </c>
      <c r="CH19" s="150">
        <f t="shared" si="49"/>
        <v>156.34060900500589</v>
      </c>
      <c r="CI19" s="151">
        <f t="shared" si="49"/>
        <v>11.465774228021823</v>
      </c>
      <c r="CJ19" s="150">
        <f t="shared" si="49"/>
        <v>148.47897800776195</v>
      </c>
      <c r="CK19" s="151">
        <f t="shared" si="49"/>
        <v>12.335866752910738</v>
      </c>
      <c r="CL19" s="150">
        <f t="shared" si="49"/>
        <v>145.22679495472187</v>
      </c>
      <c r="CM19" s="151">
        <f t="shared" si="49"/>
        <v>11.887289780077619</v>
      </c>
      <c r="CN19" s="150">
        <f t="shared" si="49"/>
        <v>34.755628128691157</v>
      </c>
      <c r="CO19" s="151">
        <f t="shared" si="49"/>
        <v>2.7470084087968947</v>
      </c>
      <c r="CP19" s="150">
        <f t="shared" si="49"/>
        <v>33.082551746442434</v>
      </c>
      <c r="CQ19" s="151">
        <f t="shared" si="49"/>
        <v>2.2428848641655885</v>
      </c>
      <c r="CR19" s="150">
        <f t="shared" ca="1" si="49"/>
        <v>34.199732697283316</v>
      </c>
      <c r="CS19" s="151">
        <f t="shared" ca="1" si="49"/>
        <v>4.5169458279430783</v>
      </c>
      <c r="CT19" s="150">
        <f t="shared" ref="CT19:DY19" si="50">CT17*1000000/(CT13*100)</f>
        <v>93.804365403003544</v>
      </c>
      <c r="CU19" s="151">
        <f t="shared" si="50"/>
        <v>4.7774059283424268</v>
      </c>
      <c r="CV19" s="150">
        <f t="shared" si="50"/>
        <v>86.857959249676611</v>
      </c>
      <c r="CW19" s="151">
        <f t="shared" si="50"/>
        <v>5.0464909443725743</v>
      </c>
      <c r="CX19" s="150">
        <f t="shared" si="50"/>
        <v>86.247894566623543</v>
      </c>
      <c r="CY19" s="151">
        <f t="shared" si="50"/>
        <v>5.6072121604139724</v>
      </c>
      <c r="CZ19" s="150">
        <f t="shared" ca="1" si="50"/>
        <v>155.63283631672195</v>
      </c>
      <c r="DA19" s="151">
        <f t="shared" ca="1" si="50"/>
        <v>10.659586977614039</v>
      </c>
      <c r="DB19" s="150">
        <f t="shared" ca="1" si="50"/>
        <v>144.95854592496767</v>
      </c>
      <c r="DC19" s="151">
        <f t="shared" ca="1" si="50"/>
        <v>9.3508112871927551</v>
      </c>
      <c r="DD19" s="150">
        <f t="shared" ca="1" si="50"/>
        <v>145.11184710543338</v>
      </c>
      <c r="DE19" s="151">
        <f t="shared" ca="1" si="50"/>
        <v>12.552305142302716</v>
      </c>
      <c r="DF19" s="152">
        <f t="shared" si="50"/>
        <v>139.9779937004331</v>
      </c>
      <c r="DG19" s="153">
        <f t="shared" si="50"/>
        <v>15.884874711738565</v>
      </c>
      <c r="DH19" s="152">
        <f t="shared" ca="1" si="50"/>
        <v>134.5021045439845</v>
      </c>
      <c r="DI19" s="153">
        <f t="shared" ca="1" si="50"/>
        <v>12.363902813712809</v>
      </c>
      <c r="DJ19" s="152">
        <f t="shared" ca="1" si="50"/>
        <v>134.06474199547219</v>
      </c>
      <c r="DK19" s="153">
        <f t="shared" ca="1" si="50"/>
        <v>14.475130336351874</v>
      </c>
      <c r="DL19" s="152">
        <f t="shared" si="50"/>
        <v>145.23314022160977</v>
      </c>
      <c r="DM19" s="153">
        <f t="shared" si="50"/>
        <v>13.376736599358793</v>
      </c>
      <c r="DN19" s="152">
        <f t="shared" ca="1" si="50"/>
        <v>144.54944372574383</v>
      </c>
      <c r="DO19" s="153">
        <f t="shared" ca="1" si="50"/>
        <v>9.184613518758086</v>
      </c>
      <c r="DP19" s="152">
        <f t="shared" ca="1" si="50"/>
        <v>143.20427352846053</v>
      </c>
      <c r="DQ19" s="153">
        <f t="shared" ca="1" si="50"/>
        <v>12.422778541397154</v>
      </c>
      <c r="DR19" s="152">
        <f t="shared" ca="1" si="50"/>
        <v>164.93934250028124</v>
      </c>
      <c r="DS19" s="153">
        <f t="shared" ca="1" si="50"/>
        <v>12.130789133247086</v>
      </c>
      <c r="DT19" s="152">
        <f t="shared" ca="1" si="50"/>
        <v>156.79380077619663</v>
      </c>
      <c r="DU19" s="153">
        <f t="shared" ca="1" si="50"/>
        <v>13.05134702457956</v>
      </c>
      <c r="DV19" s="152">
        <f t="shared" ca="1" si="50"/>
        <v>153.79517585705045</v>
      </c>
      <c r="DW19" s="153">
        <f t="shared" ca="1" si="50"/>
        <v>12.552978007761967</v>
      </c>
      <c r="DX19" s="152">
        <f t="shared" ca="1" si="50"/>
        <v>36.632432047640478</v>
      </c>
      <c r="DY19" s="153">
        <f t="shared" ca="1" si="50"/>
        <v>2.8980938712807243</v>
      </c>
      <c r="DZ19" s="152">
        <f t="shared" ref="DZ19:EO19" ca="1" si="51">DZ17*1000000/(DZ13*100)</f>
        <v>35.067504851228975</v>
      </c>
      <c r="EA19" s="153">
        <f t="shared" ca="1" si="51"/>
        <v>2.375215071151358</v>
      </c>
      <c r="EB19" s="152">
        <f t="shared" ca="1" si="51"/>
        <v>36.046518262936615</v>
      </c>
      <c r="EC19" s="153">
        <f t="shared" ca="1" si="51"/>
        <v>4.7427931193402335</v>
      </c>
      <c r="ED19" s="152">
        <f t="shared" si="51"/>
        <v>95.185035716294522</v>
      </c>
      <c r="EE19" s="153">
        <f t="shared" si="51"/>
        <v>3.9413598908825014</v>
      </c>
      <c r="EF19" s="152">
        <f t="shared" ca="1" si="51"/>
        <v>91.461431089909453</v>
      </c>
      <c r="EG19" s="153">
        <f t="shared" si="51"/>
        <v>5.1586351875808534</v>
      </c>
      <c r="EH19" s="152">
        <f t="shared" ca="1" si="51"/>
        <v>91.164024556921092</v>
      </c>
      <c r="EI19" s="153">
        <f t="shared" si="51"/>
        <v>5.1586351875808534</v>
      </c>
      <c r="EJ19" s="152">
        <f t="shared" ca="1" si="51"/>
        <v>153.22096293379832</v>
      </c>
      <c r="EK19" s="153">
        <f t="shared" ca="1" si="51"/>
        <v>14.259601214916474</v>
      </c>
      <c r="EL19" s="152">
        <f t="shared" ca="1" si="51"/>
        <v>152.64421257438548</v>
      </c>
      <c r="EM19" s="153">
        <f t="shared" ca="1" si="51"/>
        <v>9.680582648771022</v>
      </c>
      <c r="EN19" s="152">
        <f t="shared" ca="1" si="51"/>
        <v>151.65332566663972</v>
      </c>
      <c r="EO19" s="153">
        <f t="shared" ca="1" si="51"/>
        <v>13.068763025549805</v>
      </c>
    </row>
    <row r="20" spans="1:145" x14ac:dyDescent="0.25">
      <c r="A20" s="14" t="s">
        <v>25</v>
      </c>
      <c r="B20" s="147">
        <f>0.5*B19</f>
        <v>69.869561702007985</v>
      </c>
      <c r="C20" s="147">
        <f>0.5*C19</f>
        <v>6.3300628550537148</v>
      </c>
      <c r="D20" s="147">
        <f t="shared" ref="D20:BO20" si="52">0.5*D19</f>
        <v>64.25865135834411</v>
      </c>
      <c r="E20" s="147">
        <f t="shared" si="52"/>
        <v>5.3268515523932729</v>
      </c>
      <c r="F20" s="147">
        <f t="shared" si="52"/>
        <v>64.090434993531701</v>
      </c>
      <c r="G20" s="147">
        <f t="shared" si="52"/>
        <v>6.952943078913326</v>
      </c>
      <c r="H20" s="147">
        <f t="shared" si="52"/>
        <v>72.198547092074918</v>
      </c>
      <c r="I20" s="147">
        <f t="shared" si="52"/>
        <v>5.6134519658023505</v>
      </c>
      <c r="J20" s="147">
        <f t="shared" si="52"/>
        <v>68.183699870633887</v>
      </c>
      <c r="K20" s="147">
        <f t="shared" si="52"/>
        <v>4.261481241914618</v>
      </c>
      <c r="L20" s="147">
        <f t="shared" si="52"/>
        <v>68.407988357050456</v>
      </c>
      <c r="M20" s="147">
        <f t="shared" si="52"/>
        <v>6.0557891332470897</v>
      </c>
      <c r="N20" s="147">
        <f t="shared" si="52"/>
        <v>79.961831725631356</v>
      </c>
      <c r="O20" s="147">
        <f t="shared" si="52"/>
        <v>5.4940168175937893</v>
      </c>
      <c r="P20" s="147">
        <f t="shared" si="52"/>
        <v>74.968426584734786</v>
      </c>
      <c r="Q20" s="147">
        <f t="shared" si="52"/>
        <v>5.7193564036222506</v>
      </c>
      <c r="R20" s="147">
        <f t="shared" si="52"/>
        <v>74.183416882276845</v>
      </c>
      <c r="S20" s="147">
        <f t="shared" si="52"/>
        <v>5.3829236739974116</v>
      </c>
      <c r="T20" s="147">
        <f t="shared" si="52"/>
        <v>17.556966786658418</v>
      </c>
      <c r="U20" s="147">
        <f t="shared" si="52"/>
        <v>1.3735042043984473</v>
      </c>
      <c r="V20" s="147">
        <f t="shared" si="52"/>
        <v>16.260915265200516</v>
      </c>
      <c r="W20" s="147">
        <f t="shared" si="52"/>
        <v>0.95322606727037518</v>
      </c>
      <c r="X20" s="147">
        <f t="shared" si="52"/>
        <v>16.429131630012936</v>
      </c>
      <c r="Y20" s="147">
        <f t="shared" si="52"/>
        <v>0.78500970245795598</v>
      </c>
      <c r="Z20" s="147">
        <f t="shared" si="52"/>
        <v>47.511301957365426</v>
      </c>
      <c r="AA20" s="147">
        <f t="shared" si="52"/>
        <v>2.8664435570054558</v>
      </c>
      <c r="AB20" s="147">
        <f t="shared" si="52"/>
        <v>43.695882923673999</v>
      </c>
      <c r="AC20" s="147">
        <f t="shared" si="52"/>
        <v>3.1961109314359639</v>
      </c>
      <c r="AD20" s="147">
        <f t="shared" si="52"/>
        <v>43.581495795601555</v>
      </c>
      <c r="AE20" s="147">
        <f t="shared" si="52"/>
        <v>3.3643272962483826</v>
      </c>
      <c r="AF20" s="147">
        <f t="shared" ca="1" si="52"/>
        <v>75.952871540862816</v>
      </c>
      <c r="AG20" s="147">
        <f t="shared" ca="1" si="52"/>
        <v>5.9221918239214801</v>
      </c>
      <c r="AH20" s="147">
        <f t="shared" ca="1" si="52"/>
        <v>72.888375161707629</v>
      </c>
      <c r="AI20" s="147">
        <f t="shared" ca="1" si="52"/>
        <v>4.5129086351875802</v>
      </c>
      <c r="AJ20" s="147">
        <f t="shared" ca="1" si="52"/>
        <v>73.196547542043987</v>
      </c>
      <c r="AK20" s="147">
        <f t="shared" ca="1" si="52"/>
        <v>6.4675827943078925</v>
      </c>
      <c r="AL20" s="148">
        <f t="shared" si="52"/>
        <v>70.526455017155058</v>
      </c>
      <c r="AM20" s="149">
        <f t="shared" si="52"/>
        <v>7.1661088925136394</v>
      </c>
      <c r="AN20" s="148">
        <f t="shared" si="52"/>
        <v>63.866146507115133</v>
      </c>
      <c r="AO20" s="149">
        <f t="shared" si="52"/>
        <v>6.3922218628719278</v>
      </c>
      <c r="AP20" s="148">
        <f t="shared" si="52"/>
        <v>63.978290750323417</v>
      </c>
      <c r="AQ20" s="149">
        <f t="shared" si="52"/>
        <v>6.952943078913326</v>
      </c>
      <c r="AR20" s="148">
        <f t="shared" si="52"/>
        <v>73.034593129534841</v>
      </c>
      <c r="AS20" s="149">
        <f t="shared" si="52"/>
        <v>5.8523222622194719</v>
      </c>
      <c r="AT20" s="148">
        <f t="shared" si="52"/>
        <v>68.351916235446311</v>
      </c>
      <c r="AU20" s="149">
        <f t="shared" si="52"/>
        <v>4.7661303363518757</v>
      </c>
      <c r="AV20" s="148">
        <f t="shared" si="52"/>
        <v>68.239771992238033</v>
      </c>
      <c r="AW20" s="149">
        <f t="shared" si="52"/>
        <v>5.6632842820181111</v>
      </c>
      <c r="AX20" s="148">
        <f t="shared" si="52"/>
        <v>78.827197817650031</v>
      </c>
      <c r="AY20" s="149">
        <f t="shared" si="52"/>
        <v>5.8523222622194719</v>
      </c>
      <c r="AZ20" s="148">
        <f t="shared" si="52"/>
        <v>74.239489003880976</v>
      </c>
      <c r="BA20" s="149">
        <f t="shared" si="52"/>
        <v>5.6632842820181111</v>
      </c>
      <c r="BB20" s="148">
        <f t="shared" si="52"/>
        <v>74.239489003880976</v>
      </c>
      <c r="BC20" s="149">
        <f t="shared" si="52"/>
        <v>5.8315006468305315</v>
      </c>
      <c r="BD20" s="148">
        <f t="shared" si="52"/>
        <v>17.556966786658418</v>
      </c>
      <c r="BE20" s="149">
        <f t="shared" si="52"/>
        <v>1.0151987597727654</v>
      </c>
      <c r="BF20" s="148">
        <f t="shared" si="52"/>
        <v>16.373059508408797</v>
      </c>
      <c r="BG20" s="149">
        <f t="shared" si="52"/>
        <v>0.67286545924967645</v>
      </c>
      <c r="BH20" s="148">
        <f t="shared" si="52"/>
        <v>17.830934670116431</v>
      </c>
      <c r="BI20" s="149">
        <f t="shared" si="52"/>
        <v>2.3550291073738681</v>
      </c>
      <c r="BJ20" s="148">
        <f t="shared" si="52"/>
        <v>47.957989411665451</v>
      </c>
      <c r="BK20" s="149">
        <f t="shared" si="52"/>
        <v>3.3441841498396983</v>
      </c>
      <c r="BL20" s="148">
        <f t="shared" si="52"/>
        <v>43.428979624838306</v>
      </c>
      <c r="BM20" s="149">
        <f t="shared" si="52"/>
        <v>3.3082551746442435</v>
      </c>
      <c r="BN20" s="148">
        <f t="shared" si="52"/>
        <v>43.505237710219923</v>
      </c>
      <c r="BO20" s="149">
        <f t="shared" si="52"/>
        <v>3.8129042690815007</v>
      </c>
      <c r="BP20" s="148">
        <f t="shared" ref="BP20:EA20" ca="1" si="53">0.5*BP19</f>
        <v>77.854876276084156</v>
      </c>
      <c r="BQ20" s="149">
        <f t="shared" ca="1" si="53"/>
        <v>6.1976092756904215</v>
      </c>
      <c r="BR20" s="148">
        <f t="shared" ca="1" si="53"/>
        <v>72.794790790750326</v>
      </c>
      <c r="BS20" s="149">
        <f t="shared" ca="1" si="53"/>
        <v>5.0616304172056923</v>
      </c>
      <c r="BT20" s="148">
        <f t="shared" ca="1" si="53"/>
        <v>71.788240135834414</v>
      </c>
      <c r="BU20" s="149">
        <f t="shared" ca="1" si="53"/>
        <v>6.0144079075032337</v>
      </c>
      <c r="BV20" s="150">
        <f t="shared" si="53"/>
        <v>68.973798090443779</v>
      </c>
      <c r="BW20" s="151">
        <f t="shared" si="53"/>
        <v>7.0466737443050791</v>
      </c>
      <c r="BX20" s="150">
        <f t="shared" si="53"/>
        <v>63.866146507115133</v>
      </c>
      <c r="BY20" s="151">
        <f t="shared" si="53"/>
        <v>5.8875727684346701</v>
      </c>
      <c r="BZ20" s="150">
        <f t="shared" si="53"/>
        <v>63.417569534282016</v>
      </c>
      <c r="CA20" s="151">
        <f t="shared" si="53"/>
        <v>6.8407988357050451</v>
      </c>
      <c r="CB20" s="150">
        <f t="shared" si="53"/>
        <v>73.273463425951959</v>
      </c>
      <c r="CC20" s="151">
        <f t="shared" si="53"/>
        <v>5.0759937988638288</v>
      </c>
      <c r="CD20" s="150">
        <f t="shared" si="53"/>
        <v>68.183699870633887</v>
      </c>
      <c r="CE20" s="151">
        <f t="shared" si="53"/>
        <v>4.3736254851228979</v>
      </c>
      <c r="CF20" s="150">
        <f t="shared" si="53"/>
        <v>68.127627749029756</v>
      </c>
      <c r="CG20" s="151">
        <f t="shared" si="53"/>
        <v>5.8875727684346701</v>
      </c>
      <c r="CH20" s="150">
        <f t="shared" si="53"/>
        <v>78.170304502502944</v>
      </c>
      <c r="CI20" s="151">
        <f t="shared" si="53"/>
        <v>5.7328871140109117</v>
      </c>
      <c r="CJ20" s="150">
        <f t="shared" si="53"/>
        <v>74.239489003880976</v>
      </c>
      <c r="CK20" s="151">
        <f t="shared" si="53"/>
        <v>6.1679333764553688</v>
      </c>
      <c r="CL20" s="150">
        <f t="shared" si="53"/>
        <v>72.613397477360934</v>
      </c>
      <c r="CM20" s="151">
        <f t="shared" si="53"/>
        <v>5.9436448900388097</v>
      </c>
      <c r="CN20" s="150">
        <f t="shared" si="53"/>
        <v>17.377814064345579</v>
      </c>
      <c r="CO20" s="151">
        <f t="shared" si="53"/>
        <v>1.3735042043984473</v>
      </c>
      <c r="CP20" s="150">
        <f t="shared" si="53"/>
        <v>16.541275873221217</v>
      </c>
      <c r="CQ20" s="151">
        <f t="shared" si="53"/>
        <v>1.1214424320827943</v>
      </c>
      <c r="CR20" s="150">
        <f t="shared" ca="1" si="53"/>
        <v>17.099866348641658</v>
      </c>
      <c r="CS20" s="151">
        <f t="shared" ca="1" si="53"/>
        <v>2.2584729139715392</v>
      </c>
      <c r="CT20" s="150">
        <f t="shared" si="53"/>
        <v>46.902182701501772</v>
      </c>
      <c r="CU20" s="151">
        <f t="shared" si="53"/>
        <v>2.3887029641712134</v>
      </c>
      <c r="CV20" s="150">
        <f t="shared" si="53"/>
        <v>43.428979624838306</v>
      </c>
      <c r="CW20" s="151">
        <f t="shared" si="53"/>
        <v>2.5232454721862871</v>
      </c>
      <c r="CX20" s="150">
        <f t="shared" si="53"/>
        <v>43.123947283311772</v>
      </c>
      <c r="CY20" s="151">
        <f t="shared" si="53"/>
        <v>2.8036060802069862</v>
      </c>
      <c r="CZ20" s="150">
        <f t="shared" ca="1" si="53"/>
        <v>77.816418158360975</v>
      </c>
      <c r="DA20" s="151">
        <f t="shared" ca="1" si="53"/>
        <v>5.3297934888070193</v>
      </c>
      <c r="DB20" s="150">
        <f t="shared" ca="1" si="53"/>
        <v>72.479272962483833</v>
      </c>
      <c r="DC20" s="151">
        <f t="shared" ca="1" si="53"/>
        <v>4.6754056435963776</v>
      </c>
      <c r="DD20" s="150">
        <f t="shared" ca="1" si="53"/>
        <v>72.555923552716692</v>
      </c>
      <c r="DE20" s="151">
        <f t="shared" ca="1" si="53"/>
        <v>6.2761525711513579</v>
      </c>
      <c r="DF20" s="152">
        <f t="shared" si="53"/>
        <v>69.988996850216552</v>
      </c>
      <c r="DG20" s="153">
        <f t="shared" si="53"/>
        <v>7.9424373558692825</v>
      </c>
      <c r="DH20" s="152">
        <f t="shared" ca="1" si="53"/>
        <v>67.251052271992251</v>
      </c>
      <c r="DI20" s="153">
        <f t="shared" ca="1" si="53"/>
        <v>6.1819514068564043</v>
      </c>
      <c r="DJ20" s="152">
        <f t="shared" ca="1" si="53"/>
        <v>67.032370997736095</v>
      </c>
      <c r="DK20" s="153">
        <f t="shared" ca="1" si="53"/>
        <v>7.2375651681759372</v>
      </c>
      <c r="DL20" s="152">
        <f t="shared" si="53"/>
        <v>72.616570110804886</v>
      </c>
      <c r="DM20" s="153">
        <f t="shared" si="53"/>
        <v>6.6883682996793965</v>
      </c>
      <c r="DN20" s="152">
        <f t="shared" ca="1" si="53"/>
        <v>72.274721862871914</v>
      </c>
      <c r="DO20" s="153">
        <f t="shared" ca="1" si="53"/>
        <v>4.592306759379043</v>
      </c>
      <c r="DP20" s="152">
        <f t="shared" ca="1" si="53"/>
        <v>71.602136764230266</v>
      </c>
      <c r="DQ20" s="153">
        <f t="shared" ca="1" si="53"/>
        <v>6.2113892706985769</v>
      </c>
      <c r="DR20" s="152">
        <f t="shared" ca="1" si="53"/>
        <v>82.469671250140621</v>
      </c>
      <c r="DS20" s="153">
        <f t="shared" ca="1" si="53"/>
        <v>6.0653945666235431</v>
      </c>
      <c r="DT20" s="152">
        <f t="shared" ca="1" si="53"/>
        <v>78.396900388098317</v>
      </c>
      <c r="DU20" s="153">
        <f t="shared" ca="1" si="53"/>
        <v>6.5256735122897798</v>
      </c>
      <c r="DV20" s="152">
        <f t="shared" ca="1" si="53"/>
        <v>76.897587928525226</v>
      </c>
      <c r="DW20" s="153">
        <f t="shared" ca="1" si="53"/>
        <v>6.2764890038809833</v>
      </c>
      <c r="DX20" s="152">
        <f t="shared" ca="1" si="53"/>
        <v>18.316216023820239</v>
      </c>
      <c r="DY20" s="153">
        <f t="shared" ca="1" si="53"/>
        <v>1.4490469356403621</v>
      </c>
      <c r="DZ20" s="152">
        <f t="shared" ca="1" si="53"/>
        <v>17.533752425614487</v>
      </c>
      <c r="EA20" s="153">
        <f t="shared" ca="1" si="53"/>
        <v>1.187607535575679</v>
      </c>
      <c r="EB20" s="152">
        <f t="shared" ref="EB20:EO20" ca="1" si="54">0.5*EB19</f>
        <v>18.023259131468308</v>
      </c>
      <c r="EC20" s="153">
        <f t="shared" ca="1" si="54"/>
        <v>2.3713965596701168</v>
      </c>
      <c r="ED20" s="152">
        <f t="shared" si="54"/>
        <v>47.592517858147261</v>
      </c>
      <c r="EE20" s="153">
        <f t="shared" si="54"/>
        <v>1.9706799454412507</v>
      </c>
      <c r="EF20" s="152">
        <f t="shared" ca="1" si="54"/>
        <v>45.730715544954727</v>
      </c>
      <c r="EG20" s="153">
        <f t="shared" si="54"/>
        <v>2.5793175937904267</v>
      </c>
      <c r="EH20" s="152">
        <f t="shared" ca="1" si="54"/>
        <v>45.582012278460546</v>
      </c>
      <c r="EI20" s="153">
        <f t="shared" si="54"/>
        <v>2.5793175937904267</v>
      </c>
      <c r="EJ20" s="152">
        <f t="shared" ca="1" si="54"/>
        <v>76.610481466899159</v>
      </c>
      <c r="EK20" s="153">
        <f t="shared" ca="1" si="54"/>
        <v>7.129800607458237</v>
      </c>
      <c r="EL20" s="152">
        <f t="shared" ca="1" si="54"/>
        <v>76.322106287192739</v>
      </c>
      <c r="EM20" s="153">
        <f t="shared" ca="1" si="54"/>
        <v>4.840291324385511</v>
      </c>
      <c r="EN20" s="152">
        <f t="shared" ca="1" si="54"/>
        <v>75.826662833319858</v>
      </c>
      <c r="EO20" s="153">
        <f t="shared" ca="1" si="54"/>
        <v>6.5343815127749023</v>
      </c>
    </row>
    <row r="21" spans="1:145" x14ac:dyDescent="0.25">
      <c r="A21" s="16" t="s">
        <v>26</v>
      </c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8"/>
      <c r="AM21" s="149"/>
      <c r="AN21" s="148"/>
      <c r="AO21" s="149"/>
      <c r="AP21" s="148"/>
      <c r="AQ21" s="149"/>
      <c r="AR21" s="148"/>
      <c r="AS21" s="149"/>
      <c r="AT21" s="148"/>
      <c r="AU21" s="149"/>
      <c r="AV21" s="148"/>
      <c r="AW21" s="149"/>
      <c r="AX21" s="148"/>
      <c r="AY21" s="149"/>
      <c r="AZ21" s="148"/>
      <c r="BA21" s="149"/>
      <c r="BB21" s="148"/>
      <c r="BC21" s="149"/>
      <c r="BD21" s="148"/>
      <c r="BE21" s="149"/>
      <c r="BF21" s="148"/>
      <c r="BG21" s="149"/>
      <c r="BH21" s="148"/>
      <c r="BI21" s="149"/>
      <c r="BJ21" s="148"/>
      <c r="BK21" s="149"/>
      <c r="BL21" s="148"/>
      <c r="BM21" s="149"/>
      <c r="BN21" s="148"/>
      <c r="BO21" s="149"/>
      <c r="BP21" s="148"/>
      <c r="BQ21" s="149"/>
      <c r="BR21" s="148"/>
      <c r="BS21" s="149"/>
      <c r="BT21" s="148"/>
      <c r="BU21" s="149"/>
      <c r="BV21" s="150"/>
      <c r="BW21" s="151"/>
      <c r="BX21" s="150"/>
      <c r="BY21" s="151"/>
      <c r="BZ21" s="150"/>
      <c r="CA21" s="151"/>
      <c r="CB21" s="150"/>
      <c r="CC21" s="151"/>
      <c r="CD21" s="150"/>
      <c r="CE21" s="151"/>
      <c r="CF21" s="150"/>
      <c r="CG21" s="151"/>
      <c r="CH21" s="150"/>
      <c r="CI21" s="151"/>
      <c r="CJ21" s="150"/>
      <c r="CK21" s="151"/>
      <c r="CL21" s="150"/>
      <c r="CM21" s="151"/>
      <c r="CN21" s="150"/>
      <c r="CO21" s="151"/>
      <c r="CP21" s="150"/>
      <c r="CQ21" s="151"/>
      <c r="CR21" s="150"/>
      <c r="CS21" s="151"/>
      <c r="CT21" s="150"/>
      <c r="CU21" s="151"/>
      <c r="CV21" s="150"/>
      <c r="CW21" s="151"/>
      <c r="CX21" s="150"/>
      <c r="CY21" s="151"/>
      <c r="CZ21" s="150"/>
      <c r="DA21" s="151"/>
      <c r="DB21" s="150"/>
      <c r="DC21" s="151"/>
      <c r="DD21" s="150"/>
      <c r="DE21" s="151"/>
      <c r="DF21" s="152"/>
      <c r="DG21" s="153"/>
      <c r="DH21" s="152"/>
      <c r="DI21" s="153"/>
      <c r="DJ21" s="152"/>
      <c r="DK21" s="153"/>
      <c r="DL21" s="152"/>
      <c r="DM21" s="153"/>
      <c r="DN21" s="152"/>
      <c r="DO21" s="153"/>
      <c r="DP21" s="152"/>
      <c r="DQ21" s="153"/>
      <c r="DR21" s="152"/>
      <c r="DS21" s="153"/>
      <c r="DT21" s="152"/>
      <c r="DU21" s="153"/>
      <c r="DV21" s="152"/>
      <c r="DW21" s="153"/>
      <c r="DX21" s="152"/>
      <c r="DY21" s="153"/>
      <c r="DZ21" s="152"/>
      <c r="EA21" s="153"/>
      <c r="EB21" s="152"/>
      <c r="EC21" s="153"/>
      <c r="ED21" s="152"/>
      <c r="EE21" s="153"/>
      <c r="EF21" s="152"/>
      <c r="EG21" s="153"/>
      <c r="EH21" s="152"/>
      <c r="EI21" s="153"/>
      <c r="EJ21" s="152"/>
      <c r="EK21" s="153"/>
      <c r="EL21" s="152"/>
      <c r="EM21" s="153"/>
      <c r="EN21" s="152"/>
      <c r="EO21" s="153"/>
    </row>
    <row r="22" spans="1:145" x14ac:dyDescent="0.25">
      <c r="A22" s="14" t="s">
        <v>27</v>
      </c>
      <c r="B22" s="147">
        <v>3</v>
      </c>
      <c r="C22" s="147"/>
      <c r="D22" s="147">
        <f>B22</f>
        <v>3</v>
      </c>
      <c r="E22" s="147"/>
      <c r="F22" s="147">
        <f>D22</f>
        <v>3</v>
      </c>
      <c r="G22" s="147"/>
      <c r="H22" s="147">
        <f>F22</f>
        <v>3</v>
      </c>
      <c r="I22" s="147"/>
      <c r="J22" s="147">
        <f>H22</f>
        <v>3</v>
      </c>
      <c r="K22" s="147"/>
      <c r="L22" s="147">
        <f>J22</f>
        <v>3</v>
      </c>
      <c r="M22" s="147"/>
      <c r="N22" s="147">
        <f>L22</f>
        <v>3</v>
      </c>
      <c r="O22" s="147"/>
      <c r="P22" s="147">
        <f>N22</f>
        <v>3</v>
      </c>
      <c r="Q22" s="147"/>
      <c r="R22" s="147">
        <f>P22</f>
        <v>3</v>
      </c>
      <c r="S22" s="147"/>
      <c r="T22" s="147">
        <f>R22</f>
        <v>3</v>
      </c>
      <c r="U22" s="147"/>
      <c r="V22" s="147">
        <f>T22</f>
        <v>3</v>
      </c>
      <c r="W22" s="147"/>
      <c r="X22" s="147">
        <f>V22</f>
        <v>3</v>
      </c>
      <c r="Y22" s="147"/>
      <c r="Z22" s="147">
        <f>X22</f>
        <v>3</v>
      </c>
      <c r="AA22" s="147"/>
      <c r="AB22" s="147">
        <f>Z22</f>
        <v>3</v>
      </c>
      <c r="AC22" s="147"/>
      <c r="AD22" s="147">
        <f>AB22</f>
        <v>3</v>
      </c>
      <c r="AE22" s="147"/>
      <c r="AF22" s="147">
        <f>AD22</f>
        <v>3</v>
      </c>
      <c r="AG22" s="147"/>
      <c r="AH22" s="147">
        <f>AF22</f>
        <v>3</v>
      </c>
      <c r="AI22" s="147"/>
      <c r="AJ22" s="147">
        <f>AH22</f>
        <v>3</v>
      </c>
      <c r="AK22" s="147"/>
      <c r="AL22" s="147">
        <f>AJ22</f>
        <v>3</v>
      </c>
      <c r="AM22" s="147"/>
      <c r="AN22" s="147">
        <f>AL22</f>
        <v>3</v>
      </c>
      <c r="AO22" s="147"/>
      <c r="AP22" s="147">
        <f>AN22</f>
        <v>3</v>
      </c>
      <c r="AQ22" s="147"/>
      <c r="AR22" s="147">
        <f>AP22</f>
        <v>3</v>
      </c>
      <c r="AS22" s="147"/>
      <c r="AT22" s="147">
        <f>AR22</f>
        <v>3</v>
      </c>
      <c r="AU22" s="147"/>
      <c r="AV22" s="147">
        <f>AT22</f>
        <v>3</v>
      </c>
      <c r="AW22" s="147"/>
      <c r="AX22" s="147">
        <f>AV22</f>
        <v>3</v>
      </c>
      <c r="AY22" s="147"/>
      <c r="AZ22" s="147">
        <f>AX22</f>
        <v>3</v>
      </c>
      <c r="BA22" s="147"/>
      <c r="BB22" s="147">
        <f>AZ22</f>
        <v>3</v>
      </c>
      <c r="BC22" s="147"/>
      <c r="BD22" s="147">
        <f>BB22</f>
        <v>3</v>
      </c>
      <c r="BE22" s="147"/>
      <c r="BF22" s="147">
        <f>BD22</f>
        <v>3</v>
      </c>
      <c r="BG22" s="147"/>
      <c r="BH22" s="147">
        <f>BF22</f>
        <v>3</v>
      </c>
      <c r="BI22" s="147"/>
      <c r="BJ22" s="147">
        <f>BH22</f>
        <v>3</v>
      </c>
      <c r="BK22" s="147"/>
      <c r="BL22" s="147">
        <f>BJ22</f>
        <v>3</v>
      </c>
      <c r="BM22" s="147"/>
      <c r="BN22" s="147">
        <f>BL22</f>
        <v>3</v>
      </c>
      <c r="BO22" s="147"/>
      <c r="BP22" s="147">
        <f>BN22</f>
        <v>3</v>
      </c>
      <c r="BQ22" s="147"/>
      <c r="BR22" s="147">
        <f>BP22</f>
        <v>3</v>
      </c>
      <c r="BS22" s="149"/>
      <c r="BT22" s="148">
        <f>BR22</f>
        <v>3</v>
      </c>
      <c r="BU22" s="149"/>
      <c r="BV22" s="147">
        <f>BT22</f>
        <v>3</v>
      </c>
      <c r="BW22" s="147"/>
      <c r="BX22" s="147">
        <f>BV22</f>
        <v>3</v>
      </c>
      <c r="BY22" s="147"/>
      <c r="BZ22" s="147">
        <f>BX22</f>
        <v>3</v>
      </c>
      <c r="CA22" s="147"/>
      <c r="CB22" s="147">
        <f>BZ22</f>
        <v>3</v>
      </c>
      <c r="CC22" s="147"/>
      <c r="CD22" s="147">
        <f>CB22</f>
        <v>3</v>
      </c>
      <c r="CE22" s="147"/>
      <c r="CF22" s="147">
        <f>CD22</f>
        <v>3</v>
      </c>
      <c r="CG22" s="147"/>
      <c r="CH22" s="147">
        <f>CF22</f>
        <v>3</v>
      </c>
      <c r="CI22" s="147"/>
      <c r="CJ22" s="147">
        <f>CH22</f>
        <v>3</v>
      </c>
      <c r="CK22" s="147"/>
      <c r="CL22" s="147">
        <f>CJ22</f>
        <v>3</v>
      </c>
      <c r="CM22" s="147"/>
      <c r="CN22" s="147">
        <f>CL22</f>
        <v>3</v>
      </c>
      <c r="CO22" s="147"/>
      <c r="CP22" s="147">
        <f>CN22</f>
        <v>3</v>
      </c>
      <c r="CQ22" s="147"/>
      <c r="CR22" s="147">
        <f>CP22</f>
        <v>3</v>
      </c>
      <c r="CS22" s="147"/>
      <c r="CT22" s="147">
        <f>CR22</f>
        <v>3</v>
      </c>
      <c r="CU22" s="147"/>
      <c r="CV22" s="147">
        <f>CT22</f>
        <v>3</v>
      </c>
      <c r="CW22" s="147"/>
      <c r="CX22" s="147">
        <f>CV22</f>
        <v>3</v>
      </c>
      <c r="CY22" s="147"/>
      <c r="CZ22" s="147">
        <f>CX22</f>
        <v>3</v>
      </c>
      <c r="DA22" s="147"/>
      <c r="DB22" s="147">
        <f>CZ22</f>
        <v>3</v>
      </c>
      <c r="DC22" s="149"/>
      <c r="DD22" s="148">
        <f>DB22</f>
        <v>3</v>
      </c>
      <c r="DE22" s="149"/>
      <c r="DF22" s="147">
        <f>DD22</f>
        <v>3</v>
      </c>
      <c r="DG22" s="147"/>
      <c r="DH22" s="147">
        <f>DF22</f>
        <v>3</v>
      </c>
      <c r="DI22" s="147"/>
      <c r="DJ22" s="147">
        <f>DH22</f>
        <v>3</v>
      </c>
      <c r="DK22" s="147"/>
      <c r="DL22" s="147">
        <f>DJ22</f>
        <v>3</v>
      </c>
      <c r="DM22" s="147"/>
      <c r="DN22" s="147">
        <f>DL22</f>
        <v>3</v>
      </c>
      <c r="DO22" s="147"/>
      <c r="DP22" s="147">
        <f>DN22</f>
        <v>3</v>
      </c>
      <c r="DQ22" s="147"/>
      <c r="DR22" s="147">
        <f>DP22</f>
        <v>3</v>
      </c>
      <c r="DS22" s="147"/>
      <c r="DT22" s="147">
        <f>DR22</f>
        <v>3</v>
      </c>
      <c r="DU22" s="147"/>
      <c r="DV22" s="147">
        <f>DT22</f>
        <v>3</v>
      </c>
      <c r="DW22" s="147"/>
      <c r="DX22" s="147">
        <f>DV22</f>
        <v>3</v>
      </c>
      <c r="DY22" s="147"/>
      <c r="DZ22" s="147">
        <f>DX22</f>
        <v>3</v>
      </c>
      <c r="EA22" s="147"/>
      <c r="EB22" s="147">
        <f>DZ22</f>
        <v>3</v>
      </c>
      <c r="EC22" s="147"/>
      <c r="ED22" s="147">
        <f>EB22</f>
        <v>3</v>
      </c>
      <c r="EE22" s="147"/>
      <c r="EF22" s="147">
        <f>ED22</f>
        <v>3</v>
      </c>
      <c r="EG22" s="147"/>
      <c r="EH22" s="147">
        <f>EF22</f>
        <v>3</v>
      </c>
      <c r="EI22" s="147"/>
      <c r="EJ22" s="147">
        <f>EH22</f>
        <v>3</v>
      </c>
      <c r="EK22" s="147"/>
      <c r="EL22" s="147">
        <f>EJ22</f>
        <v>3</v>
      </c>
      <c r="EM22" s="149"/>
      <c r="EN22" s="148">
        <f>EL22</f>
        <v>3</v>
      </c>
      <c r="EO22" s="149"/>
    </row>
    <row r="23" spans="1:145" x14ac:dyDescent="0.25">
      <c r="A23" s="14" t="s">
        <v>28</v>
      </c>
      <c r="B23" s="147">
        <v>2</v>
      </c>
      <c r="C23" s="147"/>
      <c r="D23" s="147">
        <f>B23</f>
        <v>2</v>
      </c>
      <c r="E23" s="147"/>
      <c r="F23" s="147">
        <f>D23</f>
        <v>2</v>
      </c>
      <c r="G23" s="147"/>
      <c r="H23" s="147">
        <f>F23</f>
        <v>2</v>
      </c>
      <c r="I23" s="147"/>
      <c r="J23" s="147">
        <f>H23</f>
        <v>2</v>
      </c>
      <c r="K23" s="147"/>
      <c r="L23" s="147">
        <f>J23</f>
        <v>2</v>
      </c>
      <c r="M23" s="147"/>
      <c r="N23" s="147">
        <f>L23</f>
        <v>2</v>
      </c>
      <c r="O23" s="147"/>
      <c r="P23" s="147">
        <f>N23</f>
        <v>2</v>
      </c>
      <c r="Q23" s="147"/>
      <c r="R23" s="147">
        <f>P23</f>
        <v>2</v>
      </c>
      <c r="S23" s="147"/>
      <c r="T23" s="147">
        <f>R23</f>
        <v>2</v>
      </c>
      <c r="U23" s="147"/>
      <c r="V23" s="147">
        <f>T23</f>
        <v>2</v>
      </c>
      <c r="W23" s="147"/>
      <c r="X23" s="147">
        <f>V23</f>
        <v>2</v>
      </c>
      <c r="Y23" s="147"/>
      <c r="Z23" s="147">
        <f>X23</f>
        <v>2</v>
      </c>
      <c r="AA23" s="147"/>
      <c r="AB23" s="147">
        <f>Z23</f>
        <v>2</v>
      </c>
      <c r="AC23" s="147"/>
      <c r="AD23" s="147">
        <f>AB23</f>
        <v>2</v>
      </c>
      <c r="AE23" s="147"/>
      <c r="AF23" s="147">
        <f>AD23</f>
        <v>2</v>
      </c>
      <c r="AG23" s="147"/>
      <c r="AH23" s="147">
        <f>AF23</f>
        <v>2</v>
      </c>
      <c r="AI23" s="147"/>
      <c r="AJ23" s="147">
        <f>AH23</f>
        <v>2</v>
      </c>
      <c r="AK23" s="147"/>
      <c r="AL23" s="147">
        <f>AJ23</f>
        <v>2</v>
      </c>
      <c r="AM23" s="147"/>
      <c r="AN23" s="147">
        <f>AL23</f>
        <v>2</v>
      </c>
      <c r="AO23" s="147"/>
      <c r="AP23" s="147">
        <f>AN23</f>
        <v>2</v>
      </c>
      <c r="AQ23" s="147"/>
      <c r="AR23" s="147">
        <f>AP23</f>
        <v>2</v>
      </c>
      <c r="AS23" s="147"/>
      <c r="AT23" s="147">
        <f>AR23</f>
        <v>2</v>
      </c>
      <c r="AU23" s="147"/>
      <c r="AV23" s="147">
        <f>AT23</f>
        <v>2</v>
      </c>
      <c r="AW23" s="147"/>
      <c r="AX23" s="147">
        <f>AV23</f>
        <v>2</v>
      </c>
      <c r="AY23" s="147"/>
      <c r="AZ23" s="147">
        <f>AX23</f>
        <v>2</v>
      </c>
      <c r="BA23" s="147"/>
      <c r="BB23" s="147">
        <f>AZ23</f>
        <v>2</v>
      </c>
      <c r="BC23" s="147"/>
      <c r="BD23" s="147">
        <f>BB23</f>
        <v>2</v>
      </c>
      <c r="BE23" s="147"/>
      <c r="BF23" s="147">
        <f>BD23</f>
        <v>2</v>
      </c>
      <c r="BG23" s="147"/>
      <c r="BH23" s="147">
        <f>BF23</f>
        <v>2</v>
      </c>
      <c r="BI23" s="147"/>
      <c r="BJ23" s="147">
        <f>BH23</f>
        <v>2</v>
      </c>
      <c r="BK23" s="147"/>
      <c r="BL23" s="147">
        <f>BJ23</f>
        <v>2</v>
      </c>
      <c r="BM23" s="147"/>
      <c r="BN23" s="147">
        <f>BL23</f>
        <v>2</v>
      </c>
      <c r="BO23" s="147"/>
      <c r="BP23" s="147">
        <f>BN23</f>
        <v>2</v>
      </c>
      <c r="BQ23" s="147"/>
      <c r="BR23" s="147">
        <f>BP23</f>
        <v>2</v>
      </c>
      <c r="BS23" s="149"/>
      <c r="BT23" s="148">
        <f>BR23</f>
        <v>2</v>
      </c>
      <c r="BU23" s="149"/>
      <c r="BV23" s="147">
        <f>BT23</f>
        <v>2</v>
      </c>
      <c r="BW23" s="147"/>
      <c r="BX23" s="147">
        <f>BV23</f>
        <v>2</v>
      </c>
      <c r="BY23" s="147"/>
      <c r="BZ23" s="147">
        <f>BX23</f>
        <v>2</v>
      </c>
      <c r="CA23" s="147"/>
      <c r="CB23" s="147">
        <f>BZ23</f>
        <v>2</v>
      </c>
      <c r="CC23" s="147"/>
      <c r="CD23" s="147">
        <f>CB23</f>
        <v>2</v>
      </c>
      <c r="CE23" s="147"/>
      <c r="CF23" s="147">
        <f>CD23</f>
        <v>2</v>
      </c>
      <c r="CG23" s="147"/>
      <c r="CH23" s="147">
        <f>CF23</f>
        <v>2</v>
      </c>
      <c r="CI23" s="147"/>
      <c r="CJ23" s="147">
        <f>CH23</f>
        <v>2</v>
      </c>
      <c r="CK23" s="147"/>
      <c r="CL23" s="147">
        <f>CJ23</f>
        <v>2</v>
      </c>
      <c r="CM23" s="147"/>
      <c r="CN23" s="147">
        <f>CL23</f>
        <v>2</v>
      </c>
      <c r="CO23" s="147"/>
      <c r="CP23" s="147">
        <f>CN23</f>
        <v>2</v>
      </c>
      <c r="CQ23" s="147"/>
      <c r="CR23" s="147">
        <f>CP23</f>
        <v>2</v>
      </c>
      <c r="CS23" s="147"/>
      <c r="CT23" s="147">
        <f>CR23</f>
        <v>2</v>
      </c>
      <c r="CU23" s="147"/>
      <c r="CV23" s="147">
        <f>CT23</f>
        <v>2</v>
      </c>
      <c r="CW23" s="147"/>
      <c r="CX23" s="147">
        <f>CV23</f>
        <v>2</v>
      </c>
      <c r="CY23" s="147"/>
      <c r="CZ23" s="147">
        <f>CX23</f>
        <v>2</v>
      </c>
      <c r="DA23" s="147"/>
      <c r="DB23" s="147">
        <f>CZ23</f>
        <v>2</v>
      </c>
      <c r="DC23" s="149"/>
      <c r="DD23" s="148">
        <f>DB23</f>
        <v>2</v>
      </c>
      <c r="DE23" s="149"/>
      <c r="DF23" s="147">
        <f>DD23</f>
        <v>2</v>
      </c>
      <c r="DG23" s="147"/>
      <c r="DH23" s="147">
        <f>DF23</f>
        <v>2</v>
      </c>
      <c r="DI23" s="147"/>
      <c r="DJ23" s="147">
        <f>DH23</f>
        <v>2</v>
      </c>
      <c r="DK23" s="147"/>
      <c r="DL23" s="147">
        <f>DJ23</f>
        <v>2</v>
      </c>
      <c r="DM23" s="147"/>
      <c r="DN23" s="147">
        <f>DL23</f>
        <v>2</v>
      </c>
      <c r="DO23" s="147"/>
      <c r="DP23" s="147">
        <f>DN23</f>
        <v>2</v>
      </c>
      <c r="DQ23" s="147"/>
      <c r="DR23" s="147">
        <f>DP23</f>
        <v>2</v>
      </c>
      <c r="DS23" s="147"/>
      <c r="DT23" s="147">
        <f>DR23</f>
        <v>2</v>
      </c>
      <c r="DU23" s="147"/>
      <c r="DV23" s="147">
        <f>DT23</f>
        <v>2</v>
      </c>
      <c r="DW23" s="147"/>
      <c r="DX23" s="147">
        <f>DV23</f>
        <v>2</v>
      </c>
      <c r="DY23" s="147"/>
      <c r="DZ23" s="147">
        <f>DX23</f>
        <v>2</v>
      </c>
      <c r="EA23" s="147"/>
      <c r="EB23" s="147">
        <f>DZ23</f>
        <v>2</v>
      </c>
      <c r="EC23" s="147"/>
      <c r="ED23" s="147">
        <f>EB23</f>
        <v>2</v>
      </c>
      <c r="EE23" s="147"/>
      <c r="EF23" s="147">
        <f>ED23</f>
        <v>2</v>
      </c>
      <c r="EG23" s="147"/>
      <c r="EH23" s="147">
        <f>EF23</f>
        <v>2</v>
      </c>
      <c r="EI23" s="147"/>
      <c r="EJ23" s="147">
        <f>EH23</f>
        <v>2</v>
      </c>
      <c r="EK23" s="147"/>
      <c r="EL23" s="147">
        <f>EJ23</f>
        <v>2</v>
      </c>
      <c r="EM23" s="149"/>
      <c r="EN23" s="148">
        <f>EL23</f>
        <v>2</v>
      </c>
      <c r="EO23" s="149"/>
    </row>
    <row r="24" spans="1:145" x14ac:dyDescent="0.25">
      <c r="A24" s="14" t="s">
        <v>29</v>
      </c>
      <c r="B24" s="147">
        <f ca="1">((((B15+B16)/2)^2+(C15^2+C16^2)/4)^(B22/2))+((((B15-B16)/2)^2+(C15^2-C16^2)/4)^(B23/2))</f>
        <v>212641.1855951671</v>
      </c>
      <c r="C24" s="147"/>
      <c r="D24" s="147">
        <f ca="1">((((D15+D16)/2)^2+(E15^2+E16^2)/4)^(D22/2))+((((D15-D16)/2)^2+(E15^2-E16^2)/4)^(D23/2))</f>
        <v>123817.78010701621</v>
      </c>
      <c r="E24" s="147"/>
      <c r="F24" s="147">
        <f ca="1">((((F15+F16)/2)^2+(G15^2+G16^2)/4)^(F22/2))+((((F15-F16)/2)^2+(G15^2-G16^2)/4)^(F23/2))</f>
        <v>119585.44293755309</v>
      </c>
      <c r="G24" s="147"/>
      <c r="H24" s="147">
        <f ca="1">((((H15+H16)/2)^2+(I15^2+I16^2)/4)^(H22/2))+((((H15-H16)/2)^2+(I15^2-I16^2)/4)^(H23/2))</f>
        <v>232432.26100038487</v>
      </c>
      <c r="I24" s="147"/>
      <c r="J24" s="147">
        <f ca="1">((((J15+J16)/2)^2+(K15^2+K16^2)/4)^(J22/2))+((((J15-J16)/2)^2+(K15^2-K16^2)/4)^(J23/2))</f>
        <v>143384.83688000322</v>
      </c>
      <c r="K24" s="147"/>
      <c r="L24" s="147">
        <f ca="1">((((L15+L16)/2)^2+(M15^2+M16^2)/4)^(L22/2))+((((L15-L16)/2)^2+(M15^2-M16^2)/4)^(L23/2))</f>
        <v>148548.52593110286</v>
      </c>
      <c r="M24" s="147"/>
      <c r="N24" s="147">
        <f ca="1">((((N15+N16)/2)^2+(O15^2+O16^2)/4)^(N22/2))+((((N15-N16)/2)^2+(O15^2-O16^2)/4)^(N23/2))</f>
        <v>358244.86161558668</v>
      </c>
      <c r="O24" s="147"/>
      <c r="P24" s="147">
        <f ca="1">((((P15+P16)/2)^2+(Q15^2+Q16^2)/4)^(P22/2))+((((P15-P16)/2)^2+(Q15^2-Q16^2)/4)^(P23/2))</f>
        <v>203432.61087925354</v>
      </c>
      <c r="Q24" s="147"/>
      <c r="R24" s="147">
        <f ca="1">((((R15+R16)/2)^2+(S15^2+S16^2)/4)^(R22/2))+((((R15-R16)/2)^2+(S15^2-S16^2)/4)^(R23/2))</f>
        <v>191917.33541089276</v>
      </c>
      <c r="S24" s="147"/>
      <c r="T24" s="147">
        <f ca="1">((((T15+T16)/2)^2+(U15^2+U16^2)/4)^(T22/2))+((((T15-T16)/2)^2+(U15^2-U16^2)/4)^(T23/2))</f>
        <v>3772.9284177648387</v>
      </c>
      <c r="U24" s="147"/>
      <c r="V24" s="147">
        <f ca="1">((((V15+V16)/2)^2+(W15^2+W16^2)/4)^(V22/2))+((((V15-V16)/2)^2+(W15^2-W16^2)/4)^(V23/2))</f>
        <v>2074.7695034831813</v>
      </c>
      <c r="W24" s="147"/>
      <c r="X24" s="147">
        <f ca="1">((((X15+X16)/2)^2+(Y15^2+Y16^2)/4)^(X22/2))+((((X15-X16)/2)^2+(Y15^2-Y16^2)/4)^(X23/2))</f>
        <v>2101.5701859945339</v>
      </c>
      <c r="Y24" s="147"/>
      <c r="Z24" s="147">
        <f ca="1">((((Z15+Z16)/2)^2+(AA15^2+AA16^2)/4)^(Z22/2))+((((Z15-Z16)/2)^2+(AA15^2-AA16^2)/4)^(Z23/2))</f>
        <v>56458.519014731348</v>
      </c>
      <c r="AA24" s="147"/>
      <c r="AB24" s="147">
        <f ca="1">((((AB15+AB16)/2)^2+(AC15^2+AC16^2)/4)^(AB22/2))+((((AB15-AB16)/2)^2+(AC15^2-AC16^2)/4)^(AB23/2))</f>
        <v>38985.758695549703</v>
      </c>
      <c r="AC24" s="147"/>
      <c r="AD24" s="147">
        <f ca="1">((((AD15+AD16)/2)^2+(AE15^2+AE16^2)/4)^(AD22/2))+((((AD15-AD16)/2)^2+(AE15^2-AE16^2)/4)^(AD23/2))</f>
        <v>39686.398345955997</v>
      </c>
      <c r="AE24" s="147"/>
      <c r="AF24" s="147">
        <f ca="1">((((AF15+AF16)/2)^2+(AG15^2+AG16^2)/4)^(AF22/2))+((((AF15-AF16)/2)^2+(AG15^2-AG16^2)/4)^(AF23/2))</f>
        <v>456805.11401927372</v>
      </c>
      <c r="AG24" s="147"/>
      <c r="AH24" s="147">
        <f ca="1">((((AH15+AH16)/2)^2+(AI15^2+AI16^2)/4)^(AH22/2))+((((AH15-AH16)/2)^2+(AI15^2-AI16^2)/4)^(AH23/2))</f>
        <v>188858.82451240948</v>
      </c>
      <c r="AI24" s="147"/>
      <c r="AJ24" s="147">
        <f ca="1">((((AJ15+AJ16)/2)^2+(AK15^2+AK16^2)/4)^(AJ22/2))+((((AJ15-AJ16)/2)^2+(AK15^2-AK16^2)/4)^(AJ23/2))</f>
        <v>176343.59648908593</v>
      </c>
      <c r="AK24" s="147"/>
      <c r="AL24" s="148">
        <f ca="1">((((AL15+AL16)/2)^2+(AM15^2+AM16^2)/4)^(AL22/2))+((((AL15-AL16)/2)^2+(AM15^2-AM16^2)/4)^(AL23/2))</f>
        <v>221016.86097273848</v>
      </c>
      <c r="AM24" s="149"/>
      <c r="AN24" s="148">
        <f ca="1">((((AN15+AN16)/2)^2+(AO15^2+AO16^2)/4)^(AN22/2))+((((AN15-AN16)/2)^2+(AO15^2-AO16^2)/4)^(AN23/2))</f>
        <v>120549.09103428769</v>
      </c>
      <c r="AO24" s="149"/>
      <c r="AP24" s="148">
        <f ca="1">((((AP15+AP16)/2)^2+(AQ15^2+AQ16^2)/4)^(AP22/2))+((((AP15-AP16)/2)^2+(AQ15^2-AQ16^2)/4)^(AP23/2))</f>
        <v>122144.28368434934</v>
      </c>
      <c r="AQ24" s="149"/>
      <c r="AR24" s="148">
        <f ca="1">((((AR15+AR16)/2)^2+(AS15^2+AS16^2)/4)^(AR22/2))+((((AR15-AR16)/2)^2+(AS15^2-AS16^2)/4)^(AR23/2))</f>
        <v>265318.83571723267</v>
      </c>
      <c r="AS24" s="149"/>
      <c r="AT24" s="148">
        <f ca="1">((((AT15+AT16)/2)^2+(AU15^2+AU16^2)/4)^(AT22/2))+((((AT15-AT16)/2)^2+(AU15^2-AU16^2)/4)^(AT23/2))</f>
        <v>156133.68297308471</v>
      </c>
      <c r="AU24" s="149"/>
      <c r="AV24" s="148">
        <f ca="1">((((AV15+AV16)/2)^2+(AW15^2+AW16^2)/4)^(AV22/2))+((((AV15-AV16)/2)^2+(AW15^2-AW16^2)/4)^(AV23/2))</f>
        <v>152129.56120824776</v>
      </c>
      <c r="AW24" s="149"/>
      <c r="AX24" s="148">
        <f ca="1">((((AX15+AX16)/2)^2+(AY15^2+AY16^2)/4)^(AX22/2))+((((AX15-AX16)/2)^2+(AY15^2-AY16^2)/4)^(AX23/2))</f>
        <v>313058.81308860023</v>
      </c>
      <c r="AY24" s="149"/>
      <c r="AZ24" s="148">
        <f ca="1">((((AZ15+AZ16)/2)^2+(BA15^2+BA16^2)/4)^(AZ22/2))+((((AZ15-AZ16)/2)^2+(BA15^2-BA16^2)/4)^(AZ23/2))</f>
        <v>179850.95890674711</v>
      </c>
      <c r="BA24" s="149"/>
      <c r="BB24" s="148">
        <f ca="1">((((BB15+BB16)/2)^2+(BC15^2+BC16^2)/4)^(BB22/2))+((((BB15-BB16)/2)^2+(BC15^2-BC16^2)/4)^(BB23/2))</f>
        <v>186909.76309335054</v>
      </c>
      <c r="BC24" s="149"/>
      <c r="BD24" s="148">
        <f ca="1">((((BD15+BD16)/2)^2+(BE15^2+BE16^2)/4)^(BD22/2))+((((BD15-BD16)/2)^2+(BE15^2-BE16^2)/4)^(BD23/2))</f>
        <v>3612.3125943814525</v>
      </c>
      <c r="BE24" s="149"/>
      <c r="BF24" s="148">
        <f ca="1">((((BF15+BF16)/2)^2+(BG15^2+BG16^2)/4)^(BF22/2))+((((BF15-BF16)/2)^2+(BG15^2-BG16^2)/4)^(BF23/2))</f>
        <v>2131.4186493007901</v>
      </c>
      <c r="BG24" s="149"/>
      <c r="BH24" s="148">
        <f ca="1">((((BH15+BH16)/2)^2+(BI15^2+BI16^2)/4)^(BH22/2))+((((BH15-BH16)/2)^2+(BI15^2-BI16^2)/4)^(BH23/2))</f>
        <v>2563.4826226783007</v>
      </c>
      <c r="BI24" s="149"/>
      <c r="BJ24" s="148">
        <f ca="1">((((BJ15+BJ16)/2)^2+(BK15^2+BK16^2)/4)^(BJ22/2))+((((BJ15-BJ16)/2)^2+(BK15^2-BK16^2)/4)^(BJ23/2))</f>
        <v>57243.317126759743</v>
      </c>
      <c r="BK24" s="149"/>
      <c r="BL24" s="148">
        <f ca="1">((((BL15+BL16)/2)^2+(BM15^2+BM16^2)/4)^(BL22/2))+((((BL15-BL16)/2)^2+(BM15^2-BM16^2)/4)^(BL23/2))</f>
        <v>40544.224623607013</v>
      </c>
      <c r="BM24" s="149"/>
      <c r="BN24" s="148">
        <f ca="1">((((BN15+BN16)/2)^2+(BO15^2+BO16^2)/4)^(BN22/2))+((((BN15-BN16)/2)^2+(BO15^2-BO16^2)/4)^(BN23/2))</f>
        <v>38038.91080104815</v>
      </c>
      <c r="BO24" s="149"/>
      <c r="BP24" s="148">
        <f ca="1">((((BP15+BP16)/2)^2+(BQ15^2+BQ16^2)/4)^(BP22/2))+((((BP15-BP16)/2)^2+(BQ15^2-BQ16^2)/4)^(BP23/2))</f>
        <v>484026.84113342944</v>
      </c>
      <c r="BQ24" s="149"/>
      <c r="BR24" s="148">
        <f ca="1">((((BR15+BR16)/2)^2+(BS15^2+BS16^2)/4)^(BR22/2))+((((BR15-BR16)/2)^2+(BS15^2-BS16^2)/4)^(BR23/2))</f>
        <v>174463.87359244263</v>
      </c>
      <c r="BS24" s="149"/>
      <c r="BT24" s="148">
        <f ca="1">((((BT15+BT16)/2)^2+(BU15^2+BU16^2)/4)^(BT22/2))+((((BT15-BT16)/2)^2+(BU15^2-BU16^2)/4)^(BT23/2))</f>
        <v>166893.25392426783</v>
      </c>
      <c r="BU24" s="149"/>
      <c r="BV24" s="150">
        <f ca="1">((((BV15+BV16)/2)^2+(BW15^2+BW16^2)/4)^(BV22/2))+((((BV15-BV16)/2)^2+(BW15^2-BW16^2)/4)^(BV23/2))</f>
        <v>208252.35600577592</v>
      </c>
      <c r="BW24" s="151"/>
      <c r="BX24" s="150">
        <f ca="1">((((BX15+BX16)/2)^2+(BY15^2+BY16^2)/4)^(BX22/2))+((((BX15-BX16)/2)^2+(BY15^2-BY16^2)/4)^(BX23/2))</f>
        <v>124396.81439858208</v>
      </c>
      <c r="BY24" s="151"/>
      <c r="BZ24" s="150">
        <f ca="1">((((BZ15+BZ16)/2)^2+(CA15^2+CA16^2)/4)^(BZ22/2))+((((BZ15-BZ16)/2)^2+(CA15^2-CA16^2)/4)^(BZ23/2))</f>
        <v>115019.58789231235</v>
      </c>
      <c r="CA24" s="151"/>
      <c r="CB24" s="150">
        <f ca="1">((((CB15+CB16)/2)^2+(CC15^2+CC16^2)/4)^(CB22/2))+((((CB15-CB16)/2)^2+(CC15^2-CC16^2)/4)^(CB23/2))</f>
        <v>244328.41863203235</v>
      </c>
      <c r="CC24" s="151"/>
      <c r="CD24" s="150">
        <f ca="1">((((CD15+CD16)/2)^2+(CE15^2+CE16^2)/4)^(CD22/2))+((((CD15-CD16)/2)^2+(CE15^2-CE16^2)/4)^(CD23/2))</f>
        <v>148403.50457881027</v>
      </c>
      <c r="CE24" s="151"/>
      <c r="CF24" s="150">
        <f ca="1">((((CF15+CF16)/2)^2+(CG15^2+CG16^2)/4)^(CF22/2))+((((CF15-CF16)/2)^2+(CG15^2-CG16^2)/4)^(CF23/2))</f>
        <v>144263.13267016079</v>
      </c>
      <c r="CG24" s="151"/>
      <c r="CH24" s="150">
        <f ca="1">((((CH15+CH16)/2)^2+(CI15^2+CI16^2)/4)^(CH22/2))+((((CH15-CH16)/2)^2+(CI15^2-CI16^2)/4)^(CH23/2))</f>
        <v>332380.92371897044</v>
      </c>
      <c r="CI24" s="151"/>
      <c r="CJ24" s="150">
        <f ca="1">((((CJ15+CJ16)/2)^2+(CK15^2+CK16^2)/4)^(CJ22/2))+((((CJ15-CJ16)/2)^2+(CK15^2-CK16^2)/4)^(CJ23/2))</f>
        <v>198028.43385984347</v>
      </c>
      <c r="CK24" s="151"/>
      <c r="CL24" s="150">
        <f ca="1">((((CL15+CL16)/2)^2+(CM15^2+CM16^2)/4)^(CL22/2))+((((CL15-CL16)/2)^2+(CM15^2-CM16^2)/4)^(CL23/2))</f>
        <v>175523.59312266143</v>
      </c>
      <c r="CM24" s="151"/>
      <c r="CN24" s="150">
        <f ca="1">((((CN15+CN16)/2)^2+(CO15^2+CO16^2)/4)^(CN22/2))+((((CN15-CN16)/2)^2+(CO15^2-CO16^2)/4)^(CN23/2))</f>
        <v>3225.3084435350834</v>
      </c>
      <c r="CO24" s="151"/>
      <c r="CP24" s="150">
        <f ca="1">((((CP15+CP16)/2)^2+(CQ15^2+CQ16^2)/4)^(CP22/2))+((((CP15-CP16)/2)^2+(CQ15^2-CQ16^2)/4)^(CP23/2))</f>
        <v>2015.6166629076276</v>
      </c>
      <c r="CQ24" s="151"/>
      <c r="CR24" s="150">
        <f ca="1">((((CR15+CR16)/2)^2+(CS15^2+CS16^2)/4)^(CR22/2))+((((CR15-CR16)/2)^2+(CS15^2-CS16^2)/4)^(CR23/2))</f>
        <v>2332.0108159317365</v>
      </c>
      <c r="CS24" s="151"/>
      <c r="CT24" s="150">
        <f ca="1">((((CT15+CT16)/2)^2+(CU15^2+CU16^2)/4)^(CT22/2))+((((CT15-CT16)/2)^2+(CU15^2-CU16^2)/4)^(CT23/2))</f>
        <v>55393.91397400471</v>
      </c>
      <c r="CU24" s="151"/>
      <c r="CV24" s="150">
        <f ca="1">((((CV15+CV16)/2)^2+(CW15^2+CW16^2)/4)^(CV22/2))+((((CV15-CV16)/2)^2+(CW15^2-CW16^2)/4)^(CV23/2))</f>
        <v>39251.955932064739</v>
      </c>
      <c r="CW24" s="151"/>
      <c r="CX24" s="150">
        <f ca="1">((((CX15+CX16)/2)^2+(CY15^2+CY16^2)/4)^(CX22/2))+((((CX15-CX16)/2)^2+(CY15^2-CY16^2)/4)^(CX23/2))</f>
        <v>35051.695756991634</v>
      </c>
      <c r="CY24" s="151"/>
      <c r="CZ24" s="150">
        <f ca="1">((((CZ15+CZ16)/2)^2+(DA15^2+DA16^2)/4)^(CZ22/2))+((((CZ15-CZ16)/2)^2+(DA15^2-DA16^2)/4)^(CZ23/2))</f>
        <v>491812.17727529607</v>
      </c>
      <c r="DA24" s="151"/>
      <c r="DB24" s="150">
        <f ca="1">((((DB15+DB16)/2)^2+(DC15^2+DC16^2)/4)^(DB22/2))+((((DB15-DB16)/2)^2+(DC15^2-DC16^2)/4)^(DB23/2))</f>
        <v>187424.86275390864</v>
      </c>
      <c r="DC24" s="151"/>
      <c r="DD24" s="150">
        <f ca="1">((((DD15+DD16)/2)^2+(DE15^2+DE16^2)/4)^(DD22/2))+((((DD15-DD16)/2)^2+(DE15^2-DE16^2)/4)^(DD23/2))</f>
        <v>190259.74353562886</v>
      </c>
      <c r="DE24" s="151"/>
      <c r="DF24" s="152">
        <f ca="1">((((DF15+DF16)/2)^2+(DG15^2+DG16^2)/4)^(DF22/2))+((((DF15-DF16)/2)^2+(DG15^2-DG16^2)/4)^(DF23/2))</f>
        <v>227078.84057498423</v>
      </c>
      <c r="DG24" s="153"/>
      <c r="DH24" s="152">
        <f ca="1">((((DH15+DH16)/2)^2+(DI15^2+DI16^2)/4)^(DH22/2))+((((DH15-DH16)/2)^2+(DI15^2-DI16^2)/4)^(DH23/2))</f>
        <v>135241.15469483519</v>
      </c>
      <c r="DI24" s="153"/>
      <c r="DJ24" s="152">
        <f ca="1">((((DJ15+DJ16)/2)^2+(DK15^2+DK16^2)/4)^(DJ22/2))+((((DJ15-DJ16)/2)^2+(DK15^2-DK16^2)/4)^(DJ23/2))</f>
        <v>135279.22979681526</v>
      </c>
      <c r="DK24" s="153"/>
      <c r="DL24" s="152">
        <f ca="1">((((DL15+DL16)/2)^2+(DM15^2+DM16^2)/4)^(DL22/2))+((((DL15-DL16)/2)^2+(DM15^2-DM16^2)/4)^(DL23/2))</f>
        <v>270733.70150697458</v>
      </c>
      <c r="DM24" s="153"/>
      <c r="DN24" s="152">
        <f ca="1">((((DN15+DN16)/2)^2+(DO15^2+DO16^2)/4)^(DN22/2))+((((DN15-DN16)/2)^2+(DO15^2-DO16^2)/4)^(DN23/2))</f>
        <v>182562.22680170438</v>
      </c>
      <c r="DO24" s="153"/>
      <c r="DP24" s="152">
        <f ca="1">((((DP15+DP16)/2)^2+(DQ15^2+DQ16^2)/4)^(DP22/2))+((((DP15-DP16)/2)^2+(DQ15^2-DQ16^2)/4)^(DP23/2))</f>
        <v>169447.02535895802</v>
      </c>
      <c r="DQ24" s="153"/>
      <c r="DR24" s="152">
        <f ca="1">((((DR15+DR16)/2)^2+(DS15^2+DS16^2)/4)^(DR22/2))+((((DR15-DR16)/2)^2+(DS15^2-DS16^2)/4)^(DR23/2))</f>
        <v>360333.98929610476</v>
      </c>
      <c r="DS24" s="153"/>
      <c r="DT24" s="152">
        <f ca="1">((((DT15+DT16)/2)^2+(DU15^2+DU16^2)/4)^(DT22/2))+((((DT15-DT16)/2)^2+(DU15^2-DU16^2)/4)^(DT23/2))</f>
        <v>226726.22469985744</v>
      </c>
      <c r="DU24" s="153"/>
      <c r="DV24" s="152">
        <f ca="1">((((DV15+DV16)/2)^2+(DW15^2+DW16^2)/4)^(DV22/2))+((((DV15-DV16)/2)^2+(DW15^2-DW16^2)/4)^(DV23/2))</f>
        <v>206967.23479436085</v>
      </c>
      <c r="DW24" s="153"/>
      <c r="DX24" s="152">
        <f ca="1">((((DX15+DX16)/2)^2+(DY15^2+DY16^2)/4)^(DX22/2))+((((DX15-DX16)/2)^2+(DY15^2-DY16^2)/4)^(DX23/2))</f>
        <v>3975.5543272250402</v>
      </c>
      <c r="DY24" s="153"/>
      <c r="DZ24" s="152">
        <f ca="1">((((DZ15+DZ16)/2)^2+(EA15^2+EA16^2)/4)^(DZ22/2))+((((DZ15-DZ16)/2)^2+(EA15^2-EA16^2)/4)^(DZ23/2))</f>
        <v>2546.0726118895504</v>
      </c>
      <c r="EA24" s="153"/>
      <c r="EB24" s="152">
        <f ca="1">((((EB15+EB16)/2)^2+(EC15^2+EC16^2)/4)^(EB22/2))+((((EB15-EB16)/2)^2+(EC15^2-EC16^2)/4)^(EB23/2))</f>
        <v>2921.8203242365853</v>
      </c>
      <c r="EC24" s="153"/>
      <c r="ED24" s="152">
        <f ca="1">((((ED15+ED16)/2)^2+(EE15^2+EE16^2)/4)^(ED22/2))+((((ED15-ED16)/2)^2+(EE15^2-EE16^2)/4)^(ED23/2))</f>
        <v>59427.901024127787</v>
      </c>
      <c r="EE24" s="153"/>
      <c r="EF24" s="152">
        <f ca="1">((((EF15+EF16)/2)^2+(EG15^2+EG16^2)/4)^(EF22/2))+((((EF15-EF16)/2)^2+(EG15^2-EG16^2)/4)^(EF23/2))</f>
        <v>46088.514380749315</v>
      </c>
      <c r="EG24" s="153"/>
      <c r="EH24" s="152">
        <f ca="1">((((EH15+EH16)/2)^2+(EI15^2+EI16^2)/4)^(EH22/2))+((((EH15-EH16)/2)^2+(EI15^2-EI16^2)/4)^(EH23/2))</f>
        <v>43405.574286445044</v>
      </c>
      <c r="EI24" s="153"/>
      <c r="EJ24" s="152">
        <f ca="1">((((EJ15+EJ16)/2)^2+(EK15^2+EK16^2)/4)^(EJ22/2))+((((EJ15-EJ16)/2)^2+(EK15^2-EK16^2)/4)^(EJ23/2))</f>
        <v>492119.75946273038</v>
      </c>
      <c r="EK24" s="153"/>
      <c r="EL24" s="152">
        <f ca="1">((((EL15+EL16)/2)^2+(EM15^2+EM16^2)/4)^(EL22/2))+((((EL15-EL16)/2)^2+(EM15^2-EM16^2)/4)^(EL23/2))</f>
        <v>209906.92113424608</v>
      </c>
      <c r="EM24" s="153"/>
      <c r="EN24" s="152">
        <f ca="1">((((EN15+EN16)/2)^2+(EO15^2+EO16^2)/4)^(EN22/2))+((((EN15-EN16)/2)^2+(EO15^2-EO16^2)/4)^(EN23/2))</f>
        <v>201899.71287739219</v>
      </c>
      <c r="EO24" s="153"/>
    </row>
    <row r="25" spans="1:145" x14ac:dyDescent="0.25">
      <c r="A25" s="16" t="s">
        <v>31</v>
      </c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8"/>
      <c r="AM25" s="149"/>
      <c r="AN25" s="148"/>
      <c r="AO25" s="149"/>
      <c r="AP25" s="148"/>
      <c r="AQ25" s="149"/>
      <c r="AR25" s="148"/>
      <c r="AS25" s="149"/>
      <c r="AT25" s="148"/>
      <c r="AU25" s="149"/>
      <c r="AV25" s="148"/>
      <c r="AW25" s="149"/>
      <c r="AX25" s="148"/>
      <c r="AY25" s="149"/>
      <c r="AZ25" s="148"/>
      <c r="BA25" s="149"/>
      <c r="BB25" s="148"/>
      <c r="BC25" s="149"/>
      <c r="BD25" s="148"/>
      <c r="BE25" s="149"/>
      <c r="BF25" s="148"/>
      <c r="BG25" s="149"/>
      <c r="BH25" s="148"/>
      <c r="BI25" s="149"/>
      <c r="BJ25" s="148"/>
      <c r="BK25" s="149"/>
      <c r="BL25" s="148"/>
      <c r="BM25" s="149"/>
      <c r="BN25" s="148"/>
      <c r="BO25" s="149"/>
      <c r="BP25" s="148"/>
      <c r="BQ25" s="149"/>
      <c r="BR25" s="148"/>
      <c r="BS25" s="149"/>
      <c r="BT25" s="148"/>
      <c r="BU25" s="149"/>
      <c r="BV25" s="150"/>
      <c r="BW25" s="151"/>
      <c r="BX25" s="150"/>
      <c r="BY25" s="151"/>
      <c r="BZ25" s="150"/>
      <c r="CA25" s="151"/>
      <c r="CB25" s="150"/>
      <c r="CC25" s="151"/>
      <c r="CD25" s="150"/>
      <c r="CE25" s="151"/>
      <c r="CF25" s="150"/>
      <c r="CG25" s="151"/>
      <c r="CH25" s="150"/>
      <c r="CI25" s="151"/>
      <c r="CJ25" s="150"/>
      <c r="CK25" s="151"/>
      <c r="CL25" s="150"/>
      <c r="CM25" s="151"/>
      <c r="CN25" s="150"/>
      <c r="CO25" s="151"/>
      <c r="CP25" s="150"/>
      <c r="CQ25" s="151"/>
      <c r="CR25" s="150"/>
      <c r="CS25" s="151"/>
      <c r="CT25" s="150"/>
      <c r="CU25" s="151"/>
      <c r="CV25" s="150"/>
      <c r="CW25" s="151"/>
      <c r="CX25" s="150"/>
      <c r="CY25" s="151"/>
      <c r="CZ25" s="150"/>
      <c r="DA25" s="151"/>
      <c r="DB25" s="150"/>
      <c r="DC25" s="151"/>
      <c r="DD25" s="150"/>
      <c r="DE25" s="151"/>
      <c r="DF25" s="152"/>
      <c r="DG25" s="153"/>
      <c r="DH25" s="152"/>
      <c r="DI25" s="153"/>
      <c r="DJ25" s="152"/>
      <c r="DK25" s="153"/>
      <c r="DL25" s="152"/>
      <c r="DM25" s="153"/>
      <c r="DN25" s="152"/>
      <c r="DO25" s="153"/>
      <c r="DP25" s="152"/>
      <c r="DQ25" s="153"/>
      <c r="DR25" s="152"/>
      <c r="DS25" s="153"/>
      <c r="DT25" s="152"/>
      <c r="DU25" s="153"/>
      <c r="DV25" s="152"/>
      <c r="DW25" s="153"/>
      <c r="DX25" s="152"/>
      <c r="DY25" s="153"/>
      <c r="DZ25" s="152"/>
      <c r="EA25" s="153"/>
      <c r="EB25" s="152"/>
      <c r="EC25" s="153"/>
      <c r="ED25" s="152"/>
      <c r="EE25" s="153"/>
      <c r="EF25" s="152"/>
      <c r="EG25" s="153"/>
      <c r="EH25" s="152"/>
      <c r="EI25" s="153"/>
      <c r="EJ25" s="152"/>
      <c r="EK25" s="153"/>
      <c r="EL25" s="152"/>
      <c r="EM25" s="153"/>
      <c r="EN25" s="152"/>
      <c r="EO25" s="153"/>
    </row>
    <row r="26" spans="1:145" x14ac:dyDescent="0.25">
      <c r="A26" s="14" t="s">
        <v>32</v>
      </c>
      <c r="B26" s="147">
        <v>6</v>
      </c>
      <c r="C26" s="147"/>
      <c r="D26" s="147">
        <f>B26</f>
        <v>6</v>
      </c>
      <c r="E26" s="147"/>
      <c r="F26" s="147">
        <f>D26</f>
        <v>6</v>
      </c>
      <c r="G26" s="147"/>
      <c r="H26" s="147">
        <f>F26</f>
        <v>6</v>
      </c>
      <c r="I26" s="147"/>
      <c r="J26" s="147">
        <f>H26</f>
        <v>6</v>
      </c>
      <c r="K26" s="147"/>
      <c r="L26" s="147">
        <f>J26</f>
        <v>6</v>
      </c>
      <c r="M26" s="147"/>
      <c r="N26" s="147">
        <f>L26</f>
        <v>6</v>
      </c>
      <c r="O26" s="147"/>
      <c r="P26" s="147">
        <f>N26</f>
        <v>6</v>
      </c>
      <c r="Q26" s="147"/>
      <c r="R26" s="147">
        <f>P26</f>
        <v>6</v>
      </c>
      <c r="S26" s="147"/>
      <c r="T26" s="147">
        <f>R26</f>
        <v>6</v>
      </c>
      <c r="U26" s="147"/>
      <c r="V26" s="147">
        <f>T26</f>
        <v>6</v>
      </c>
      <c r="W26" s="147"/>
      <c r="X26" s="147">
        <f>V26</f>
        <v>6</v>
      </c>
      <c r="Y26" s="147"/>
      <c r="Z26" s="147">
        <f>X26</f>
        <v>6</v>
      </c>
      <c r="AA26" s="147"/>
      <c r="AB26" s="147">
        <f>Z26</f>
        <v>6</v>
      </c>
      <c r="AC26" s="147"/>
      <c r="AD26" s="147">
        <f>AB26</f>
        <v>6</v>
      </c>
      <c r="AE26" s="147"/>
      <c r="AF26" s="147">
        <f>AD26</f>
        <v>6</v>
      </c>
      <c r="AG26" s="147"/>
      <c r="AH26" s="147">
        <f>AF26</f>
        <v>6</v>
      </c>
      <c r="AI26" s="147"/>
      <c r="AJ26" s="147">
        <f>AH26</f>
        <v>6</v>
      </c>
      <c r="AK26" s="147"/>
      <c r="AL26" s="147">
        <f>AJ26</f>
        <v>6</v>
      </c>
      <c r="AM26" s="147"/>
      <c r="AN26" s="147">
        <f>AL26</f>
        <v>6</v>
      </c>
      <c r="AO26" s="147"/>
      <c r="AP26" s="147">
        <f>AN26</f>
        <v>6</v>
      </c>
      <c r="AQ26" s="147"/>
      <c r="AR26" s="147">
        <f>AP26</f>
        <v>6</v>
      </c>
      <c r="AS26" s="147"/>
      <c r="AT26" s="147">
        <f>AR26</f>
        <v>6</v>
      </c>
      <c r="AU26" s="147"/>
      <c r="AV26" s="147">
        <f>AT26</f>
        <v>6</v>
      </c>
      <c r="AW26" s="147"/>
      <c r="AX26" s="147">
        <f>AV26</f>
        <v>6</v>
      </c>
      <c r="AY26" s="147"/>
      <c r="AZ26" s="147">
        <f>AX26</f>
        <v>6</v>
      </c>
      <c r="BA26" s="147"/>
      <c r="BB26" s="147">
        <f>AZ26</f>
        <v>6</v>
      </c>
      <c r="BC26" s="147"/>
      <c r="BD26" s="147">
        <f>BB26</f>
        <v>6</v>
      </c>
      <c r="BE26" s="147"/>
      <c r="BF26" s="147">
        <f>BD26</f>
        <v>6</v>
      </c>
      <c r="BG26" s="147"/>
      <c r="BH26" s="147">
        <f>BF26</f>
        <v>6</v>
      </c>
      <c r="BI26" s="147"/>
      <c r="BJ26" s="147">
        <f>BH26</f>
        <v>6</v>
      </c>
      <c r="BK26" s="147"/>
      <c r="BL26" s="147">
        <f>BJ26</f>
        <v>6</v>
      </c>
      <c r="BM26" s="147"/>
      <c r="BN26" s="147">
        <f>BL26</f>
        <v>6</v>
      </c>
      <c r="BO26" s="147"/>
      <c r="BP26" s="147">
        <f>BN26</f>
        <v>6</v>
      </c>
      <c r="BQ26" s="147"/>
      <c r="BR26" s="147">
        <f>BP26</f>
        <v>6</v>
      </c>
      <c r="BS26" s="149"/>
      <c r="BT26" s="148">
        <f>BR26</f>
        <v>6</v>
      </c>
      <c r="BU26" s="149"/>
      <c r="BV26" s="147">
        <f>BT26</f>
        <v>6</v>
      </c>
      <c r="BW26" s="147"/>
      <c r="BX26" s="147">
        <f>BV26</f>
        <v>6</v>
      </c>
      <c r="BY26" s="147"/>
      <c r="BZ26" s="147">
        <f>BX26</f>
        <v>6</v>
      </c>
      <c r="CA26" s="147"/>
      <c r="CB26" s="147">
        <f>BZ26</f>
        <v>6</v>
      </c>
      <c r="CC26" s="147"/>
      <c r="CD26" s="147">
        <f>CB26</f>
        <v>6</v>
      </c>
      <c r="CE26" s="147"/>
      <c r="CF26" s="147">
        <f>CD26</f>
        <v>6</v>
      </c>
      <c r="CG26" s="147"/>
      <c r="CH26" s="147">
        <f>CF26</f>
        <v>6</v>
      </c>
      <c r="CI26" s="147"/>
      <c r="CJ26" s="147">
        <f>CH26</f>
        <v>6</v>
      </c>
      <c r="CK26" s="147"/>
      <c r="CL26" s="147">
        <f>CJ26</f>
        <v>6</v>
      </c>
      <c r="CM26" s="147"/>
      <c r="CN26" s="147">
        <f>CL26</f>
        <v>6</v>
      </c>
      <c r="CO26" s="147"/>
      <c r="CP26" s="147">
        <f>CN26</f>
        <v>6</v>
      </c>
      <c r="CQ26" s="147"/>
      <c r="CR26" s="147">
        <f>CP26</f>
        <v>6</v>
      </c>
      <c r="CS26" s="147"/>
      <c r="CT26" s="147">
        <f>CR26</f>
        <v>6</v>
      </c>
      <c r="CU26" s="147"/>
      <c r="CV26" s="147">
        <f>CT26</f>
        <v>6</v>
      </c>
      <c r="CW26" s="147"/>
      <c r="CX26" s="147">
        <f>CV26</f>
        <v>6</v>
      </c>
      <c r="CY26" s="147"/>
      <c r="CZ26" s="147">
        <f>CX26</f>
        <v>6</v>
      </c>
      <c r="DA26" s="147"/>
      <c r="DB26" s="147">
        <f>CZ26</f>
        <v>6</v>
      </c>
      <c r="DC26" s="149"/>
      <c r="DD26" s="148">
        <f>DB26</f>
        <v>6</v>
      </c>
      <c r="DE26" s="149"/>
      <c r="DF26" s="147">
        <f>DD26</f>
        <v>6</v>
      </c>
      <c r="DG26" s="147"/>
      <c r="DH26" s="147">
        <f>DF26</f>
        <v>6</v>
      </c>
      <c r="DI26" s="147"/>
      <c r="DJ26" s="147">
        <f>DH26</f>
        <v>6</v>
      </c>
      <c r="DK26" s="147"/>
      <c r="DL26" s="147">
        <f>DJ26</f>
        <v>6</v>
      </c>
      <c r="DM26" s="147"/>
      <c r="DN26" s="147">
        <f>DL26</f>
        <v>6</v>
      </c>
      <c r="DO26" s="147"/>
      <c r="DP26" s="147">
        <f>DN26</f>
        <v>6</v>
      </c>
      <c r="DQ26" s="147"/>
      <c r="DR26" s="147">
        <f>DP26</f>
        <v>6</v>
      </c>
      <c r="DS26" s="147"/>
      <c r="DT26" s="147">
        <f>DR26</f>
        <v>6</v>
      </c>
      <c r="DU26" s="147"/>
      <c r="DV26" s="147">
        <f>DT26</f>
        <v>6</v>
      </c>
      <c r="DW26" s="147"/>
      <c r="DX26" s="147">
        <f>DV26</f>
        <v>6</v>
      </c>
      <c r="DY26" s="147"/>
      <c r="DZ26" s="147">
        <f>DX26</f>
        <v>6</v>
      </c>
      <c r="EA26" s="147"/>
      <c r="EB26" s="147">
        <f>DZ26</f>
        <v>6</v>
      </c>
      <c r="EC26" s="147"/>
      <c r="ED26" s="147">
        <f>EB26</f>
        <v>6</v>
      </c>
      <c r="EE26" s="147"/>
      <c r="EF26" s="147">
        <f>ED26</f>
        <v>6</v>
      </c>
      <c r="EG26" s="147"/>
      <c r="EH26" s="147">
        <f>EF26</f>
        <v>6</v>
      </c>
      <c r="EI26" s="147"/>
      <c r="EJ26" s="147">
        <f>EH26</f>
        <v>6</v>
      </c>
      <c r="EK26" s="147"/>
      <c r="EL26" s="147">
        <f>EJ26</f>
        <v>6</v>
      </c>
      <c r="EM26" s="149"/>
      <c r="EN26" s="148">
        <f>EL26</f>
        <v>6</v>
      </c>
      <c r="EO26" s="149"/>
    </row>
    <row r="27" spans="1:145" x14ac:dyDescent="0.25">
      <c r="A27" s="14" t="s">
        <v>33</v>
      </c>
      <c r="B27" s="147">
        <v>4</v>
      </c>
      <c r="C27" s="147"/>
      <c r="D27" s="147">
        <f>B27</f>
        <v>4</v>
      </c>
      <c r="E27" s="147"/>
      <c r="F27" s="147">
        <f>D27</f>
        <v>4</v>
      </c>
      <c r="G27" s="147"/>
      <c r="H27" s="147">
        <f>F27</f>
        <v>4</v>
      </c>
      <c r="I27" s="147"/>
      <c r="J27" s="147">
        <f>H27</f>
        <v>4</v>
      </c>
      <c r="K27" s="147"/>
      <c r="L27" s="147">
        <f>J27</f>
        <v>4</v>
      </c>
      <c r="M27" s="147"/>
      <c r="N27" s="147">
        <f>L27</f>
        <v>4</v>
      </c>
      <c r="O27" s="147"/>
      <c r="P27" s="147">
        <f>N27</f>
        <v>4</v>
      </c>
      <c r="Q27" s="147"/>
      <c r="R27" s="147">
        <f>P27</f>
        <v>4</v>
      </c>
      <c r="S27" s="147"/>
      <c r="T27" s="147">
        <f>R27</f>
        <v>4</v>
      </c>
      <c r="U27" s="147"/>
      <c r="V27" s="147">
        <f>T27</f>
        <v>4</v>
      </c>
      <c r="W27" s="147"/>
      <c r="X27" s="147">
        <f>V27</f>
        <v>4</v>
      </c>
      <c r="Y27" s="147"/>
      <c r="Z27" s="147">
        <f>X27</f>
        <v>4</v>
      </c>
      <c r="AA27" s="147"/>
      <c r="AB27" s="147">
        <f>Z27</f>
        <v>4</v>
      </c>
      <c r="AC27" s="147"/>
      <c r="AD27" s="147">
        <f>AB27</f>
        <v>4</v>
      </c>
      <c r="AE27" s="147"/>
      <c r="AF27" s="147">
        <f>AD27</f>
        <v>4</v>
      </c>
      <c r="AG27" s="147"/>
      <c r="AH27" s="147">
        <f>AF27</f>
        <v>4</v>
      </c>
      <c r="AI27" s="147"/>
      <c r="AJ27" s="147">
        <f>AH27</f>
        <v>4</v>
      </c>
      <c r="AK27" s="147"/>
      <c r="AL27" s="147">
        <f>AJ27</f>
        <v>4</v>
      </c>
      <c r="AM27" s="147"/>
      <c r="AN27" s="147">
        <f>AL27</f>
        <v>4</v>
      </c>
      <c r="AO27" s="147"/>
      <c r="AP27" s="147">
        <f>AN27</f>
        <v>4</v>
      </c>
      <c r="AQ27" s="147"/>
      <c r="AR27" s="147">
        <f>AP27</f>
        <v>4</v>
      </c>
      <c r="AS27" s="147"/>
      <c r="AT27" s="147">
        <f>AR27</f>
        <v>4</v>
      </c>
      <c r="AU27" s="147"/>
      <c r="AV27" s="147">
        <f>AT27</f>
        <v>4</v>
      </c>
      <c r="AW27" s="147"/>
      <c r="AX27" s="147">
        <f>AV27</f>
        <v>4</v>
      </c>
      <c r="AY27" s="147"/>
      <c r="AZ27" s="147">
        <f>AX27</f>
        <v>4</v>
      </c>
      <c r="BA27" s="147"/>
      <c r="BB27" s="147">
        <f>AZ27</f>
        <v>4</v>
      </c>
      <c r="BC27" s="147"/>
      <c r="BD27" s="147">
        <f>BB27</f>
        <v>4</v>
      </c>
      <c r="BE27" s="147"/>
      <c r="BF27" s="147">
        <f>BD27</f>
        <v>4</v>
      </c>
      <c r="BG27" s="147"/>
      <c r="BH27" s="147">
        <f>BF27</f>
        <v>4</v>
      </c>
      <c r="BI27" s="147"/>
      <c r="BJ27" s="147">
        <f>BH27</f>
        <v>4</v>
      </c>
      <c r="BK27" s="147"/>
      <c r="BL27" s="147">
        <f>BJ27</f>
        <v>4</v>
      </c>
      <c r="BM27" s="147"/>
      <c r="BN27" s="147">
        <f>BL27</f>
        <v>4</v>
      </c>
      <c r="BO27" s="147"/>
      <c r="BP27" s="147">
        <f>BN27</f>
        <v>4</v>
      </c>
      <c r="BQ27" s="147"/>
      <c r="BR27" s="147">
        <f>BP27</f>
        <v>4</v>
      </c>
      <c r="BS27" s="149"/>
      <c r="BT27" s="148">
        <f>BR27</f>
        <v>4</v>
      </c>
      <c r="BU27" s="149"/>
      <c r="BV27" s="147">
        <f>BT27</f>
        <v>4</v>
      </c>
      <c r="BW27" s="147"/>
      <c r="BX27" s="147">
        <f>BV27</f>
        <v>4</v>
      </c>
      <c r="BY27" s="147"/>
      <c r="BZ27" s="147">
        <f>BX27</f>
        <v>4</v>
      </c>
      <c r="CA27" s="147"/>
      <c r="CB27" s="147">
        <f>BZ27</f>
        <v>4</v>
      </c>
      <c r="CC27" s="147"/>
      <c r="CD27" s="147">
        <f>CB27</f>
        <v>4</v>
      </c>
      <c r="CE27" s="147"/>
      <c r="CF27" s="147">
        <f>CD27</f>
        <v>4</v>
      </c>
      <c r="CG27" s="147"/>
      <c r="CH27" s="147">
        <f>CF27</f>
        <v>4</v>
      </c>
      <c r="CI27" s="147"/>
      <c r="CJ27" s="147">
        <f>CH27</f>
        <v>4</v>
      </c>
      <c r="CK27" s="147"/>
      <c r="CL27" s="147">
        <f>CJ27</f>
        <v>4</v>
      </c>
      <c r="CM27" s="147"/>
      <c r="CN27" s="147">
        <f>CL27</f>
        <v>4</v>
      </c>
      <c r="CO27" s="147"/>
      <c r="CP27" s="147">
        <f>CN27</f>
        <v>4</v>
      </c>
      <c r="CQ27" s="147"/>
      <c r="CR27" s="147">
        <f>CP27</f>
        <v>4</v>
      </c>
      <c r="CS27" s="147"/>
      <c r="CT27" s="147">
        <f>CR27</f>
        <v>4</v>
      </c>
      <c r="CU27" s="147"/>
      <c r="CV27" s="147">
        <f>CT27</f>
        <v>4</v>
      </c>
      <c r="CW27" s="147"/>
      <c r="CX27" s="147">
        <f>CV27</f>
        <v>4</v>
      </c>
      <c r="CY27" s="147"/>
      <c r="CZ27" s="147">
        <f>CX27</f>
        <v>4</v>
      </c>
      <c r="DA27" s="147"/>
      <c r="DB27" s="147">
        <f>CZ27</f>
        <v>4</v>
      </c>
      <c r="DC27" s="149"/>
      <c r="DD27" s="148">
        <f>DB27</f>
        <v>4</v>
      </c>
      <c r="DE27" s="149"/>
      <c r="DF27" s="147">
        <f>DD27</f>
        <v>4</v>
      </c>
      <c r="DG27" s="147"/>
      <c r="DH27" s="147">
        <f>DF27</f>
        <v>4</v>
      </c>
      <c r="DI27" s="147"/>
      <c r="DJ27" s="147">
        <f>DH27</f>
        <v>4</v>
      </c>
      <c r="DK27" s="147"/>
      <c r="DL27" s="147">
        <f>DJ27</f>
        <v>4</v>
      </c>
      <c r="DM27" s="147"/>
      <c r="DN27" s="147">
        <f>DL27</f>
        <v>4</v>
      </c>
      <c r="DO27" s="147"/>
      <c r="DP27" s="147">
        <f>DN27</f>
        <v>4</v>
      </c>
      <c r="DQ27" s="147"/>
      <c r="DR27" s="147">
        <f>DP27</f>
        <v>4</v>
      </c>
      <c r="DS27" s="147"/>
      <c r="DT27" s="147">
        <f>DR27</f>
        <v>4</v>
      </c>
      <c r="DU27" s="147"/>
      <c r="DV27" s="147">
        <f>DT27</f>
        <v>4</v>
      </c>
      <c r="DW27" s="147"/>
      <c r="DX27" s="147">
        <f>DV27</f>
        <v>4</v>
      </c>
      <c r="DY27" s="147"/>
      <c r="DZ27" s="147">
        <f>DX27</f>
        <v>4</v>
      </c>
      <c r="EA27" s="147"/>
      <c r="EB27" s="147">
        <f>DZ27</f>
        <v>4</v>
      </c>
      <c r="EC27" s="147"/>
      <c r="ED27" s="147">
        <f>EB27</f>
        <v>4</v>
      </c>
      <c r="EE27" s="147"/>
      <c r="EF27" s="147">
        <f>ED27</f>
        <v>4</v>
      </c>
      <c r="EG27" s="147"/>
      <c r="EH27" s="147">
        <f>EF27</f>
        <v>4</v>
      </c>
      <c r="EI27" s="147"/>
      <c r="EJ27" s="147">
        <f>EH27</f>
        <v>4</v>
      </c>
      <c r="EK27" s="147"/>
      <c r="EL27" s="147">
        <f>EJ27</f>
        <v>4</v>
      </c>
      <c r="EM27" s="149"/>
      <c r="EN27" s="148">
        <f>EL27</f>
        <v>4</v>
      </c>
      <c r="EO27" s="149"/>
    </row>
    <row r="28" spans="1:145" x14ac:dyDescent="0.25">
      <c r="A28" s="14" t="s">
        <v>34</v>
      </c>
      <c r="B28" s="147">
        <f>(B17*B17+C17*C17)^(B26/2)+(B18*B18+C18*C18)^(B27/2)</f>
        <v>6667999050.671504</v>
      </c>
      <c r="C28" s="147"/>
      <c r="D28" s="147">
        <f t="shared" ref="D28" si="55">(D17*D17+E17*E17)^(D26/2)+(D18*D18+E18*E18)^(D27/2)</f>
        <v>4019122117.4940481</v>
      </c>
      <c r="E28" s="147"/>
      <c r="F28" s="147">
        <f t="shared" ref="F28" si="56">(F17*F17+G17*G17)^(F26/2)+(F18*F18+G18*G18)^(F27/2)</f>
        <v>4014850651.9060669</v>
      </c>
      <c r="G28" s="147"/>
      <c r="H28" s="147">
        <f t="shared" ref="H28" si="57">(H17*H17+I17*I17)^(H26/2)+(H18*H18+I18*I18)^(H27/2)</f>
        <v>8065662319.530735</v>
      </c>
      <c r="I28" s="147"/>
      <c r="J28" s="147">
        <f t="shared" ref="J28" si="58">(J17*J17+K17*K17)^(J26/2)+(J18*J18+K18*K18)^(J27/2)</f>
        <v>5685647905.7142191</v>
      </c>
      <c r="K28" s="147"/>
      <c r="L28" s="147">
        <f t="shared" ref="L28" si="59">(L17*L17+M17*M17)^(L26/2)+(L18*L18+M18*M18)^(L27/2)</f>
        <v>5867270522.2931147</v>
      </c>
      <c r="M28" s="147"/>
      <c r="N28" s="147">
        <f t="shared" ref="N28" si="60">(N17*N17+O17*O17)^(N26/2)+(N18*N18+O18*O18)^(N27/2)</f>
        <v>14826873816.614761</v>
      </c>
      <c r="O28" s="147"/>
      <c r="P28" s="147">
        <f t="shared" ref="P28" si="61">(P17*P17+Q17*Q17)^(P26/2)+(P18*P18+Q18*Q18)^(P27/2)</f>
        <v>10102967206.812086</v>
      </c>
      <c r="Q28" s="147"/>
      <c r="R28" s="147">
        <f t="shared" ref="R28" si="62">(R17*R17+S17*S17)^(R26/2)+(R18*R18+S18*S18)^(R27/2)</f>
        <v>9468924503.4735069</v>
      </c>
      <c r="S28" s="147"/>
      <c r="T28" s="147">
        <f t="shared" ref="T28" si="63">(T17*T17+U17*U17)^(T26/2)+(T18*T18+U18*U18)^(T27/2)</f>
        <v>1668258.7342978488</v>
      </c>
      <c r="U28" s="147"/>
      <c r="V28" s="147">
        <f t="shared" ref="V28" si="64">(V17*V17+W17*W17)^(V26/2)+(V18*V18+W18*W18)^(V27/2)</f>
        <v>1044619.0194580189</v>
      </c>
      <c r="W28" s="147"/>
      <c r="X28" s="147">
        <f t="shared" ref="X28" si="65">(X17*X17+Y17*Y17)^(X26/2)+(X18*X18+Y18*Y18)^(X27/2)</f>
        <v>1107640.9254278929</v>
      </c>
      <c r="Y28" s="147"/>
      <c r="Z28" s="147">
        <f t="shared" ref="Z28" si="66">(Z17*Z17+AA17*AA17)^(Z26/2)+(Z18*Z18+AA18*AA18)^(Z27/2)</f>
        <v>650327769.45447767</v>
      </c>
      <c r="AA28" s="147"/>
      <c r="AB28" s="147">
        <f t="shared" ref="AB28" si="67">(AB17*AB17+AC17*AC17)^(AB26/2)+(AB18*AB18+AC18*AC18)^(AB27/2)</f>
        <v>395560806.89882714</v>
      </c>
      <c r="AC28" s="147"/>
      <c r="AD28" s="147">
        <f t="shared" ref="AD28" si="68">(AD17*AD17+AE17*AE17)^(AD26/2)+(AD18*AD18+AE18*AE18)^(AD27/2)</f>
        <v>390123553.17232972</v>
      </c>
      <c r="AE28" s="147"/>
      <c r="AF28" s="147">
        <f t="shared" ref="AF28" ca="1" si="69">(AF17*AF17+AG17*AG17)^(AF26/2)+(AF18*AF18+AG18*AG18)^(AF27/2)</f>
        <v>10934002860.018669</v>
      </c>
      <c r="AG28" s="147"/>
      <c r="AH28" s="147">
        <f t="shared" ref="AH28" ca="1" si="70">(AH17*AH17+AI17*AI17)^(AH26/2)+(AH18*AH18+AI18*AI18)^(AH27/2)</f>
        <v>8483044629.2090635</v>
      </c>
      <c r="AI28" s="147"/>
      <c r="AJ28" s="147">
        <f t="shared" ref="AJ28" ca="1" si="71">(AJ17*AJ17+AK17*AK17)^(AJ26/2)+(AJ18*AJ18+AK18*AK18)^(AJ27/2)</f>
        <v>8804400301.0451221</v>
      </c>
      <c r="AK28" s="147"/>
      <c r="AL28" s="148">
        <f t="shared" ref="AL28" si="72">(AL17*AL17+AM17*AM17)^(AL26/2)+(AL18*AL18+AM18*AM18)^(AL27/2)</f>
        <v>7097603384.3576727</v>
      </c>
      <c r="AM28" s="149"/>
      <c r="AN28" s="148">
        <f t="shared" ref="AN28" si="73">(AN17*AN17+AO17*AO17)^(AN26/2)+(AN18*AN18+AO18*AO18)^(AN27/2)</f>
        <v>3910480408.1140313</v>
      </c>
      <c r="AO28" s="149"/>
      <c r="AP28" s="148">
        <f t="shared" ref="AP28" si="74">(AP17*AP17+AQ17*AQ17)^(AP26/2)+(AP18*AP18+AQ18*AQ18)^(AP27/2)</f>
        <v>3973394774.7880931</v>
      </c>
      <c r="AQ28" s="149"/>
      <c r="AR28" s="148">
        <f t="shared" ref="AR28" si="75">(AR17*AR17+AS17*AS17)^(AR26/2)+(AR18*AR18+AS18*AS18)^(AR27/2)</f>
        <v>8652221769.2275219</v>
      </c>
      <c r="AS28" s="149"/>
      <c r="AT28" s="148">
        <f t="shared" ref="AT28" si="76">(AT17*AT17+AU17*AU17)^(AT26/2)+(AT18*AT18+AU18*AU18)^(AT27/2)</f>
        <v>5786830830.7315788</v>
      </c>
      <c r="AU28" s="149"/>
      <c r="AV28" s="148">
        <f t="shared" ref="AV28" si="77">(AV17*AV17+AW17*AW17)^(AV26/2)+(AV18*AV18+AW18*AW18)^(AV27/2)</f>
        <v>5764921288.0397768</v>
      </c>
      <c r="AW28" s="149"/>
      <c r="AX28" s="148">
        <f t="shared" ref="AX28" si="78">(AX17*AX17+AY17*AY17)^(AX26/2)+(AX18*AX18+AY18*AY18)^(AX27/2)</f>
        <v>13640655703.829891</v>
      </c>
      <c r="AY28" s="149"/>
      <c r="AZ28" s="148">
        <f t="shared" ref="AZ28" si="79">(AZ17*AZ17+BA17*BA17)^(AZ26/2)+(AZ18*AZ18+BA18*BA18)^(AZ27/2)</f>
        <v>9527674125.9784546</v>
      </c>
      <c r="BA28" s="149"/>
      <c r="BB28" s="148">
        <f t="shared" ref="BB28" si="80">(BB17*BB17+BC17*BC17)^(BB26/2)+(BB18*BB18+BC18*BC18)^(BB27/2)</f>
        <v>9537672655.7419395</v>
      </c>
      <c r="BC28" s="149"/>
      <c r="BD28" s="148">
        <f t="shared" ref="BD28" si="81">(BD17*BD17+BE17*BE17)^(BD26/2)+(BD18*BD18+BE18*BE18)^(BD27/2)</f>
        <v>1654485.2555967295</v>
      </c>
      <c r="BE28" s="149"/>
      <c r="BF28" s="148">
        <f t="shared" ref="BF28" si="82">(BF17*BF17+BG17*BG17)^(BF26/2)+(BF18*BF18+BG18*BG18)^(BF27/2)</f>
        <v>1082930.3730003396</v>
      </c>
      <c r="BG28" s="149"/>
      <c r="BH28" s="148">
        <f t="shared" ref="BH28" si="83">(BH17*BH17+BI17*BI17)^(BH26/2)+(BH18*BH18+BI18*BI18)^(BH27/2)</f>
        <v>1894330.8853373665</v>
      </c>
      <c r="BI28" s="149"/>
      <c r="BJ28" s="148">
        <f t="shared" ref="BJ28" si="84">(BJ17*BJ17+BK17*BK17)^(BJ26/2)+(BJ18*BJ18+BK18*BK18)^(BJ27/2)</f>
        <v>690402929.30757332</v>
      </c>
      <c r="BK28" s="149"/>
      <c r="BL28" s="148">
        <f t="shared" ref="BL28" si="85">(BL17*BL17+BM17*BM17)^(BL26/2)+(BL18*BL18+BM18*BM18)^(BL27/2)</f>
        <v>381798808.29623044</v>
      </c>
      <c r="BM28" s="149"/>
      <c r="BN28" s="148">
        <f t="shared" ref="BN28" si="86">(BN17*BN17+BO17*BO17)^(BN26/2)+(BN18*BN18+BO18*BO18)^(BN27/2)</f>
        <v>388032843.00752616</v>
      </c>
      <c r="BO28" s="149"/>
      <c r="BP28" s="148">
        <f t="shared" ref="BP28" ca="1" si="87">(BP17*BP17+BQ17*BQ17)^(BP26/2)+(BP18*BP18+BQ18*BQ18)^(BP27/2)</f>
        <v>12692934747.372719</v>
      </c>
      <c r="BQ28" s="149"/>
      <c r="BR28" s="148">
        <f t="shared" ref="BR28" ca="1" si="88">(BR17*BR17+BS17*BS17)^(BR26/2)+(BR18*BR18+BS18*BS18)^(BR27/2)</f>
        <v>8443119484.2374573</v>
      </c>
      <c r="BS28" s="149"/>
      <c r="BT28" s="148">
        <f t="shared" ref="BT28" ca="1" si="89">(BT17*BT17+BU17*BU17)^(BT26/2)+(BT18*BT18+BU18*BU18)^(BT27/2)</f>
        <v>7817313288.7006388</v>
      </c>
      <c r="BU28" s="149"/>
      <c r="BV28" s="150">
        <f t="shared" ref="BV28" si="90">(BV17*BV17+BW17*BW17)^(BV26/2)+(BV18*BV18+BW18*BW18)^(BV27/2)</f>
        <v>6212273253.5131102</v>
      </c>
      <c r="BW28" s="151"/>
      <c r="BX28" s="150">
        <f t="shared" ref="BX28" si="91">(BX17*BX17+BY17*BY17)^(BX26/2)+(BX18*BX18+BY18*BY18)^(BX27/2)</f>
        <v>3892868330.592422</v>
      </c>
      <c r="BY28" s="151"/>
      <c r="BZ28" s="150">
        <f t="shared" ref="BZ28" si="92">(BZ17*BZ17+CA17*CA17)^(BZ26/2)+(BZ18*BZ18+CA18*CA18)^(BZ27/2)</f>
        <v>3766992517.1464291</v>
      </c>
      <c r="CA28" s="151"/>
      <c r="CB28" s="150">
        <f t="shared" ref="CB28" si="93">(CB17*CB17+CC17*CC17)^(CB26/2)+(CB18*CB18+CC18*CC18)^(CB27/2)</f>
        <v>8780814806.4256649</v>
      </c>
      <c r="CC28" s="151"/>
      <c r="CD28" s="150">
        <f t="shared" ref="CD28" si="94">(CD17*CD17+CE17*CE17)^(CD26/2)+(CD18*CD18+CE18*CE18)^(CD27/2)</f>
        <v>5689188248.7892599</v>
      </c>
      <c r="CE28" s="151"/>
      <c r="CF28" s="150">
        <f t="shared" ref="CF28" si="95">(CF17*CF17+CG17*CG17)^(CF26/2)+(CF18*CF18+CG18*CG18)^(CF27/2)</f>
        <v>5718203402.7326508</v>
      </c>
      <c r="CG28" s="151"/>
      <c r="CH28" s="150">
        <f t="shared" ref="CH28" si="96">(CH17*CH17+CI17*CI17)^(CH26/2)+(CH18*CH18+CI18*CI18)^(CH27/2)</f>
        <v>12967510543.073402</v>
      </c>
      <c r="CI28" s="151"/>
      <c r="CJ28" s="150">
        <f t="shared" ref="CJ28" si="97">(CJ17*CJ17+CK17*CK17)^(CJ26/2)+(CJ18*CJ18+CK18*CK18)^(CJ27/2)</f>
        <v>9558493659.0412445</v>
      </c>
      <c r="CK28" s="151"/>
      <c r="CL28" s="150">
        <f t="shared" ref="CL28" si="98">(CL17*CL17+CM17*CM17)^(CL26/2)+(CL18*CL18+CM18*CM18)^(CL27/2)</f>
        <v>8364092776.8487349</v>
      </c>
      <c r="CM28" s="151"/>
      <c r="CN28" s="150">
        <f t="shared" ref="CN28" si="99">(CN17*CN17+CO17*CO17)^(CN26/2)+(CN18*CN18+CO18*CO18)^(CN27/2)</f>
        <v>1569284.5253966483</v>
      </c>
      <c r="CO28" s="151"/>
      <c r="CP28" s="150">
        <f t="shared" ref="CP28" si="100">(CP17*CP17+CQ17*CQ17)^(CP26/2)+(CP18*CP18+CQ18*CQ18)^(CP27/2)</f>
        <v>1161470.2863932003</v>
      </c>
      <c r="CQ28" s="151"/>
      <c r="CR28" s="150">
        <f t="shared" ref="CR28" ca="1" si="101">(CR17*CR17+CS17*CS17)^(CR26/2)+(CR18*CR18+CS18*CS18)^(CR27/2)</f>
        <v>1473605.946357711</v>
      </c>
      <c r="CS28" s="151"/>
      <c r="CT28" s="150">
        <f t="shared" ref="CT28" si="102">(CT17*CT17+CU17*CU17)^(CT26/2)+(CT18*CT18+CU18*CU18)^(CT27/2)</f>
        <v>599998944.94152915</v>
      </c>
      <c r="CU28" s="151"/>
      <c r="CV28" s="150">
        <f t="shared" ref="CV28" si="103">(CV17*CV17+CW17*CW17)^(CV26/2)+(CV18*CV18+CW18*CW18)^(CV27/2)</f>
        <v>379041970.50944185</v>
      </c>
      <c r="CW28" s="151"/>
      <c r="CX28" s="150">
        <f t="shared" ref="CX28" si="104">(CX17*CX17+CY17*CY17)^(CX26/2)+(CX18*CX18+CY18*CY18)^(CX27/2)</f>
        <v>364295706.70313919</v>
      </c>
      <c r="CY28" s="151"/>
      <c r="CZ28" s="150">
        <f t="shared" ref="CZ28" ca="1" si="105">(CZ17*CZ17+DA17*DA17)^(CZ26/2)+(CZ18*CZ18+DA18*DA18)^(CZ27/2)</f>
        <v>12593373207.582237</v>
      </c>
      <c r="DA28" s="151"/>
      <c r="DB28" s="150">
        <f t="shared" ref="DB28" ca="1" si="106">(DB17*DB17+DC17*DC17)^(DB26/2)+(DB18*DB18+DC18*DC18)^(DB27/2)</f>
        <v>8209378761.7511129</v>
      </c>
      <c r="DC28" s="151"/>
      <c r="DD28" s="150">
        <f t="shared" ref="DD28" ca="1" si="107">(DD17*DD17+DE17*DE17)^(DD26/2)+(DD18*DD18+DE18*DE18)^(DD27/2)</f>
        <v>8343998743.6142225</v>
      </c>
      <c r="DE28" s="151"/>
      <c r="DF28" s="152">
        <f t="shared" ref="DF28" si="108">(DF17*DF17+DG17*DG17)^(DF26/2)+(DF18*DF18+DG18*DG18)^(DF27/2)</f>
        <v>6830727950.593133</v>
      </c>
      <c r="DG28" s="153"/>
      <c r="DH28" s="152">
        <f t="shared" ref="DH28" ca="1" si="109">(DH17*DH17+DI17*DI17)^(DH26/2)+(DH18*DH18+DI18*DI18)^(DH27/2)</f>
        <v>5306121897.2280226</v>
      </c>
      <c r="DI28" s="153"/>
      <c r="DJ28" s="152">
        <f t="shared" ref="DJ28" ca="1" si="110">(DJ17*DJ17+DK17*DK17)^(DJ26/2)+(DJ18*DJ18+DK18*DK18)^(DJ27/2)</f>
        <v>5253725219.9308786</v>
      </c>
      <c r="DK28" s="153"/>
      <c r="DL28" s="152">
        <f t="shared" ref="DL28" si="111">(DL17*DL17+DM17*DM17)^(DL26/2)+(DL18*DL18+DM18*DM18)^(DL27/2)</f>
        <v>8410805232.8458691</v>
      </c>
      <c r="DM28" s="153"/>
      <c r="DN28" s="152">
        <f t="shared" ref="DN28" ca="1" si="112">(DN17*DN17+DO17*DO17)^(DN26/2)+(DN18*DN18+DO18*DO18)^(DN27/2)</f>
        <v>8068358746.2778549</v>
      </c>
      <c r="DO28" s="153"/>
      <c r="DP28" s="152">
        <f t="shared" ref="DP28" ca="1" si="113">(DP17*DP17+DQ17*DQ17)^(DP26/2)+(DP18*DP18+DQ18*DQ18)^(DP27/2)</f>
        <v>7708126851.1293001</v>
      </c>
      <c r="DQ28" s="153"/>
      <c r="DR28" s="152">
        <f t="shared" ref="DR28" ca="1" si="114">(DR17*DR17+DS17*DS17)^(DR26/2)+(DR18*DR18+DS18*DS18)^(DR27/2)</f>
        <v>17881792618.153152</v>
      </c>
      <c r="DS28" s="153"/>
      <c r="DT28" s="152">
        <f t="shared" ref="DT28" ca="1" si="115">(DT17*DT17+DU17*DU17)^(DT26/2)+(DT18*DT18+DU18*DU18)^(DT27/2)</f>
        <v>13255825652.522533</v>
      </c>
      <c r="DU28" s="153"/>
      <c r="DV28" s="152">
        <f t="shared" ref="DV28" ca="1" si="116">(DV17*DV17+DW17*DW17)^(DV26/2)+(DV18*DV18+DW18*DW18)^(DV27/2)</f>
        <v>11796288707.814266</v>
      </c>
      <c r="DW28" s="153"/>
      <c r="DX28" s="152">
        <f t="shared" ref="DX28" ca="1" si="117">(DX17*DX17+DY17*DY17)^(DX26/2)+(DX18*DX18+DY18*DY18)^(DX27/2)</f>
        <v>2151595.8484594286</v>
      </c>
      <c r="DY28" s="153"/>
      <c r="DZ28" s="152">
        <f t="shared" ref="DZ28" ca="1" si="118">(DZ17*DZ17+EA17*EA17)^(DZ26/2)+(DZ18*DZ18+EA18*EA18)^(DZ27/2)</f>
        <v>1647524.13334426</v>
      </c>
      <c r="EA28" s="153"/>
      <c r="EB28" s="152">
        <f t="shared" ref="EB28" ca="1" si="119">(EB17*EB17+EC17*EC17)^(EB26/2)+(EB18*EB18+EC18*EC18)^(EB27/2)</f>
        <v>2019421.8129895246</v>
      </c>
      <c r="EC28" s="153"/>
      <c r="ED28" s="152">
        <f t="shared" ref="ED28" si="120">(ED17*ED17+EE17*EE17)^(ED26/2)+(ED18*ED18+EE18*EE18)^(ED27/2)</f>
        <v>653252383.80154157</v>
      </c>
      <c r="EE28" s="153"/>
      <c r="EF28" s="152">
        <f t="shared" ref="EF28" ca="1" si="121">(EF17*EF17+EG17*EG17)^(EF26/2)+(EF18*EF18+EG18*EG18)^(EF27/2)</f>
        <v>516422140.59629595</v>
      </c>
      <c r="EG28" s="153"/>
      <c r="EH28" s="152">
        <f t="shared" ref="EH28" ca="1" si="122">(EH17*EH17+EI17*EI17)^(EH26/2)+(EH18*EH18+EI18*EI18)^(EH27/2)</f>
        <v>506489359.81196225</v>
      </c>
      <c r="EI28" s="153"/>
      <c r="EJ28" s="152">
        <f t="shared" ref="EJ28" ca="1" si="123">(EJ17*EJ17+EK17*EK17)^(EJ26/2)+(EJ18*EJ18+EK18*EK18)^(EJ27/2)</f>
        <v>11603314029.843807</v>
      </c>
      <c r="EK28" s="153"/>
      <c r="EL28" s="152">
        <f t="shared" ref="EL28" ca="1" si="124">(EL17*EL17+EM17*EM17)^(EL26/2)+(EL18*EL18+EM18*EM18)^(EL27/2)</f>
        <v>11187907330.507437</v>
      </c>
      <c r="EM28" s="153"/>
      <c r="EN28" s="152">
        <f t="shared" ref="EN28" ca="1" si="125">(EN17*EN17+EO17*EO17)^(EN26/2)+(EN18*EN18+EO18*EO18)^(EN27/2)</f>
        <v>10869144200.429306</v>
      </c>
      <c r="EO28" s="153"/>
    </row>
    <row r="29" spans="1:145" x14ac:dyDescent="0.25">
      <c r="A29" s="16" t="s">
        <v>30</v>
      </c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8"/>
      <c r="AM29" s="149"/>
      <c r="AN29" s="148"/>
      <c r="AO29" s="149"/>
      <c r="AP29" s="148"/>
      <c r="AQ29" s="149"/>
      <c r="AR29" s="148"/>
      <c r="AS29" s="149"/>
      <c r="AT29" s="148"/>
      <c r="AU29" s="149"/>
      <c r="AV29" s="148"/>
      <c r="AW29" s="149"/>
      <c r="AX29" s="148"/>
      <c r="AY29" s="149"/>
      <c r="AZ29" s="148"/>
      <c r="BA29" s="149"/>
      <c r="BB29" s="148"/>
      <c r="BC29" s="149"/>
      <c r="BD29" s="148"/>
      <c r="BE29" s="149"/>
      <c r="BF29" s="148"/>
      <c r="BG29" s="149"/>
      <c r="BH29" s="148"/>
      <c r="BI29" s="149"/>
      <c r="BJ29" s="148"/>
      <c r="BK29" s="149"/>
      <c r="BL29" s="148"/>
      <c r="BM29" s="149"/>
      <c r="BN29" s="148"/>
      <c r="BO29" s="149"/>
      <c r="BP29" s="148"/>
      <c r="BQ29" s="149"/>
      <c r="BR29" s="148"/>
      <c r="BS29" s="149"/>
      <c r="BT29" s="148"/>
      <c r="BU29" s="149"/>
      <c r="BV29" s="150"/>
      <c r="BW29" s="151"/>
      <c r="BX29" s="150"/>
      <c r="BY29" s="151"/>
      <c r="BZ29" s="150"/>
      <c r="CA29" s="151"/>
      <c r="CB29" s="150"/>
      <c r="CC29" s="151"/>
      <c r="CD29" s="150"/>
      <c r="CE29" s="151"/>
      <c r="CF29" s="150"/>
      <c r="CG29" s="151"/>
      <c r="CH29" s="150"/>
      <c r="CI29" s="151"/>
      <c r="CJ29" s="150"/>
      <c r="CK29" s="151"/>
      <c r="CL29" s="150"/>
      <c r="CM29" s="151"/>
      <c r="CN29" s="150"/>
      <c r="CO29" s="151"/>
      <c r="CP29" s="150"/>
      <c r="CQ29" s="151"/>
      <c r="CR29" s="150"/>
      <c r="CS29" s="151"/>
      <c r="CT29" s="150"/>
      <c r="CU29" s="151"/>
      <c r="CV29" s="150"/>
      <c r="CW29" s="151"/>
      <c r="CX29" s="150"/>
      <c r="CY29" s="151"/>
      <c r="CZ29" s="150"/>
      <c r="DA29" s="151"/>
      <c r="DB29" s="150"/>
      <c r="DC29" s="151"/>
      <c r="DD29" s="150"/>
      <c r="DE29" s="151"/>
      <c r="DF29" s="152"/>
      <c r="DG29" s="153"/>
      <c r="DH29" s="152"/>
      <c r="DI29" s="153"/>
      <c r="DJ29" s="152"/>
      <c r="DK29" s="153"/>
      <c r="DL29" s="152"/>
      <c r="DM29" s="153"/>
      <c r="DN29" s="152"/>
      <c r="DO29" s="153"/>
      <c r="DP29" s="152"/>
      <c r="DQ29" s="153"/>
      <c r="DR29" s="152"/>
      <c r="DS29" s="153"/>
      <c r="DT29" s="152"/>
      <c r="DU29" s="153"/>
      <c r="DV29" s="152"/>
      <c r="DW29" s="153"/>
      <c r="DX29" s="152"/>
      <c r="DY29" s="153"/>
      <c r="DZ29" s="152"/>
      <c r="EA29" s="153"/>
      <c r="EB29" s="152"/>
      <c r="EC29" s="153"/>
      <c r="ED29" s="152"/>
      <c r="EE29" s="153"/>
      <c r="EF29" s="152"/>
      <c r="EG29" s="153"/>
      <c r="EH29" s="152"/>
      <c r="EI29" s="153"/>
      <c r="EJ29" s="152"/>
      <c r="EK29" s="153"/>
      <c r="EL29" s="152"/>
      <c r="EM29" s="153"/>
      <c r="EN29" s="152"/>
      <c r="EO29" s="153"/>
    </row>
    <row r="30" spans="1:145" x14ac:dyDescent="0.25">
      <c r="A30" s="14" t="s">
        <v>32</v>
      </c>
      <c r="B30" s="147">
        <v>6</v>
      </c>
      <c r="C30" s="147"/>
      <c r="D30" s="147">
        <f>B30</f>
        <v>6</v>
      </c>
      <c r="E30" s="147"/>
      <c r="F30" s="147">
        <f>D30</f>
        <v>6</v>
      </c>
      <c r="G30" s="147"/>
      <c r="H30" s="147">
        <f>F30</f>
        <v>6</v>
      </c>
      <c r="I30" s="147"/>
      <c r="J30" s="147">
        <f>H30</f>
        <v>6</v>
      </c>
      <c r="K30" s="147"/>
      <c r="L30" s="147">
        <f>J30</f>
        <v>6</v>
      </c>
      <c r="M30" s="147"/>
      <c r="N30" s="147">
        <f>L30</f>
        <v>6</v>
      </c>
      <c r="O30" s="147"/>
      <c r="P30" s="147">
        <f>N30</f>
        <v>6</v>
      </c>
      <c r="Q30" s="147"/>
      <c r="R30" s="147">
        <f>P30</f>
        <v>6</v>
      </c>
      <c r="S30" s="147"/>
      <c r="T30" s="147">
        <f>R30</f>
        <v>6</v>
      </c>
      <c r="U30" s="147"/>
      <c r="V30" s="147">
        <f>T30</f>
        <v>6</v>
      </c>
      <c r="W30" s="147"/>
      <c r="X30" s="147">
        <f>V30</f>
        <v>6</v>
      </c>
      <c r="Y30" s="147"/>
      <c r="Z30" s="147">
        <f>X30</f>
        <v>6</v>
      </c>
      <c r="AA30" s="147"/>
      <c r="AB30" s="147">
        <f>Z30</f>
        <v>6</v>
      </c>
      <c r="AC30" s="147"/>
      <c r="AD30" s="147">
        <f>AB30</f>
        <v>6</v>
      </c>
      <c r="AE30" s="147"/>
      <c r="AF30" s="147">
        <f>AD30</f>
        <v>6</v>
      </c>
      <c r="AG30" s="147"/>
      <c r="AH30" s="147">
        <f>AF30</f>
        <v>6</v>
      </c>
      <c r="AI30" s="147"/>
      <c r="AJ30" s="147">
        <f>AH30</f>
        <v>6</v>
      </c>
      <c r="AK30" s="147"/>
      <c r="AL30" s="147">
        <f>AJ30</f>
        <v>6</v>
      </c>
      <c r="AM30" s="147"/>
      <c r="AN30" s="147">
        <f>AL30</f>
        <v>6</v>
      </c>
      <c r="AO30" s="147"/>
      <c r="AP30" s="147">
        <f>AN30</f>
        <v>6</v>
      </c>
      <c r="AQ30" s="147"/>
      <c r="AR30" s="147">
        <f>AP30</f>
        <v>6</v>
      </c>
      <c r="AS30" s="147"/>
      <c r="AT30" s="147">
        <f>AR30</f>
        <v>6</v>
      </c>
      <c r="AU30" s="147"/>
      <c r="AV30" s="147">
        <f>AT30</f>
        <v>6</v>
      </c>
      <c r="AW30" s="147"/>
      <c r="AX30" s="147">
        <f>AV30</f>
        <v>6</v>
      </c>
      <c r="AY30" s="147"/>
      <c r="AZ30" s="147">
        <f>AX30</f>
        <v>6</v>
      </c>
      <c r="BA30" s="147"/>
      <c r="BB30" s="147">
        <f>AZ30</f>
        <v>6</v>
      </c>
      <c r="BC30" s="147"/>
      <c r="BD30" s="147">
        <f>BB30</f>
        <v>6</v>
      </c>
      <c r="BE30" s="147"/>
      <c r="BF30" s="147">
        <f>BD30</f>
        <v>6</v>
      </c>
      <c r="BG30" s="147"/>
      <c r="BH30" s="147">
        <f>BF30</f>
        <v>6</v>
      </c>
      <c r="BI30" s="147"/>
      <c r="BJ30" s="147">
        <f>BH30</f>
        <v>6</v>
      </c>
      <c r="BK30" s="147"/>
      <c r="BL30" s="147">
        <f>BJ30</f>
        <v>6</v>
      </c>
      <c r="BM30" s="147"/>
      <c r="BN30" s="147">
        <f>BL30</f>
        <v>6</v>
      </c>
      <c r="BO30" s="147"/>
      <c r="BP30" s="147">
        <f>BN30</f>
        <v>6</v>
      </c>
      <c r="BQ30" s="147"/>
      <c r="BR30" s="147">
        <f>BP30</f>
        <v>6</v>
      </c>
      <c r="BS30" s="149"/>
      <c r="BT30" s="148">
        <f>BR30</f>
        <v>6</v>
      </c>
      <c r="BU30" s="149"/>
      <c r="BV30" s="147">
        <f>BT30</f>
        <v>6</v>
      </c>
      <c r="BW30" s="147"/>
      <c r="BX30" s="147">
        <f>BV30</f>
        <v>6</v>
      </c>
      <c r="BY30" s="147"/>
      <c r="BZ30" s="147">
        <f>BX30</f>
        <v>6</v>
      </c>
      <c r="CA30" s="147"/>
      <c r="CB30" s="147">
        <f>BZ30</f>
        <v>6</v>
      </c>
      <c r="CC30" s="147"/>
      <c r="CD30" s="147">
        <f>CB30</f>
        <v>6</v>
      </c>
      <c r="CE30" s="147"/>
      <c r="CF30" s="147">
        <f>CD30</f>
        <v>6</v>
      </c>
      <c r="CG30" s="147"/>
      <c r="CH30" s="147">
        <f>CF30</f>
        <v>6</v>
      </c>
      <c r="CI30" s="147"/>
      <c r="CJ30" s="147">
        <f>CH30</f>
        <v>6</v>
      </c>
      <c r="CK30" s="147"/>
      <c r="CL30" s="147">
        <f>CJ30</f>
        <v>6</v>
      </c>
      <c r="CM30" s="147"/>
      <c r="CN30" s="147">
        <f>CL30</f>
        <v>6</v>
      </c>
      <c r="CO30" s="147"/>
      <c r="CP30" s="147">
        <f>CN30</f>
        <v>6</v>
      </c>
      <c r="CQ30" s="147"/>
      <c r="CR30" s="147">
        <f>CP30</f>
        <v>6</v>
      </c>
      <c r="CS30" s="147"/>
      <c r="CT30" s="147">
        <f>CR30</f>
        <v>6</v>
      </c>
      <c r="CU30" s="147"/>
      <c r="CV30" s="147">
        <f>CT30</f>
        <v>6</v>
      </c>
      <c r="CW30" s="147"/>
      <c r="CX30" s="147">
        <f>CV30</f>
        <v>6</v>
      </c>
      <c r="CY30" s="147"/>
      <c r="CZ30" s="147">
        <f>CX30</f>
        <v>6</v>
      </c>
      <c r="DA30" s="147"/>
      <c r="DB30" s="147">
        <f>CZ30</f>
        <v>6</v>
      </c>
      <c r="DC30" s="149"/>
      <c r="DD30" s="148">
        <f>DB30</f>
        <v>6</v>
      </c>
      <c r="DE30" s="149"/>
      <c r="DF30" s="147">
        <f>DD30</f>
        <v>6</v>
      </c>
      <c r="DG30" s="147"/>
      <c r="DH30" s="147">
        <f>DF30</f>
        <v>6</v>
      </c>
      <c r="DI30" s="147"/>
      <c r="DJ30" s="147">
        <f>DH30</f>
        <v>6</v>
      </c>
      <c r="DK30" s="147"/>
      <c r="DL30" s="147">
        <f>DJ30</f>
        <v>6</v>
      </c>
      <c r="DM30" s="147"/>
      <c r="DN30" s="147">
        <f>DL30</f>
        <v>6</v>
      </c>
      <c r="DO30" s="147"/>
      <c r="DP30" s="147">
        <f>DN30</f>
        <v>6</v>
      </c>
      <c r="DQ30" s="147"/>
      <c r="DR30" s="147">
        <f>DP30</f>
        <v>6</v>
      </c>
      <c r="DS30" s="147"/>
      <c r="DT30" s="147">
        <f>DR30</f>
        <v>6</v>
      </c>
      <c r="DU30" s="147"/>
      <c r="DV30" s="147">
        <f>DT30</f>
        <v>6</v>
      </c>
      <c r="DW30" s="147"/>
      <c r="DX30" s="147">
        <f>DV30</f>
        <v>6</v>
      </c>
      <c r="DY30" s="147"/>
      <c r="DZ30" s="147">
        <f>DX30</f>
        <v>6</v>
      </c>
      <c r="EA30" s="147"/>
      <c r="EB30" s="147">
        <f>DZ30</f>
        <v>6</v>
      </c>
      <c r="EC30" s="147"/>
      <c r="ED30" s="147">
        <f>EB30</f>
        <v>6</v>
      </c>
      <c r="EE30" s="147"/>
      <c r="EF30" s="147">
        <f>ED30</f>
        <v>6</v>
      </c>
      <c r="EG30" s="147"/>
      <c r="EH30" s="147">
        <f>EF30</f>
        <v>6</v>
      </c>
      <c r="EI30" s="147"/>
      <c r="EJ30" s="147">
        <f>EH30</f>
        <v>6</v>
      </c>
      <c r="EK30" s="147"/>
      <c r="EL30" s="147">
        <f>EJ30</f>
        <v>6</v>
      </c>
      <c r="EM30" s="149"/>
      <c r="EN30" s="148">
        <f>EL30</f>
        <v>6</v>
      </c>
      <c r="EO30" s="149"/>
    </row>
    <row r="31" spans="1:145" x14ac:dyDescent="0.25">
      <c r="A31" s="14" t="s">
        <v>33</v>
      </c>
      <c r="B31" s="147">
        <v>2</v>
      </c>
      <c r="C31" s="147"/>
      <c r="D31" s="147">
        <f>B31</f>
        <v>2</v>
      </c>
      <c r="E31" s="147"/>
      <c r="F31" s="147">
        <f>D31</f>
        <v>2</v>
      </c>
      <c r="G31" s="147"/>
      <c r="H31" s="147">
        <f>F31</f>
        <v>2</v>
      </c>
      <c r="I31" s="147"/>
      <c r="J31" s="147">
        <f>H31</f>
        <v>2</v>
      </c>
      <c r="K31" s="147"/>
      <c r="L31" s="147">
        <f>J31</f>
        <v>2</v>
      </c>
      <c r="M31" s="147"/>
      <c r="N31" s="147">
        <f>L31</f>
        <v>2</v>
      </c>
      <c r="O31" s="147"/>
      <c r="P31" s="147">
        <f>N31</f>
        <v>2</v>
      </c>
      <c r="Q31" s="147"/>
      <c r="R31" s="147">
        <f>P31</f>
        <v>2</v>
      </c>
      <c r="S31" s="147"/>
      <c r="T31" s="147">
        <f>R31</f>
        <v>2</v>
      </c>
      <c r="U31" s="147"/>
      <c r="V31" s="147">
        <f>T31</f>
        <v>2</v>
      </c>
      <c r="W31" s="147"/>
      <c r="X31" s="147">
        <f>V31</f>
        <v>2</v>
      </c>
      <c r="Y31" s="147"/>
      <c r="Z31" s="147">
        <f>X31</f>
        <v>2</v>
      </c>
      <c r="AA31" s="147"/>
      <c r="AB31" s="147">
        <f>Z31</f>
        <v>2</v>
      </c>
      <c r="AC31" s="147"/>
      <c r="AD31" s="147">
        <f>AB31</f>
        <v>2</v>
      </c>
      <c r="AE31" s="147"/>
      <c r="AF31" s="147">
        <f>AD31</f>
        <v>2</v>
      </c>
      <c r="AG31" s="147"/>
      <c r="AH31" s="147">
        <f>AF31</f>
        <v>2</v>
      </c>
      <c r="AI31" s="147"/>
      <c r="AJ31" s="147">
        <f>AH31</f>
        <v>2</v>
      </c>
      <c r="AK31" s="147"/>
      <c r="AL31" s="147">
        <f>AJ31</f>
        <v>2</v>
      </c>
      <c r="AM31" s="147"/>
      <c r="AN31" s="147">
        <f>AL31</f>
        <v>2</v>
      </c>
      <c r="AO31" s="147"/>
      <c r="AP31" s="147">
        <f>AN31</f>
        <v>2</v>
      </c>
      <c r="AQ31" s="147"/>
      <c r="AR31" s="147">
        <f>AP31</f>
        <v>2</v>
      </c>
      <c r="AS31" s="147"/>
      <c r="AT31" s="147">
        <f>AR31</f>
        <v>2</v>
      </c>
      <c r="AU31" s="147"/>
      <c r="AV31" s="147">
        <f>AT31</f>
        <v>2</v>
      </c>
      <c r="AW31" s="147"/>
      <c r="AX31" s="147">
        <f>AV31</f>
        <v>2</v>
      </c>
      <c r="AY31" s="147"/>
      <c r="AZ31" s="147">
        <f>AX31</f>
        <v>2</v>
      </c>
      <c r="BA31" s="147"/>
      <c r="BB31" s="147">
        <f>AZ31</f>
        <v>2</v>
      </c>
      <c r="BC31" s="147"/>
      <c r="BD31" s="147">
        <f>BB31</f>
        <v>2</v>
      </c>
      <c r="BE31" s="147"/>
      <c r="BF31" s="147">
        <f>BD31</f>
        <v>2</v>
      </c>
      <c r="BG31" s="147"/>
      <c r="BH31" s="147">
        <f>BF31</f>
        <v>2</v>
      </c>
      <c r="BI31" s="147"/>
      <c r="BJ31" s="147">
        <f>BH31</f>
        <v>2</v>
      </c>
      <c r="BK31" s="147"/>
      <c r="BL31" s="147">
        <f>BJ31</f>
        <v>2</v>
      </c>
      <c r="BM31" s="147"/>
      <c r="BN31" s="147">
        <f>BL31</f>
        <v>2</v>
      </c>
      <c r="BO31" s="147"/>
      <c r="BP31" s="147">
        <f>BN31</f>
        <v>2</v>
      </c>
      <c r="BQ31" s="147"/>
      <c r="BR31" s="147">
        <f>BP31</f>
        <v>2</v>
      </c>
      <c r="BS31" s="149"/>
      <c r="BT31" s="148">
        <f>BR31</f>
        <v>2</v>
      </c>
      <c r="BU31" s="149"/>
      <c r="BV31" s="147">
        <f>BT31</f>
        <v>2</v>
      </c>
      <c r="BW31" s="147"/>
      <c r="BX31" s="147">
        <f>BV31</f>
        <v>2</v>
      </c>
      <c r="BY31" s="147"/>
      <c r="BZ31" s="147">
        <f>BX31</f>
        <v>2</v>
      </c>
      <c r="CA31" s="147"/>
      <c r="CB31" s="147">
        <f>BZ31</f>
        <v>2</v>
      </c>
      <c r="CC31" s="147"/>
      <c r="CD31" s="147">
        <f>CB31</f>
        <v>2</v>
      </c>
      <c r="CE31" s="147"/>
      <c r="CF31" s="147">
        <f>CD31</f>
        <v>2</v>
      </c>
      <c r="CG31" s="147"/>
      <c r="CH31" s="147">
        <f>CF31</f>
        <v>2</v>
      </c>
      <c r="CI31" s="147"/>
      <c r="CJ31" s="147">
        <f>CH31</f>
        <v>2</v>
      </c>
      <c r="CK31" s="147"/>
      <c r="CL31" s="147">
        <f>CJ31</f>
        <v>2</v>
      </c>
      <c r="CM31" s="147"/>
      <c r="CN31" s="147">
        <f>CL31</f>
        <v>2</v>
      </c>
      <c r="CO31" s="147"/>
      <c r="CP31" s="147">
        <f>CN31</f>
        <v>2</v>
      </c>
      <c r="CQ31" s="147"/>
      <c r="CR31" s="147">
        <f>CP31</f>
        <v>2</v>
      </c>
      <c r="CS31" s="147"/>
      <c r="CT31" s="147">
        <f>CR31</f>
        <v>2</v>
      </c>
      <c r="CU31" s="147"/>
      <c r="CV31" s="147">
        <f>CT31</f>
        <v>2</v>
      </c>
      <c r="CW31" s="147"/>
      <c r="CX31" s="147">
        <f>CV31</f>
        <v>2</v>
      </c>
      <c r="CY31" s="147"/>
      <c r="CZ31" s="147">
        <f>CX31</f>
        <v>2</v>
      </c>
      <c r="DA31" s="147"/>
      <c r="DB31" s="147">
        <f>CZ31</f>
        <v>2</v>
      </c>
      <c r="DC31" s="149"/>
      <c r="DD31" s="148">
        <f>DB31</f>
        <v>2</v>
      </c>
      <c r="DE31" s="149"/>
      <c r="DF31" s="147">
        <f>DD31</f>
        <v>2</v>
      </c>
      <c r="DG31" s="147"/>
      <c r="DH31" s="147">
        <f>DF31</f>
        <v>2</v>
      </c>
      <c r="DI31" s="147"/>
      <c r="DJ31" s="147">
        <f>DH31</f>
        <v>2</v>
      </c>
      <c r="DK31" s="147"/>
      <c r="DL31" s="147">
        <f>DJ31</f>
        <v>2</v>
      </c>
      <c r="DM31" s="147"/>
      <c r="DN31" s="147">
        <f>DL31</f>
        <v>2</v>
      </c>
      <c r="DO31" s="147"/>
      <c r="DP31" s="147">
        <f>DN31</f>
        <v>2</v>
      </c>
      <c r="DQ31" s="147"/>
      <c r="DR31" s="147">
        <f>DP31</f>
        <v>2</v>
      </c>
      <c r="DS31" s="147"/>
      <c r="DT31" s="147">
        <f>DR31</f>
        <v>2</v>
      </c>
      <c r="DU31" s="147"/>
      <c r="DV31" s="147">
        <f>DT31</f>
        <v>2</v>
      </c>
      <c r="DW31" s="147"/>
      <c r="DX31" s="147">
        <f>DV31</f>
        <v>2</v>
      </c>
      <c r="DY31" s="147"/>
      <c r="DZ31" s="147">
        <f>DX31</f>
        <v>2</v>
      </c>
      <c r="EA31" s="147"/>
      <c r="EB31" s="147">
        <f>DZ31</f>
        <v>2</v>
      </c>
      <c r="EC31" s="147"/>
      <c r="ED31" s="147">
        <f>EB31</f>
        <v>2</v>
      </c>
      <c r="EE31" s="147"/>
      <c r="EF31" s="147">
        <f>ED31</f>
        <v>2</v>
      </c>
      <c r="EG31" s="147"/>
      <c r="EH31" s="147">
        <f>EF31</f>
        <v>2</v>
      </c>
      <c r="EI31" s="147"/>
      <c r="EJ31" s="147">
        <f>EH31</f>
        <v>2</v>
      </c>
      <c r="EK31" s="147"/>
      <c r="EL31" s="147">
        <f>EJ31</f>
        <v>2</v>
      </c>
      <c r="EM31" s="149"/>
      <c r="EN31" s="148">
        <f>EL31</f>
        <v>2</v>
      </c>
      <c r="EO31" s="149"/>
    </row>
    <row r="32" spans="1:145" x14ac:dyDescent="0.25">
      <c r="A32" s="14" t="s">
        <v>35</v>
      </c>
      <c r="B32" s="147">
        <f>(B17*B17+C17*C17)^(B30/2)+(B18*B18+C18*C18)^(B31/2)</f>
        <v>6667998341.0493784</v>
      </c>
      <c r="C32" s="147"/>
      <c r="D32" s="147">
        <f>(D17*D17+E17*E17)^(D30/2)+(D18*D18+E18*E18)^(D31/2)</f>
        <v>4019103814.5864978</v>
      </c>
      <c r="E32" s="147"/>
      <c r="F32" s="147">
        <f t="shared" ref="F32" si="126">(F17*F17+G17*G17)^(F30/2)+(F18*F18+G18*G18)^(F31/2)</f>
        <v>4014401217.1104941</v>
      </c>
      <c r="G32" s="147"/>
      <c r="H32" s="147">
        <f t="shared" ref="H32" si="127">(H17*H17+I17*I17)^(H30/2)+(H18*H18+I18*I18)^(H31/2)</f>
        <v>8065661263.0891647</v>
      </c>
      <c r="I32" s="147"/>
      <c r="J32" s="147">
        <f t="shared" ref="J32" si="128">(J17*J17+K17*K17)^(J30/2)+(J18*J18+K18*K18)^(J31/2)</f>
        <v>5685645085.1023149</v>
      </c>
      <c r="K32" s="147"/>
      <c r="L32" s="147">
        <f t="shared" ref="L32" si="129">(L17*L17+M17*M17)^(L30/2)+(L18*L18+M18*M18)^(L31/2)</f>
        <v>5867163736.7075787</v>
      </c>
      <c r="M32" s="147"/>
      <c r="N32" s="147">
        <f t="shared" ref="N32" si="130">(N17*N17+O17*O17)^(N30/2)+(N18*N18+O18*O18)^(N31/2)</f>
        <v>14826869210.340801</v>
      </c>
      <c r="O32" s="147"/>
      <c r="P32" s="147">
        <f t="shared" ref="P32" si="131">(P17*P17+Q17*Q17)^(P30/2)+(P18*P18+Q18*Q18)^(P31/2)</f>
        <v>10102952723.419447</v>
      </c>
      <c r="Q32" s="147"/>
      <c r="R32" s="147">
        <f t="shared" ref="R32" si="132">(R17*R17+S17*S17)^(R30/2)+(R18*R18+S18*S18)^(R31/2)</f>
        <v>9468909353.7854061</v>
      </c>
      <c r="S32" s="147"/>
      <c r="T32" s="147">
        <f t="shared" ref="T32" si="133">(T17*T17+U17*U17)^(T30/2)+(T18*T18+U18*U18)^(T31/2)</f>
        <v>1668258.9829277857</v>
      </c>
      <c r="U32" s="147"/>
      <c r="V32" s="147">
        <f t="shared" ref="V32" si="134">(V17*V17+W17*W17)^(V30/2)+(V18*V18+W18*W18)^(V31/2)</f>
        <v>1044617.1531146955</v>
      </c>
      <c r="W32" s="147"/>
      <c r="X32" s="147">
        <f t="shared" ref="X32" si="135">(X17*X17+Y17*Y17)^(X30/2)+(X18*X18+Y18*Y18)^(X31/2)</f>
        <v>1107344.3358056876</v>
      </c>
      <c r="Y32" s="147"/>
      <c r="Z32" s="147">
        <f t="shared" ref="Z32" si="136">(Z17*Z17+AA17*AA17)^(Z30/2)+(Z18*Z18+AA18*AA18)^(Z31/2)</f>
        <v>650327730.19248712</v>
      </c>
      <c r="AA32" s="147"/>
      <c r="AB32" s="147">
        <f t="shared" ref="AB32" si="137">(AB17*AB17+AC17*AC17)^(AB30/2)+(AB18*AB18+AC18*AC18)^(AB31/2)</f>
        <v>395559688.4275732</v>
      </c>
      <c r="AC32" s="147"/>
      <c r="AD32" s="147">
        <f t="shared" ref="AD32" si="138">(AD17*AD17+AE17*AE17)^(AD30/2)+(AD18*AD18+AE18*AE18)^(AD31/2)</f>
        <v>390095589.29120058</v>
      </c>
      <c r="AE32" s="147"/>
      <c r="AF32" s="147">
        <f t="shared" ref="AF32" ca="1" si="139">(AF17*AF17+AG17*AG17)^(AF30/2)+(AF18*AF18+AG18*AG18)^(AF31/2)</f>
        <v>10934001542.929056</v>
      </c>
      <c r="AG32" s="147"/>
      <c r="AH32" s="147">
        <f t="shared" ref="AH32" ca="1" si="140">(AH17*AH17+AI17*AI17)^(AH30/2)+(AH18*AH18+AI18*AI18)^(AH31/2)</f>
        <v>8483041066.7202177</v>
      </c>
      <c r="AI32" s="147"/>
      <c r="AJ32" s="147">
        <f t="shared" ref="AJ32" ca="1" si="141">(AJ17*AJ17+AK17*AK17)^(AJ30/2)+(AJ18*AJ18+AK18*AK18)^(AJ31/2)</f>
        <v>8804263486.3411255</v>
      </c>
      <c r="AK32" s="147"/>
      <c r="AL32" s="148">
        <f t="shared" ref="AL32" si="142">(AL17*AL17+AM17*AM17)^(AL30/2)+(AL18*AL18+AM18*AM18)^(AL31/2)</f>
        <v>7097602539.6557388</v>
      </c>
      <c r="AM32" s="149"/>
      <c r="AN32" s="148">
        <f t="shared" ref="AN32" si="143">(AN17*AN17+AO17*AO17)^(AN30/2)+(AN18*AN18+AO18*AO18)^(AN31/2)</f>
        <v>3910461016.2447829</v>
      </c>
      <c r="AO32" s="149"/>
      <c r="AP32" s="148">
        <f t="shared" ref="AP32" si="144">(AP17*AP17+AQ17*AQ17)^(AP30/2)+(AP18*AP18+AQ18*AQ18)^(AP31/2)</f>
        <v>3972925660.0356526</v>
      </c>
      <c r="AQ32" s="149"/>
      <c r="AR32" s="148">
        <f t="shared" ref="AR32" si="145">(AR17*AR17+AS17*AS17)^(AR30/2)+(AR18*AR18+AS18*AS18)^(AR31/2)</f>
        <v>8652220469.5971909</v>
      </c>
      <c r="AS32" s="149"/>
      <c r="AT32" s="148">
        <f t="shared" ref="AT32" si="146">(AT17*AT17+AU17*AU17)^(AT30/2)+(AT18*AT18+AU18*AU18)^(AT31/2)</f>
        <v>5786827688.6921663</v>
      </c>
      <c r="AU32" s="149"/>
      <c r="AV32" s="148">
        <f t="shared" ref="AV32" si="147">(AV17*AV17+AW17*AW17)^(AV30/2)+(AV18*AV18+AW18*AW18)^(AV31/2)</f>
        <v>5764812153.6818171</v>
      </c>
      <c r="AW32" s="149"/>
      <c r="AX32" s="148">
        <f t="shared" ref="AX32" si="148">(AX17*AX17+AY17*AY17)^(AX30/2)+(AX18*AX18+AY18*AY18)^(AX31/2)</f>
        <v>13640651409.935837</v>
      </c>
      <c r="AY32" s="149"/>
      <c r="AZ32" s="148">
        <f t="shared" ref="AZ32" si="149">(AZ17*AZ17+BA17*BA17)^(AZ30/2)+(AZ18*AZ18+BA18*BA18)^(AZ31/2)</f>
        <v>9527666750.2397366</v>
      </c>
      <c r="BA32" s="149"/>
      <c r="BB32" s="148">
        <f t="shared" ref="BB32" si="150">(BB17*BB17+BC17*BC17)^(BB30/2)+(BB18*BB18+BC18*BC18)^(BB31/2)</f>
        <v>9537640135.5979443</v>
      </c>
      <c r="BC32" s="149"/>
      <c r="BD32" s="148">
        <f t="shared" ref="BD32" si="151">(BD17*BD17+BE17*BE17)^(BD30/2)+(BD18*BD18+BE18*BE18)^(BD31/2)</f>
        <v>1654485.4435686506</v>
      </c>
      <c r="BE32" s="149"/>
      <c r="BF32" s="148">
        <f t="shared" ref="BF32" si="152">(BF17*BF17+BG17*BG17)^(BF30/2)+(BF18*BF18+BG18*BG18)^(BF31/2)</f>
        <v>1082919.1500142571</v>
      </c>
      <c r="BG32" s="149"/>
      <c r="BH32" s="148">
        <f t="shared" ref="BH32" si="153">(BH17*BH17+BI17*BI17)^(BH30/2)+(BH18*BH18+BI18*BI18)^(BH31/2)</f>
        <v>1893218.5902831238</v>
      </c>
      <c r="BI32" s="149"/>
      <c r="BJ32" s="148">
        <f t="shared" ref="BJ32" si="154">(BJ17*BJ17+BK17*BK17)^(BJ30/2)+(BJ18*BJ18+BK18*BK18)^(BJ31/2)</f>
        <v>690402882.05771315</v>
      </c>
      <c r="BK32" s="149"/>
      <c r="BL32" s="148">
        <f t="shared" ref="BL32" si="155">(BL17*BL17+BM17*BM17)^(BL30/2)+(BL18*BL18+BM18*BM18)^(BL31/2)</f>
        <v>381797622.5085755</v>
      </c>
      <c r="BM32" s="149"/>
      <c r="BN32" s="148">
        <f t="shared" ref="BN32" si="156">(BN17*BN17+BO17*BO17)^(BN30/2)+(BN18*BN18+BO18*BO18)^(BN31/2)</f>
        <v>388003651.85169339</v>
      </c>
      <c r="BO32" s="149"/>
      <c r="BP32" s="148">
        <f t="shared" ref="BP32" ca="1" si="157">(BP17*BP17+BQ17*BQ17)^(BP30/2)+(BP18*BP18+BQ18*BQ18)^(BP31/2)</f>
        <v>12692933091.058548</v>
      </c>
      <c r="BQ32" s="149"/>
      <c r="BR32" s="148">
        <f t="shared" ref="BR32" ca="1" si="158">(BR17*BR17+BS17*BS17)^(BR30/2)+(BR18*BR18+BS18*BS18)^(BR31/2)</f>
        <v>8443115481.9960623</v>
      </c>
      <c r="BS32" s="149"/>
      <c r="BT32" s="148">
        <f t="shared" ref="BT32" ca="1" si="159">(BT17*BT17+BU17*BU17)^(BT30/2)+(BT18*BT18+BU18*BU18)^(BT31/2)</f>
        <v>7817174797.6110859</v>
      </c>
      <c r="BU32" s="149"/>
      <c r="BV32" s="150">
        <f t="shared" ref="BV32" si="160">(BV17*BV17+BW17*BW17)^(BV30/2)+(BV18*BV18+BW18*BW18)^(BV31/2)</f>
        <v>6212268467.8222742</v>
      </c>
      <c r="BW32" s="151"/>
      <c r="BX32" s="150">
        <f t="shared" ref="BX32" si="161">(BX17*BX17+BY17*BY17)^(BX30/2)+(BX18*BX18+BY18*BY18)^(BX31/2)</f>
        <v>3892841037.8136821</v>
      </c>
      <c r="BY32" s="151"/>
      <c r="BZ32" s="150">
        <f t="shared" ref="BZ32" si="162">(BZ17*BZ17+CA17*CA17)^(BZ30/2)+(BZ18*BZ18+CA18*CA18)^(BZ31/2)</f>
        <v>3766578558.7606874</v>
      </c>
      <c r="CA32" s="151"/>
      <c r="CB32" s="150">
        <f t="shared" ref="CB32" si="163">(CB17*CB17+CC17*CC17)^(CB30/2)+(CB18*CB18+CC18*CC18)^(CB31/2)</f>
        <v>8780813639.3439674</v>
      </c>
      <c r="CC32" s="151"/>
      <c r="CD32" s="150">
        <f t="shared" ref="CD32" si="164">(CD17*CD17+CE17*CE17)^(CD30/2)+(CD18*CD18+CE18*CE18)^(CD31/2)</f>
        <v>5689184912.4760847</v>
      </c>
      <c r="CE32" s="151"/>
      <c r="CF32" s="150">
        <f t="shared" ref="CF32" si="165">(CF17*CF17+CG17*CG17)^(CF30/2)+(CF18*CF18+CG18*CG18)^(CF31/2)</f>
        <v>5718087241.9553823</v>
      </c>
      <c r="CG32" s="151"/>
      <c r="CH32" s="150">
        <f t="shared" ref="CH32" si="166">(CH17*CH17+CI17*CI17)^(CH30/2)+(CH18*CH18+CI18*CI18)^(CH31/2)</f>
        <v>12967507932.167105</v>
      </c>
      <c r="CI32" s="151"/>
      <c r="CJ32" s="150">
        <f t="shared" ref="CJ32" si="167">(CJ17*CJ17+CK17*CK17)^(CJ30/2)+(CJ18*CJ18+CK18*CK18)^(CJ31/2)</f>
        <v>9558484764.1105251</v>
      </c>
      <c r="CK32" s="151"/>
      <c r="CL32" s="150">
        <f t="shared" ref="CL32" si="168">(CL17*CL17+CM17*CM17)^(CL30/2)+(CL18*CL18+CM18*CM18)^(CL31/2)</f>
        <v>8364068689.8896894</v>
      </c>
      <c r="CM32" s="151"/>
      <c r="CN32" s="150">
        <f t="shared" ref="CN32" si="169">(CN17*CN17+CO17*CO17)^(CN30/2)+(CN18*CN18+CO18*CO18)^(CN31/2)</f>
        <v>1569284.6975464162</v>
      </c>
      <c r="CO32" s="151"/>
      <c r="CP32" s="150">
        <f t="shared" ref="CP32" si="170">(CP17*CP17+CQ17*CQ17)^(CP30/2)+(CP18*CP18+CQ18*CQ18)^(CP31/2)</f>
        <v>1161466.4819672939</v>
      </c>
      <c r="CQ32" s="151"/>
      <c r="CR32" s="150">
        <f t="shared" ref="CR32" ca="1" si="171">(CR17*CR17+CS17*CS17)^(CR30/2)+(CR18*CR18+CS18*CS18)^(CR31/2)</f>
        <v>1472697.9159038775</v>
      </c>
      <c r="CS32" s="151"/>
      <c r="CT32" s="150">
        <f t="shared" ref="CT32" si="172">(CT17*CT17+CU17*CU17)^(CT30/2)+(CT18*CT18+CU18*CU18)^(CT31/2)</f>
        <v>599998658.90094471</v>
      </c>
      <c r="CU32" s="151"/>
      <c r="CV32" s="150">
        <f t="shared" ref="CV32" si="173">(CV17*CV17+CW17*CW17)^(CV30/2)+(CV18*CV18+CW18*CW18)^(CV31/2)</f>
        <v>379040295.78064919</v>
      </c>
      <c r="CW32" s="151"/>
      <c r="CX32" s="150">
        <f t="shared" ref="CX32" si="174">(CX17*CX17+CY17*CY17)^(CX30/2)+(CX18*CX18+CY18*CY18)^(CX31/2)</f>
        <v>364269955.03456283</v>
      </c>
      <c r="CY32" s="151"/>
      <c r="CZ32" s="150">
        <f t="shared" ref="CZ32" ca="1" si="175">(CZ17*CZ17+DA17*DA17)^(CZ30/2)+(CZ18*CZ18+DA18*DA18)^(CZ31/2)</f>
        <v>12593371708.556314</v>
      </c>
      <c r="DA32" s="151"/>
      <c r="DB32" s="150">
        <f t="shared" ref="DB32" ca="1" si="176">(DB17*DB17+DC17*DC17)^(DB30/2)+(DB18*DB18+DC18*DC18)^(DB31/2)</f>
        <v>8209374598.5231924</v>
      </c>
      <c r="DC32" s="151"/>
      <c r="DD32" s="150">
        <f t="shared" ref="DD32" ca="1" si="177">(DD17*DD17+DE17*DE17)^(DD30/2)+(DD18*DD18+DE18*DE18)^(DD31/2)</f>
        <v>8343851458.0794687</v>
      </c>
      <c r="DE32" s="151"/>
      <c r="DF32" s="152">
        <f t="shared" ref="DF32" si="178">(DF17*DF17+DG17*DG17)^(DF30/2)+(DF18*DF18+DG18*DG18)^(DF31/2)</f>
        <v>6830726579.3714647</v>
      </c>
      <c r="DG32" s="153"/>
      <c r="DH32" s="152">
        <f t="shared" ref="DH32" ca="1" si="179">(DH17*DH17+DI17*DI17)^(DH30/2)+(DH18*DH18+DI18*DI18)^(DH31/2)</f>
        <v>5306087691.1429844</v>
      </c>
      <c r="DI32" s="153"/>
      <c r="DJ32" s="152">
        <f t="shared" ref="DJ32" ca="1" si="180">(DJ17*DJ17+DK17*DK17)^(DJ30/2)+(DJ18*DJ18+DK18*DK18)^(DJ31/2)</f>
        <v>5253216584.1636581</v>
      </c>
      <c r="DK32" s="153"/>
      <c r="DL32" s="152">
        <f t="shared" ref="DL32" si="181">(DL17*DL17+DM17*DM17)^(DL30/2)+(DL18*DL18+DM18*DM18)^(DL31/2)</f>
        <v>8410804050.5960321</v>
      </c>
      <c r="DM32" s="153"/>
      <c r="DN32" s="152">
        <f t="shared" ref="DN32" ca="1" si="182">(DN17*DN17+DO17*DO17)^(DN30/2)+(DN18*DN18+DO18*DO18)^(DN31/2)</f>
        <v>8068354643.2248697</v>
      </c>
      <c r="DO32" s="153"/>
      <c r="DP32" s="152">
        <f t="shared" ref="DP32" ca="1" si="183">(DP17*DP17+DQ17*DQ17)^(DP30/2)+(DP18*DP18+DQ18*DQ18)^(DP31/2)</f>
        <v>7707982564.8156643</v>
      </c>
      <c r="DQ32" s="153"/>
      <c r="DR32" s="152">
        <f t="shared" ref="DR32" ca="1" si="184">(DR17*DR17+DS17*DS17)^(DR30/2)+(DR18*DR18+DS18*DS18)^(DR31/2)</f>
        <v>17881789407.915661</v>
      </c>
      <c r="DS32" s="153"/>
      <c r="DT32" s="152">
        <f t="shared" ref="DT32" ca="1" si="185">(DT17*DT17+DU17*DU17)^(DT30/2)+(DT18*DT18+DU18*DU18)^(DT31/2)</f>
        <v>13255814678.556246</v>
      </c>
      <c r="DU32" s="153"/>
      <c r="DV32" s="152">
        <f t="shared" ref="DV32" ca="1" si="186">(DV17*DV17+DW17*DW17)^(DV30/2)+(DV18*DV18+DW18*DW18)^(DV31/2)</f>
        <v>11796258743.901409</v>
      </c>
      <c r="DW32" s="153"/>
      <c r="DX32" s="152">
        <f t="shared" ref="DX32" ca="1" si="187">(DX17*DX17+DY17*DY17)^(DX30/2)+(DX18*DX18+DY18*DY18)^(DX31/2)</f>
        <v>2151595.9618983073</v>
      </c>
      <c r="DY32" s="153"/>
      <c r="DZ32" s="152">
        <f t="shared" ref="DZ32" ca="1" si="188">(DZ17*DZ17+EA17*EA17)^(DZ30/2)+(DZ18*DZ18+EA18*EA18)^(DZ31/2)</f>
        <v>1647519.0076149276</v>
      </c>
      <c r="EA32" s="153"/>
      <c r="EB32" s="152">
        <f t="shared" ref="EB32" ca="1" si="189">(EB17*EB17+EC17*EC17)^(EB30/2)+(EB18*EB18+EC18*EC18)^(EB31/2)</f>
        <v>2018303.0311086169</v>
      </c>
      <c r="EC32" s="153"/>
      <c r="ED32" s="152">
        <f t="shared" ref="ED32" si="190">(ED17*ED17+EE17*EE17)^(ED30/2)+(ED18*ED18+EE18*EE18)^(ED31/2)</f>
        <v>653252305.1376971</v>
      </c>
      <c r="EE32" s="153"/>
      <c r="EF32" s="152">
        <f t="shared" ref="EF32" ca="1" si="191">(EF17*EF17+EG17*EG17)^(EF30/2)+(EF18*EF18+EG18*EG18)^(EF31/2)</f>
        <v>516420037.48777121</v>
      </c>
      <c r="EG32" s="153"/>
      <c r="EH32" s="152">
        <f t="shared" ref="EH32" ca="1" si="192">(EH17*EH17+EI17*EI17)^(EH30/2)+(EH18*EH18+EI18*EI18)^(EH31/2)</f>
        <v>506457703.8928656</v>
      </c>
      <c r="EI32" s="153"/>
      <c r="EJ32" s="152">
        <f t="shared" ref="EJ32" ca="1" si="193">(EJ17*EJ17+EK17*EK17)^(EJ30/2)+(EJ18*EJ18+EK18*EK18)^(EJ31/2)</f>
        <v>11603312560.836329</v>
      </c>
      <c r="EK32" s="153"/>
      <c r="EL32" s="152">
        <f t="shared" ref="EL32" ca="1" si="194">(EL17*EL17+EM17*EM17)^(EL30/2)+(EL18*EL18+EM18*EM18)^(EL31/2)</f>
        <v>11187902216.310989</v>
      </c>
      <c r="EM32" s="153"/>
      <c r="EN32" s="152">
        <f t="shared" ref="EN32" ca="1" si="195">(EN17*EN17+EO17*EO17)^(EN30/2)+(EN18*EN18+EO18*EO18)^(EN31/2)</f>
        <v>10868966479.041815</v>
      </c>
      <c r="EO32" s="153"/>
    </row>
    <row r="33" spans="1:145" x14ac:dyDescent="0.25">
      <c r="A33" s="17" t="s">
        <v>46</v>
      </c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8"/>
      <c r="AM33" s="149"/>
      <c r="AN33" s="148"/>
      <c r="AO33" s="149"/>
      <c r="AP33" s="148"/>
      <c r="AQ33" s="149"/>
      <c r="AR33" s="148"/>
      <c r="AS33" s="149"/>
      <c r="AT33" s="148"/>
      <c r="AU33" s="149"/>
      <c r="AV33" s="148"/>
      <c r="AW33" s="149"/>
      <c r="AX33" s="148"/>
      <c r="AY33" s="149"/>
      <c r="AZ33" s="148"/>
      <c r="BA33" s="149"/>
      <c r="BB33" s="148"/>
      <c r="BC33" s="149"/>
      <c r="BD33" s="148"/>
      <c r="BE33" s="149"/>
      <c r="BF33" s="148"/>
      <c r="BG33" s="149"/>
      <c r="BH33" s="148"/>
      <c r="BI33" s="149"/>
      <c r="BJ33" s="148"/>
      <c r="BK33" s="149"/>
      <c r="BL33" s="148"/>
      <c r="BM33" s="149"/>
      <c r="BN33" s="148"/>
      <c r="BO33" s="149"/>
      <c r="BP33" s="148"/>
      <c r="BQ33" s="149"/>
      <c r="BR33" s="148"/>
      <c r="BS33" s="149"/>
      <c r="BT33" s="148"/>
      <c r="BU33" s="149"/>
      <c r="BV33" s="150"/>
      <c r="BW33" s="151"/>
      <c r="BX33" s="150"/>
      <c r="BY33" s="151"/>
      <c r="BZ33" s="150"/>
      <c r="CA33" s="151"/>
      <c r="CB33" s="150"/>
      <c r="CC33" s="151"/>
      <c r="CD33" s="150"/>
      <c r="CE33" s="151"/>
      <c r="CF33" s="150"/>
      <c r="CG33" s="151"/>
      <c r="CH33" s="150"/>
      <c r="CI33" s="151"/>
      <c r="CJ33" s="150"/>
      <c r="CK33" s="151"/>
      <c r="CL33" s="150"/>
      <c r="CM33" s="151"/>
      <c r="CN33" s="150"/>
      <c r="CO33" s="151"/>
      <c r="CP33" s="150"/>
      <c r="CQ33" s="151"/>
      <c r="CR33" s="150"/>
      <c r="CS33" s="151"/>
      <c r="CT33" s="150"/>
      <c r="CU33" s="151"/>
      <c r="CV33" s="150"/>
      <c r="CW33" s="151"/>
      <c r="CX33" s="150"/>
      <c r="CY33" s="151"/>
      <c r="CZ33" s="150"/>
      <c r="DA33" s="151"/>
      <c r="DB33" s="150"/>
      <c r="DC33" s="151"/>
      <c r="DD33" s="150"/>
      <c r="DE33" s="151"/>
      <c r="DF33" s="152"/>
      <c r="DG33" s="153"/>
      <c r="DH33" s="152"/>
      <c r="DI33" s="153"/>
      <c r="DJ33" s="152"/>
      <c r="DK33" s="153"/>
      <c r="DL33" s="152"/>
      <c r="DM33" s="153"/>
      <c r="DN33" s="152"/>
      <c r="DO33" s="153"/>
      <c r="DP33" s="152"/>
      <c r="DQ33" s="153"/>
      <c r="DR33" s="152"/>
      <c r="DS33" s="153"/>
      <c r="DT33" s="152"/>
      <c r="DU33" s="153"/>
      <c r="DV33" s="152"/>
      <c r="DW33" s="153"/>
      <c r="DX33" s="152"/>
      <c r="DY33" s="153"/>
      <c r="DZ33" s="152"/>
      <c r="EA33" s="153"/>
      <c r="EB33" s="152"/>
      <c r="EC33" s="153"/>
      <c r="ED33" s="152"/>
      <c r="EE33" s="153"/>
      <c r="EF33" s="152"/>
      <c r="EG33" s="153"/>
      <c r="EH33" s="152"/>
      <c r="EI33" s="153"/>
      <c r="EJ33" s="152"/>
      <c r="EK33" s="153"/>
      <c r="EL33" s="152"/>
      <c r="EM33" s="153"/>
      <c r="EN33" s="152"/>
      <c r="EO33" s="153"/>
    </row>
    <row r="34" spans="1:145" x14ac:dyDescent="0.25">
      <c r="A34" s="15" t="s">
        <v>113</v>
      </c>
      <c r="B34" s="147">
        <v>300</v>
      </c>
      <c r="C34" s="147"/>
      <c r="D34" s="147">
        <f>B34</f>
        <v>300</v>
      </c>
      <c r="E34" s="147"/>
      <c r="F34" s="147">
        <f>D34</f>
        <v>300</v>
      </c>
      <c r="G34" s="147"/>
      <c r="H34" s="147">
        <f>F34</f>
        <v>300</v>
      </c>
      <c r="I34" s="147"/>
      <c r="J34" s="147">
        <f>H34</f>
        <v>300</v>
      </c>
      <c r="K34" s="147"/>
      <c r="L34" s="147">
        <f>J34</f>
        <v>300</v>
      </c>
      <c r="M34" s="147"/>
      <c r="N34" s="147">
        <f>L34</f>
        <v>300</v>
      </c>
      <c r="O34" s="147"/>
      <c r="P34" s="147">
        <f>N34</f>
        <v>300</v>
      </c>
      <c r="Q34" s="147"/>
      <c r="R34" s="147">
        <f>P34</f>
        <v>300</v>
      </c>
      <c r="S34" s="147"/>
      <c r="T34" s="147">
        <f>R34</f>
        <v>300</v>
      </c>
      <c r="U34" s="147"/>
      <c r="V34" s="147">
        <f>T34</f>
        <v>300</v>
      </c>
      <c r="W34" s="147"/>
      <c r="X34" s="147">
        <f>V34</f>
        <v>300</v>
      </c>
      <c r="Y34" s="147"/>
      <c r="Z34" s="147">
        <f>X34</f>
        <v>300</v>
      </c>
      <c r="AA34" s="147"/>
      <c r="AB34" s="147">
        <f>Z34</f>
        <v>300</v>
      </c>
      <c r="AC34" s="147"/>
      <c r="AD34" s="147">
        <f>AB34</f>
        <v>300</v>
      </c>
      <c r="AE34" s="147"/>
      <c r="AF34" s="147">
        <f>AD34</f>
        <v>300</v>
      </c>
      <c r="AG34" s="147"/>
      <c r="AH34" s="147">
        <f>AF34</f>
        <v>300</v>
      </c>
      <c r="AI34" s="147"/>
      <c r="AJ34" s="147">
        <f>AH34</f>
        <v>300</v>
      </c>
      <c r="AK34" s="147"/>
      <c r="AL34" s="147">
        <f>AJ34</f>
        <v>300</v>
      </c>
      <c r="AM34" s="147"/>
      <c r="AN34" s="147">
        <f>AL34</f>
        <v>300</v>
      </c>
      <c r="AO34" s="147"/>
      <c r="AP34" s="147">
        <f>AN34</f>
        <v>300</v>
      </c>
      <c r="AQ34" s="147"/>
      <c r="AR34" s="147">
        <f>AP34</f>
        <v>300</v>
      </c>
      <c r="AS34" s="147"/>
      <c r="AT34" s="147">
        <f>AR34</f>
        <v>300</v>
      </c>
      <c r="AU34" s="147"/>
      <c r="AV34" s="147">
        <f>AT34</f>
        <v>300</v>
      </c>
      <c r="AW34" s="147"/>
      <c r="AX34" s="147">
        <f>AV34</f>
        <v>300</v>
      </c>
      <c r="AY34" s="147"/>
      <c r="AZ34" s="147">
        <f>AX34</f>
        <v>300</v>
      </c>
      <c r="BA34" s="147"/>
      <c r="BB34" s="147">
        <f>AZ34</f>
        <v>300</v>
      </c>
      <c r="BC34" s="147"/>
      <c r="BD34" s="147">
        <f>BB34</f>
        <v>300</v>
      </c>
      <c r="BE34" s="147"/>
      <c r="BF34" s="147">
        <f>BD34</f>
        <v>300</v>
      </c>
      <c r="BG34" s="147"/>
      <c r="BH34" s="147">
        <f>BF34</f>
        <v>300</v>
      </c>
      <c r="BI34" s="147"/>
      <c r="BJ34" s="147">
        <f>BH34</f>
        <v>300</v>
      </c>
      <c r="BK34" s="147"/>
      <c r="BL34" s="147">
        <f>BJ34</f>
        <v>300</v>
      </c>
      <c r="BM34" s="147"/>
      <c r="BN34" s="147">
        <f>BL34</f>
        <v>300</v>
      </c>
      <c r="BO34" s="147"/>
      <c r="BP34" s="147">
        <f>BN34</f>
        <v>300</v>
      </c>
      <c r="BQ34" s="147"/>
      <c r="BR34" s="147">
        <f>BP34</f>
        <v>300</v>
      </c>
      <c r="BS34" s="149"/>
      <c r="BT34" s="148">
        <f>BR34</f>
        <v>300</v>
      </c>
      <c r="BU34" s="149"/>
      <c r="BV34" s="147">
        <f>BT34</f>
        <v>300</v>
      </c>
      <c r="BW34" s="147"/>
      <c r="BX34" s="147">
        <f>BV34</f>
        <v>300</v>
      </c>
      <c r="BY34" s="147"/>
      <c r="BZ34" s="147">
        <f>BX34</f>
        <v>300</v>
      </c>
      <c r="CA34" s="147"/>
      <c r="CB34" s="147">
        <f>BZ34</f>
        <v>300</v>
      </c>
      <c r="CC34" s="147"/>
      <c r="CD34" s="147">
        <f>CB34</f>
        <v>300</v>
      </c>
      <c r="CE34" s="147"/>
      <c r="CF34" s="147">
        <f>CD34</f>
        <v>300</v>
      </c>
      <c r="CG34" s="147"/>
      <c r="CH34" s="147">
        <f>CF34</f>
        <v>300</v>
      </c>
      <c r="CI34" s="147"/>
      <c r="CJ34" s="147">
        <f>CH34</f>
        <v>300</v>
      </c>
      <c r="CK34" s="147"/>
      <c r="CL34" s="147">
        <f>CJ34</f>
        <v>300</v>
      </c>
      <c r="CM34" s="147"/>
      <c r="CN34" s="147">
        <f>CL34</f>
        <v>300</v>
      </c>
      <c r="CO34" s="147"/>
      <c r="CP34" s="147">
        <f>CN34</f>
        <v>300</v>
      </c>
      <c r="CQ34" s="147"/>
      <c r="CR34" s="147">
        <f>CP34</f>
        <v>300</v>
      </c>
      <c r="CS34" s="147"/>
      <c r="CT34" s="147">
        <f>CR34</f>
        <v>300</v>
      </c>
      <c r="CU34" s="147"/>
      <c r="CV34" s="147">
        <f>CT34</f>
        <v>300</v>
      </c>
      <c r="CW34" s="147"/>
      <c r="CX34" s="147">
        <f>CV34</f>
        <v>300</v>
      </c>
      <c r="CY34" s="147"/>
      <c r="CZ34" s="147">
        <f>CX34</f>
        <v>300</v>
      </c>
      <c r="DA34" s="147"/>
      <c r="DB34" s="147">
        <f>CZ34</f>
        <v>300</v>
      </c>
      <c r="DC34" s="149"/>
      <c r="DD34" s="148">
        <f>DB34</f>
        <v>300</v>
      </c>
      <c r="DE34" s="149"/>
      <c r="DF34" s="147">
        <f>DD34</f>
        <v>300</v>
      </c>
      <c r="DG34" s="147"/>
      <c r="DH34" s="147">
        <f>DF34</f>
        <v>300</v>
      </c>
      <c r="DI34" s="147"/>
      <c r="DJ34" s="147">
        <f>DH34</f>
        <v>300</v>
      </c>
      <c r="DK34" s="147"/>
      <c r="DL34" s="147">
        <f>DJ34</f>
        <v>300</v>
      </c>
      <c r="DM34" s="147"/>
      <c r="DN34" s="147">
        <f>DL34</f>
        <v>300</v>
      </c>
      <c r="DO34" s="147"/>
      <c r="DP34" s="147">
        <f>DN34</f>
        <v>300</v>
      </c>
      <c r="DQ34" s="147"/>
      <c r="DR34" s="147">
        <f>DP34</f>
        <v>300</v>
      </c>
      <c r="DS34" s="147"/>
      <c r="DT34" s="147">
        <f>DR34</f>
        <v>300</v>
      </c>
      <c r="DU34" s="147"/>
      <c r="DV34" s="147">
        <f>DT34</f>
        <v>300</v>
      </c>
      <c r="DW34" s="147"/>
      <c r="DX34" s="147">
        <f>DV34</f>
        <v>300</v>
      </c>
      <c r="DY34" s="147"/>
      <c r="DZ34" s="147">
        <f>DX34</f>
        <v>300</v>
      </c>
      <c r="EA34" s="147"/>
      <c r="EB34" s="147">
        <f>DZ34</f>
        <v>300</v>
      </c>
      <c r="EC34" s="147"/>
      <c r="ED34" s="147">
        <f>EB34</f>
        <v>300</v>
      </c>
      <c r="EE34" s="147"/>
      <c r="EF34" s="147">
        <f>ED34</f>
        <v>300</v>
      </c>
      <c r="EG34" s="147"/>
      <c r="EH34" s="147">
        <f>EF34</f>
        <v>300</v>
      </c>
      <c r="EI34" s="147"/>
      <c r="EJ34" s="147">
        <f>EH34</f>
        <v>300</v>
      </c>
      <c r="EK34" s="147"/>
      <c r="EL34" s="147">
        <f>EJ34</f>
        <v>300</v>
      </c>
      <c r="EM34" s="149"/>
      <c r="EN34" s="148">
        <f>EL34</f>
        <v>300</v>
      </c>
      <c r="EO34" s="149"/>
    </row>
    <row r="35" spans="1:145" x14ac:dyDescent="0.25">
      <c r="A35" s="15" t="s">
        <v>47</v>
      </c>
      <c r="B35" s="147">
        <f>((B19*B19+C19*C19))*EXP((B19+2.5*C19)/B34)</f>
        <v>34857.626604644371</v>
      </c>
      <c r="C35" s="147"/>
      <c r="D35" s="147">
        <f t="shared" ref="D35" si="196">((D19*D19+E19*E19))*EXP((D19+2.5*E19)/D34)</f>
        <v>27893.455652854464</v>
      </c>
      <c r="E35" s="147"/>
      <c r="F35" s="147">
        <f t="shared" ref="F35" si="197">((F19*F19+G19*G19))*EXP((F19+2.5*G19)/F34)</f>
        <v>28616.454561639068</v>
      </c>
      <c r="G35" s="147"/>
      <c r="H35" s="147">
        <f t="shared" ref="H35" si="198">((H19*H19+I19*I19))*EXP((H19+2.5*I19)/H34)</f>
        <v>37273.663437138537</v>
      </c>
      <c r="I35" s="147"/>
      <c r="J35" s="147">
        <f t="shared" ref="J35" si="199">((J19*J19+K19*K19))*EXP((J19+2.5*K19)/J34)</f>
        <v>31577.077821051342</v>
      </c>
      <c r="K35" s="147"/>
      <c r="L35" s="147">
        <f t="shared" ref="L35" si="200">((L19*L19+M19*M19))*EXP((L19+2.5*M19)/L34)</f>
        <v>32927.475354831964</v>
      </c>
      <c r="M35" s="147"/>
      <c r="N35" s="147">
        <f t="shared" ref="N35" si="201">((N19*N19+O19*O19))*EXP((N19+2.5*O19)/N34)</f>
        <v>47990.036772096566</v>
      </c>
      <c r="O35" s="147"/>
      <c r="P35" s="147">
        <f t="shared" ref="P35" si="202">((P19*P19+Q19*Q19))*EXP((P19+2.5*Q19)/P34)</f>
        <v>41000.678465269739</v>
      </c>
      <c r="Q35" s="147"/>
      <c r="R35" s="147">
        <f t="shared" ref="R35" si="203">((R19*R19+S19*S19))*EXP((R19+2.5*S19)/R34)</f>
        <v>39691.749223583145</v>
      </c>
      <c r="S35" s="147"/>
      <c r="T35" s="147">
        <f t="shared" ref="T35" si="204">((T19*T19+U19*U19))*EXP((T19+2.5*U19)/T34)</f>
        <v>1426.8659922643565</v>
      </c>
      <c r="U35" s="147"/>
      <c r="V35" s="147">
        <f t="shared" ref="V35" si="205">((V19*V19+W19*W19))*EXP((V19+2.5*W19)/V34)</f>
        <v>1201.765304896777</v>
      </c>
      <c r="W35" s="147"/>
      <c r="X35" s="147">
        <f t="shared" ref="X35" si="206">((X19*X19+Y19*Y19))*EXP((X19+2.5*Y19)/X34)</f>
        <v>1223.2885357295042</v>
      </c>
      <c r="Y35" s="147"/>
      <c r="Z35" s="147">
        <f t="shared" ref="Z35" si="207">((Z19*Z19+AA19*AA19))*EXP((Z19+2.5*AA19)/Z34)</f>
        <v>13047.854478022668</v>
      </c>
      <c r="AA35" s="147"/>
      <c r="AB35" s="147">
        <f t="shared" ref="AB35" si="208">((AB19*AB19+AC19*AC19))*EXP((AB19+2.5*AC19)/AB34)</f>
        <v>10836.901361208338</v>
      </c>
      <c r="AC35" s="147"/>
      <c r="AD35" s="147">
        <f t="shared" ref="AD35" si="209">((AD19*AD19+AE19*AE19))*EXP((AD19+2.5*AE19)/AD34)</f>
        <v>10808.808300241029</v>
      </c>
      <c r="AE35" s="147"/>
      <c r="AF35" s="147">
        <f t="shared" ref="AF35" ca="1" si="210">((AF19*AF19+AG19*AG19))*EXP((AF19+2.5*AG19)/AF34)</f>
        <v>42516.066705290912</v>
      </c>
      <c r="AG35" s="147"/>
      <c r="AH35" s="147">
        <f t="shared" ref="AH35" ca="1" si="211">((AH19*AH19+AI19*AI19))*EXP((AH19+2.5*AI19)/AH34)</f>
        <v>37388.427614303153</v>
      </c>
      <c r="AI35" s="147"/>
      <c r="AJ35" s="147">
        <f t="shared" ref="AJ35" ca="1" si="212">((AJ19*AJ19+AK19*AK19))*EXP((AJ19+2.5*AK19)/AJ34)</f>
        <v>39188.472621832618</v>
      </c>
      <c r="AK35" s="147"/>
      <c r="AL35" s="148">
        <f t="shared" ref="AL35" si="213">((AL19*AL19+AM19*AM19))*EXP((AL19+2.5*AM19)/AL34)</f>
        <v>36248.492358409123</v>
      </c>
      <c r="AM35" s="149"/>
      <c r="AN35" s="148">
        <f t="shared" ref="AN35" si="214">((AN19*AN19+AO19*AO19))*EXP((AN19+2.5*AO19)/AN34)</f>
        <v>28061.457391488064</v>
      </c>
      <c r="AO35" s="149"/>
      <c r="AP35" s="148">
        <f t="shared" ref="AP35" si="215">((AP19*AP19+AQ19*AQ19))*EXP((AP19+2.5*AQ19)/AP34)</f>
        <v>28496.248445984333</v>
      </c>
      <c r="AQ35" s="149"/>
      <c r="AR35" s="148">
        <f t="shared" ref="AR35" si="216">((AR19*AR19+AS19*AS19))*EXP((AR19+2.5*AS19)/AR34)</f>
        <v>38522.477865717061</v>
      </c>
      <c r="AS35" s="149"/>
      <c r="AT35" s="148">
        <f t="shared" ref="AT35" si="217">((AT19*AT19+AU19*AU19))*EXP((AT19+2.5*AU19)/AT34)</f>
        <v>32067.51799366426</v>
      </c>
      <c r="AU35" s="149"/>
      <c r="AV35" s="148">
        <f t="shared" ref="AV35" si="218">((AV19*AV19+AW19*AW19))*EXP((AV19+2.5*AW19)/AV34)</f>
        <v>32484.984910027903</v>
      </c>
      <c r="AW35" s="149"/>
      <c r="AX35" s="148">
        <f t="shared" ref="AX35" si="219">((AX19*AX19+AY19*AY19))*EXP((AX19+2.5*AY19)/AX34)</f>
        <v>46600.227151374165</v>
      </c>
      <c r="AY35" s="149"/>
      <c r="AZ35" s="148">
        <f t="shared" ref="AZ35" si="220">((AZ19*AZ19+BA19*BA19))*EXP((AZ19+2.5*BA19)/AZ34)</f>
        <v>39974.904568741935</v>
      </c>
      <c r="BA35" s="149"/>
      <c r="BB35" s="148">
        <f t="shared" ref="BB35" si="221">((BB19*BB19+BC19*BC19))*EXP((BB19+2.5*BC19)/BB34)</f>
        <v>40101.118187432607</v>
      </c>
      <c r="BC35" s="149"/>
      <c r="BD35" s="148">
        <f t="shared" ref="BD35" si="222">((BD19*BD19+BE19*BE19))*EXP((BD19+2.5*BE19)/BD34)</f>
        <v>1414.456165601805</v>
      </c>
      <c r="BE35" s="149"/>
      <c r="BF35" s="148">
        <f t="shared" ref="BF35" si="223">((BF19*BF19+BG19*BG19))*EXP((BF19+2.5*BG19)/BF34)</f>
        <v>1211.5120730208798</v>
      </c>
      <c r="BG35" s="149"/>
      <c r="BH35" s="148">
        <f t="shared" ref="BH35" si="224">((BH19*BH19+BI19*BI19))*EXP((BH19+2.5*BI19)/BH34)</f>
        <v>1515.6216727808949</v>
      </c>
      <c r="BI35" s="149"/>
      <c r="BJ35" s="148">
        <f t="shared" ref="BJ35" si="225">((BJ19*BJ19+BK19*BK19))*EXP((BJ19+2.5*BK19)/BJ34)</f>
        <v>13456.966553148515</v>
      </c>
      <c r="BK35" s="149"/>
      <c r="BL35" s="148">
        <f t="shared" ref="BL35" si="226">((BL19*BL19+BM19*BM19))*EXP((BL19+2.5*BM19)/BL34)</f>
        <v>10710.698975907682</v>
      </c>
      <c r="BM35" s="149"/>
      <c r="BN35" s="148">
        <f t="shared" ref="BN35" si="227">((BN19*BN19+BO19*BO19))*EXP((BN19+2.5*BO19)/BN34)</f>
        <v>10864.894722643558</v>
      </c>
      <c r="BO35" s="149"/>
      <c r="BP35" s="148">
        <f t="shared" ref="BP35" ca="1" si="228">((BP19*BP19+BQ19*BQ19))*EXP((BP19+2.5*BQ19)/BP34)</f>
        <v>45461.919868865865</v>
      </c>
      <c r="BQ35" s="149"/>
      <c r="BR35" s="148">
        <f t="shared" ref="BR35" ca="1" si="229">((BR19*BR19+BS19*BS19))*EXP((BR19+2.5*BS19)/BR34)</f>
        <v>37649.141758346828</v>
      </c>
      <c r="BS35" s="149"/>
      <c r="BT35" s="148">
        <f t="shared" ref="BT35" ca="1" si="230">((BT19*BT19+BU19*BU19))*EXP((BT19+2.5*BU19)/BT34)</f>
        <v>37032.776730281876</v>
      </c>
      <c r="BU35" s="149"/>
      <c r="BV35" s="150">
        <f t="shared" ref="BV35" si="231">((BV19*BV19+BW19*BW19))*EXP((BV19+2.5*BW19)/BV34)</f>
        <v>34248.605359984591</v>
      </c>
      <c r="BW35" s="151"/>
      <c r="BX35" s="150">
        <f t="shared" ref="BX35" si="232">((BX19*BX19+BY19*BY19))*EXP((BX19+2.5*BY19)/BX34)</f>
        <v>27784.570395214589</v>
      </c>
      <c r="BY35" s="151"/>
      <c r="BZ35" s="150">
        <f t="shared" ref="BZ35" si="233">((BZ19*BZ19+CA19*CA19))*EXP((BZ19+2.5*CA19)/BZ34)</f>
        <v>27837.573144805876</v>
      </c>
      <c r="CA35" s="151"/>
      <c r="CB35" s="150">
        <f t="shared" ref="CB35" si="234">((CB19*CB19+CC19*CC19))*EXP((CB19+2.5*CC19)/CB34)</f>
        <v>38275.62486334351</v>
      </c>
      <c r="CC35" s="151"/>
      <c r="CD35" s="150">
        <f t="shared" ref="CD35" si="235">((CD19*CD19+CE19*CE19))*EXP((CD19+2.5*CE19)/CD34)</f>
        <v>31642.71688623575</v>
      </c>
      <c r="CE35" s="151"/>
      <c r="CF35" s="150">
        <f t="shared" ref="CF35" si="236">((CF19*CF19+CG19*CG19))*EXP((CF19+2.5*CG19)/CF34)</f>
        <v>32494.009616161711</v>
      </c>
      <c r="CG35" s="151"/>
      <c r="CH35" s="150">
        <f t="shared" ref="CH35" si="237">((CH19*CH19+CI19*CI19))*EXP((CH19+2.5*CI19)/CH34)</f>
        <v>45529.767892958604</v>
      </c>
      <c r="CI35" s="151"/>
      <c r="CJ35" s="150">
        <f t="shared" ref="CJ35" si="238">((CJ19*CJ19+CK19*CK19))*EXP((CJ19+2.5*CK19)/CJ34)</f>
        <v>40355.962092000736</v>
      </c>
      <c r="CK35" s="151"/>
      <c r="CL35" s="150">
        <f t="shared" ref="CL35" si="239">((CL19*CL19+CM19*CM19))*EXP((CL19+2.5*CM19)/CL34)</f>
        <v>38041.042692117742</v>
      </c>
      <c r="CM35" s="151"/>
      <c r="CN35" s="150">
        <f t="shared" ref="CN35" si="240">((CN19*CN19+CO19*CO19))*EXP((CN19+2.5*CO19)/CN34)</f>
        <v>1396.4022853771753</v>
      </c>
      <c r="CO35" s="151"/>
      <c r="CP35" s="150">
        <f t="shared" ref="CP35" si="241">((CP19*CP19+CQ19*CQ19))*EXP((CP19+2.5*CQ19)/CP34)</f>
        <v>1250.8314142523288</v>
      </c>
      <c r="CQ35" s="151"/>
      <c r="CR35" s="150">
        <f t="shared" ref="CR35" ca="1" si="242">((CR19*CR19+CS19*CS19))*EXP((CR19+2.5*CS19)/CR34)</f>
        <v>1384.8810243671867</v>
      </c>
      <c r="CS35" s="151"/>
      <c r="CT35" s="150">
        <f t="shared" ref="CT35" si="243">((CT19*CT19+CU19*CU19))*EXP((CT19+2.5*CU19)/CT34)</f>
        <v>12550.379397050705</v>
      </c>
      <c r="CU35" s="151"/>
      <c r="CV35" s="150">
        <f t="shared" ref="CV35" si="244">((CV19*CV19+CW19*CW19))*EXP((CV19+2.5*CW19)/CV34)</f>
        <v>10545.967830779804</v>
      </c>
      <c r="CW35" s="151"/>
      <c r="CX35" s="150">
        <f t="shared" ref="CX35" si="245">((CX19*CX19+CY19*CY19))*EXP((CX19+2.5*CY19)/CX34)</f>
        <v>10434.665766331913</v>
      </c>
      <c r="CY35" s="151"/>
      <c r="CZ35" s="150">
        <f t="shared" ref="CZ35" ca="1" si="246">((CZ19*CZ19+DA19*DA19))*EXP((CZ19+2.5*DA19)/CZ34)</f>
        <v>44680.186258931179</v>
      </c>
      <c r="DA35" s="151"/>
      <c r="DB35" s="150">
        <f t="shared" ref="DB35" ca="1" si="247">((DB19*DB19+DC19*DC19))*EXP((DB19+2.5*DC19)/DB34)</f>
        <v>36981.264419983083</v>
      </c>
      <c r="DC35" s="151"/>
      <c r="DD35" s="150">
        <f t="shared" ref="DD35" ca="1" si="248">((DD19*DD19+DE19*DE19))*EXP((DD19+2.5*DE19)/DD34)</f>
        <v>38206.955524165511</v>
      </c>
      <c r="DE35" s="151"/>
      <c r="DF35" s="152">
        <f t="shared" ref="DF35" si="249">((DF19*DF19+DG19*DG19))*EXP((DF19+2.5*DG19)/DF34)</f>
        <v>36124.749318953502</v>
      </c>
      <c r="DG35" s="153"/>
      <c r="DH35" s="152">
        <f t="shared" ref="DH35" ca="1" si="250">((DH19*DH19+DI19*DI19))*EXP((DH19+2.5*DI19)/DH34)</f>
        <v>31664.358546515941</v>
      </c>
      <c r="DI35" s="153"/>
      <c r="DJ35" s="152">
        <f t="shared" ref="DJ35" ca="1" si="251">((DJ19*DJ19+DK19*DK19))*EXP((DJ19+2.5*DK19)/DJ34)</f>
        <v>32072.189885905082</v>
      </c>
      <c r="DK35" s="153"/>
      <c r="DL35" s="152">
        <f t="shared" ref="DL35" si="252">((DL19*DL19+DM19*DM19))*EXP((DL19+2.5*DM19)/DL34)</f>
        <v>38588.57394477808</v>
      </c>
      <c r="DM35" s="153"/>
      <c r="DN35" s="152">
        <f t="shared" ref="DN35" ca="1" si="253">((DN19*DN19+DO19*DO19))*EXP((DN19+2.5*DO19)/DN34)</f>
        <v>36667.361938792565</v>
      </c>
      <c r="DO35" s="153"/>
      <c r="DP35" s="152">
        <f t="shared" ref="DP35" ca="1" si="254">((DP19*DP19+DQ19*DQ19))*EXP((DP19+2.5*DQ19)/DP34)</f>
        <v>36934.896320345368</v>
      </c>
      <c r="DQ35" s="153"/>
      <c r="DR35" s="152">
        <f t="shared" ref="DR35" ca="1" si="255">((DR19*DR19+DS19*DS19))*EXP((DR19+2.5*DS19)/DR34)</f>
        <v>52440.678063100051</v>
      </c>
      <c r="DS35" s="153"/>
      <c r="DT35" s="152">
        <f t="shared" ref="DT35" ca="1" si="256">((DT19*DT19+DU19*DU19))*EXP((DT19+2.5*DU19)/DT34)</f>
        <v>46545.015347082801</v>
      </c>
      <c r="DU35" s="153"/>
      <c r="DV35" s="152">
        <f t="shared" ref="DV35" ca="1" si="257">((DV19*DV19+DW19*DW19))*EXP((DV19+2.5*DW19)/DV34)</f>
        <v>44140.90032941653</v>
      </c>
      <c r="DW35" s="153"/>
      <c r="DX35" s="152">
        <f t="shared" ref="DX35" ca="1" si="258">((DX19*DX19+DY19*DY19))*EXP((DX19+2.5*DY19)/DX34)</f>
        <v>1563.005980079869</v>
      </c>
      <c r="DY35" s="153"/>
      <c r="DZ35" s="152">
        <f t="shared" ref="DZ35" ca="1" si="259">((DZ19*DZ19+EA19*EA19))*EXP((DZ19+2.5*EA19)/DZ34)</f>
        <v>1416.3128515595897</v>
      </c>
      <c r="EA35" s="153"/>
      <c r="EB35" s="152">
        <f t="shared" ref="EB35" ca="1" si="260">((EB19*EB19+EC19*EC19))*EXP((EB19+2.5*EC19)/EB34)</f>
        <v>1550.7012571809787</v>
      </c>
      <c r="EC35" s="153"/>
      <c r="ED35" s="152">
        <f t="shared" ref="ED35" si="261">((ED19*ED19+EE19*EE19))*EXP((ED19+2.5*EE19)/ED34)</f>
        <v>12880.717460840173</v>
      </c>
      <c r="EE35" s="153"/>
      <c r="EF35" s="152">
        <f t="shared" ref="EF35" ca="1" si="262">((EF19*EF19+EG19*EG19))*EXP((EF19+2.5*EG19)/EF34)</f>
        <v>11883.081731557411</v>
      </c>
      <c r="EG35" s="153"/>
      <c r="EH35" s="152">
        <f t="shared" ref="EH35" ca="1" si="263">((EH19*EH19+EI19*EI19))*EXP((EH19+2.5*EI19)/EH34)</f>
        <v>11794.472942729706</v>
      </c>
      <c r="EI35" s="153"/>
      <c r="EJ35" s="152">
        <f t="shared" ref="EJ35" ca="1" si="264">((EJ19*EJ19+EK19*EK19))*EXP((EJ19+2.5*EK19)/EJ34)</f>
        <v>44442.55031588686</v>
      </c>
      <c r="EK35" s="153"/>
      <c r="EL35" s="152">
        <f t="shared" ref="EL35" ca="1" si="265">((EL19*EL19+EM19*EM19))*EXP((EL19+2.5*EM19)/EL34)</f>
        <v>42180.744754064326</v>
      </c>
      <c r="EM35" s="153"/>
      <c r="EN35" s="152">
        <f t="shared" ref="EN35" ca="1" si="266">((EN19*EN19+EO19*EO19))*EXP((EN19+2.5*EO19)/EN34)</f>
        <v>42830.703969540067</v>
      </c>
      <c r="EO35" s="153"/>
    </row>
    <row r="36" spans="1:145" x14ac:dyDescent="0.25">
      <c r="A36" s="17" t="s">
        <v>112</v>
      </c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8"/>
      <c r="AM36" s="149"/>
      <c r="AN36" s="148"/>
      <c r="AO36" s="149"/>
      <c r="AP36" s="148"/>
      <c r="AQ36" s="149"/>
      <c r="AR36" s="148"/>
      <c r="AS36" s="149"/>
      <c r="AT36" s="148"/>
      <c r="AU36" s="149"/>
      <c r="AV36" s="148"/>
      <c r="AW36" s="149"/>
      <c r="AX36" s="148"/>
      <c r="AY36" s="149"/>
      <c r="AZ36" s="148"/>
      <c r="BA36" s="149"/>
      <c r="BB36" s="148"/>
      <c r="BC36" s="149"/>
      <c r="BD36" s="148"/>
      <c r="BE36" s="149"/>
      <c r="BF36" s="148"/>
      <c r="BG36" s="149"/>
      <c r="BH36" s="148"/>
      <c r="BI36" s="149"/>
      <c r="BJ36" s="148"/>
      <c r="BK36" s="149"/>
      <c r="BL36" s="148"/>
      <c r="BM36" s="149"/>
      <c r="BN36" s="148"/>
      <c r="BO36" s="149"/>
      <c r="BP36" s="148"/>
      <c r="BQ36" s="149"/>
      <c r="BR36" s="148"/>
      <c r="BS36" s="149"/>
      <c r="BT36" s="148"/>
      <c r="BU36" s="149"/>
      <c r="BV36" s="150"/>
      <c r="BW36" s="151"/>
      <c r="BX36" s="150"/>
      <c r="BY36" s="151"/>
      <c r="BZ36" s="150"/>
      <c r="CA36" s="151"/>
      <c r="CB36" s="150"/>
      <c r="CC36" s="151"/>
      <c r="CD36" s="150"/>
      <c r="CE36" s="151"/>
      <c r="CF36" s="150"/>
      <c r="CG36" s="151"/>
      <c r="CH36" s="150"/>
      <c r="CI36" s="151"/>
      <c r="CJ36" s="150"/>
      <c r="CK36" s="151"/>
      <c r="CL36" s="150"/>
      <c r="CM36" s="151"/>
      <c r="CN36" s="150"/>
      <c r="CO36" s="151"/>
      <c r="CP36" s="150"/>
      <c r="CQ36" s="151"/>
      <c r="CR36" s="150"/>
      <c r="CS36" s="151"/>
      <c r="CT36" s="150"/>
      <c r="CU36" s="151"/>
      <c r="CV36" s="150"/>
      <c r="CW36" s="151"/>
      <c r="CX36" s="150"/>
      <c r="CY36" s="151"/>
      <c r="CZ36" s="150"/>
      <c r="DA36" s="151"/>
      <c r="DB36" s="150"/>
      <c r="DC36" s="151"/>
      <c r="DD36" s="150"/>
      <c r="DE36" s="151"/>
      <c r="DF36" s="152"/>
      <c r="DG36" s="153"/>
      <c r="DH36" s="152"/>
      <c r="DI36" s="153"/>
      <c r="DJ36" s="152"/>
      <c r="DK36" s="153"/>
      <c r="DL36" s="152"/>
      <c r="DM36" s="153"/>
      <c r="DN36" s="152"/>
      <c r="DO36" s="153"/>
      <c r="DP36" s="152"/>
      <c r="DQ36" s="153"/>
      <c r="DR36" s="152"/>
      <c r="DS36" s="153"/>
      <c r="DT36" s="152"/>
      <c r="DU36" s="153"/>
      <c r="DV36" s="152"/>
      <c r="DW36" s="153"/>
      <c r="DX36" s="152"/>
      <c r="DY36" s="153"/>
      <c r="DZ36" s="152"/>
      <c r="EA36" s="153"/>
      <c r="EB36" s="152"/>
      <c r="EC36" s="153"/>
      <c r="ED36" s="152"/>
      <c r="EE36" s="153"/>
      <c r="EF36" s="152"/>
      <c r="EG36" s="153"/>
      <c r="EH36" s="152"/>
      <c r="EI36" s="153"/>
      <c r="EJ36" s="152"/>
      <c r="EK36" s="153"/>
      <c r="EL36" s="152"/>
      <c r="EM36" s="153"/>
      <c r="EN36" s="152"/>
      <c r="EO36" s="153"/>
    </row>
    <row r="37" spans="1:145" x14ac:dyDescent="0.25">
      <c r="A37" s="15" t="s">
        <v>110</v>
      </c>
      <c r="B37" s="147">
        <v>80</v>
      </c>
      <c r="C37" s="147"/>
      <c r="D37" s="147">
        <f>B37</f>
        <v>80</v>
      </c>
      <c r="E37" s="147"/>
      <c r="F37" s="147">
        <f>D37</f>
        <v>80</v>
      </c>
      <c r="G37" s="147"/>
      <c r="H37" s="147">
        <f>F37</f>
        <v>80</v>
      </c>
      <c r="I37" s="147"/>
      <c r="J37" s="147">
        <f>H37</f>
        <v>80</v>
      </c>
      <c r="K37" s="147"/>
      <c r="L37" s="147">
        <f>J37</f>
        <v>80</v>
      </c>
      <c r="M37" s="147"/>
      <c r="N37" s="147">
        <f>L37</f>
        <v>80</v>
      </c>
      <c r="O37" s="147"/>
      <c r="P37" s="147">
        <f>N37</f>
        <v>80</v>
      </c>
      <c r="Q37" s="147"/>
      <c r="R37" s="147">
        <f>P37</f>
        <v>80</v>
      </c>
      <c r="S37" s="147"/>
      <c r="T37" s="147">
        <f>R37</f>
        <v>80</v>
      </c>
      <c r="U37" s="147"/>
      <c r="V37" s="147">
        <f>T37</f>
        <v>80</v>
      </c>
      <c r="W37" s="147"/>
      <c r="X37" s="147">
        <f>V37</f>
        <v>80</v>
      </c>
      <c r="Y37" s="147"/>
      <c r="Z37" s="147">
        <f>X37</f>
        <v>80</v>
      </c>
      <c r="AA37" s="147"/>
      <c r="AB37" s="147">
        <f>Z37</f>
        <v>80</v>
      </c>
      <c r="AC37" s="147"/>
      <c r="AD37" s="147">
        <f>AB37</f>
        <v>80</v>
      </c>
      <c r="AE37" s="147"/>
      <c r="AF37" s="147">
        <f>AD37</f>
        <v>80</v>
      </c>
      <c r="AG37" s="147"/>
      <c r="AH37" s="147">
        <f>AF37</f>
        <v>80</v>
      </c>
      <c r="AI37" s="147"/>
      <c r="AJ37" s="147">
        <f>AH37</f>
        <v>80</v>
      </c>
      <c r="AK37" s="147"/>
      <c r="AL37" s="147">
        <f>AJ37</f>
        <v>80</v>
      </c>
      <c r="AM37" s="147"/>
      <c r="AN37" s="147">
        <f>AL37</f>
        <v>80</v>
      </c>
      <c r="AO37" s="147"/>
      <c r="AP37" s="147">
        <f>AN37</f>
        <v>80</v>
      </c>
      <c r="AQ37" s="147"/>
      <c r="AR37" s="147">
        <f>AP37</f>
        <v>80</v>
      </c>
      <c r="AS37" s="147"/>
      <c r="AT37" s="147">
        <f>AR37</f>
        <v>80</v>
      </c>
      <c r="AU37" s="147"/>
      <c r="AV37" s="147">
        <f>AT37</f>
        <v>80</v>
      </c>
      <c r="AW37" s="147"/>
      <c r="AX37" s="147">
        <f>AV37</f>
        <v>80</v>
      </c>
      <c r="AY37" s="147"/>
      <c r="AZ37" s="147">
        <f>AX37</f>
        <v>80</v>
      </c>
      <c r="BA37" s="147"/>
      <c r="BB37" s="147">
        <f>AZ37</f>
        <v>80</v>
      </c>
      <c r="BC37" s="147"/>
      <c r="BD37" s="147">
        <f>BB37</f>
        <v>80</v>
      </c>
      <c r="BE37" s="147"/>
      <c r="BF37" s="147">
        <f>BD37</f>
        <v>80</v>
      </c>
      <c r="BG37" s="147"/>
      <c r="BH37" s="147">
        <f>BF37</f>
        <v>80</v>
      </c>
      <c r="BI37" s="147"/>
      <c r="BJ37" s="147">
        <f>BH37</f>
        <v>80</v>
      </c>
      <c r="BK37" s="147"/>
      <c r="BL37" s="147">
        <f>BJ37</f>
        <v>80</v>
      </c>
      <c r="BM37" s="147"/>
      <c r="BN37" s="147">
        <f>BL37</f>
        <v>80</v>
      </c>
      <c r="BO37" s="147"/>
      <c r="BP37" s="147">
        <f>BN37</f>
        <v>80</v>
      </c>
      <c r="BQ37" s="147"/>
      <c r="BR37" s="147">
        <f>BP37</f>
        <v>80</v>
      </c>
      <c r="BS37" s="149"/>
      <c r="BT37" s="148">
        <f>BR37</f>
        <v>80</v>
      </c>
      <c r="BU37" s="149"/>
      <c r="BV37" s="147">
        <f>BT37</f>
        <v>80</v>
      </c>
      <c r="BW37" s="147"/>
      <c r="BX37" s="147">
        <f>BV37</f>
        <v>80</v>
      </c>
      <c r="BY37" s="147"/>
      <c r="BZ37" s="147">
        <f>BX37</f>
        <v>80</v>
      </c>
      <c r="CA37" s="147"/>
      <c r="CB37" s="147">
        <f>BZ37</f>
        <v>80</v>
      </c>
      <c r="CC37" s="147"/>
      <c r="CD37" s="147">
        <f>CB37</f>
        <v>80</v>
      </c>
      <c r="CE37" s="147"/>
      <c r="CF37" s="147">
        <f>CD37</f>
        <v>80</v>
      </c>
      <c r="CG37" s="147"/>
      <c r="CH37" s="147">
        <f>CF37</f>
        <v>80</v>
      </c>
      <c r="CI37" s="147"/>
      <c r="CJ37" s="147">
        <f>CH37</f>
        <v>80</v>
      </c>
      <c r="CK37" s="147"/>
      <c r="CL37" s="147">
        <f>CJ37</f>
        <v>80</v>
      </c>
      <c r="CM37" s="147"/>
      <c r="CN37" s="147">
        <f>CL37</f>
        <v>80</v>
      </c>
      <c r="CO37" s="147"/>
      <c r="CP37" s="147">
        <f>CN37</f>
        <v>80</v>
      </c>
      <c r="CQ37" s="147"/>
      <c r="CR37" s="147">
        <f>CP37</f>
        <v>80</v>
      </c>
      <c r="CS37" s="147"/>
      <c r="CT37" s="147">
        <f>CR37</f>
        <v>80</v>
      </c>
      <c r="CU37" s="147"/>
      <c r="CV37" s="147">
        <f>CT37</f>
        <v>80</v>
      </c>
      <c r="CW37" s="147"/>
      <c r="CX37" s="147">
        <f>CV37</f>
        <v>80</v>
      </c>
      <c r="CY37" s="147"/>
      <c r="CZ37" s="147">
        <f>CX37</f>
        <v>80</v>
      </c>
      <c r="DA37" s="147"/>
      <c r="DB37" s="147">
        <f>CZ37</f>
        <v>80</v>
      </c>
      <c r="DC37" s="149"/>
      <c r="DD37" s="148">
        <f>DB37</f>
        <v>80</v>
      </c>
      <c r="DE37" s="149"/>
      <c r="DF37" s="147">
        <f>DD37</f>
        <v>80</v>
      </c>
      <c r="DG37" s="147"/>
      <c r="DH37" s="147">
        <f>DF37</f>
        <v>80</v>
      </c>
      <c r="DI37" s="147"/>
      <c r="DJ37" s="147">
        <f>DH37</f>
        <v>80</v>
      </c>
      <c r="DK37" s="147"/>
      <c r="DL37" s="147">
        <f>DJ37</f>
        <v>80</v>
      </c>
      <c r="DM37" s="147"/>
      <c r="DN37" s="147">
        <f>DL37</f>
        <v>80</v>
      </c>
      <c r="DO37" s="147"/>
      <c r="DP37" s="147">
        <f>DN37</f>
        <v>80</v>
      </c>
      <c r="DQ37" s="147"/>
      <c r="DR37" s="147">
        <f>DP37</f>
        <v>80</v>
      </c>
      <c r="DS37" s="147"/>
      <c r="DT37" s="147">
        <f>DR37</f>
        <v>80</v>
      </c>
      <c r="DU37" s="147"/>
      <c r="DV37" s="147">
        <f>DT37</f>
        <v>80</v>
      </c>
      <c r="DW37" s="147"/>
      <c r="DX37" s="147">
        <f>DV37</f>
        <v>80</v>
      </c>
      <c r="DY37" s="147"/>
      <c r="DZ37" s="147">
        <f>DX37</f>
        <v>80</v>
      </c>
      <c r="EA37" s="147"/>
      <c r="EB37" s="147">
        <f>DZ37</f>
        <v>80</v>
      </c>
      <c r="EC37" s="147"/>
      <c r="ED37" s="147">
        <f>EB37</f>
        <v>80</v>
      </c>
      <c r="EE37" s="147"/>
      <c r="EF37" s="147">
        <f>ED37</f>
        <v>80</v>
      </c>
      <c r="EG37" s="147"/>
      <c r="EH37" s="147">
        <f>EF37</f>
        <v>80</v>
      </c>
      <c r="EI37" s="147"/>
      <c r="EJ37" s="147">
        <f>EH37</f>
        <v>80</v>
      </c>
      <c r="EK37" s="147"/>
      <c r="EL37" s="147">
        <f>EJ37</f>
        <v>80</v>
      </c>
      <c r="EM37" s="149"/>
      <c r="EN37" s="148">
        <f>EL37</f>
        <v>80</v>
      </c>
      <c r="EO37" s="149"/>
    </row>
    <row r="38" spans="1:145" ht="15" customHeight="1" x14ac:dyDescent="0.25">
      <c r="A38" s="15" t="s">
        <v>40</v>
      </c>
      <c r="B38" s="147">
        <f>(B20*B20+C20*C20)^EXP((B20+2.5*C20)/B37)</f>
        <v>59799966111.565491</v>
      </c>
      <c r="C38" s="147"/>
      <c r="D38" s="147">
        <f t="shared" ref="D38" si="267">(D20*D20+E20*E20)^EXP((D20+2.5*E20)/D37)</f>
        <v>3494640484.9232783</v>
      </c>
      <c r="E38" s="147"/>
      <c r="F38" s="147">
        <f t="shared" ref="F38" si="268">(F20*F20+G20*G20)^EXP((F20+2.5*G20)/F37)</f>
        <v>10455063228.126835</v>
      </c>
      <c r="G38" s="147"/>
      <c r="H38" s="147">
        <f t="shared" ref="H38" si="269">(H20*H20+I20*I20)^EXP((H20+2.5*I20)/H37)</f>
        <v>85171742430.138275</v>
      </c>
      <c r="I38" s="147"/>
      <c r="J38" s="147">
        <f t="shared" ref="J38" si="270">(J20*J20+K20*K20)^EXP((J20+2.5*K20)/J37)</f>
        <v>6755100501.2090378</v>
      </c>
      <c r="K38" s="147"/>
      <c r="L38" s="147">
        <f t="shared" ref="L38" si="271">(L20*L20+M20*M20)^EXP((L20+2.5*M20)/L37)</f>
        <v>27457553464.240009</v>
      </c>
      <c r="M38" s="147"/>
      <c r="N38" s="147">
        <f t="shared" ref="N38" si="272">(N20*N20+O20*O20)^EXP((N20+2.5*O20)/N37)</f>
        <v>1921339156701.0071</v>
      </c>
      <c r="O38" s="147"/>
      <c r="P38" s="147">
        <f t="shared" ref="P38" si="273">(P20*P20+Q20*Q20)^EXP((P20+2.5*Q20)/P37)</f>
        <v>283391123890.52094</v>
      </c>
      <c r="Q38" s="147"/>
      <c r="R38" s="147">
        <f t="shared" ref="R38" si="274">(R20*R20+S20*S20)^EXP((R20+2.5*S20)/R37)</f>
        <v>156275927248.71774</v>
      </c>
      <c r="S38" s="147"/>
      <c r="T38" s="147">
        <f t="shared" ref="T38" si="275">(T20*T20+U20*U20)^EXP((T20+2.5*U20)/T37)</f>
        <v>1734.114142117789</v>
      </c>
      <c r="U38" s="147"/>
      <c r="V38" s="147">
        <f t="shared" ref="V38" si="276">(V20*V20+W20*W20)^EXP((V20+2.5*W20)/V37)</f>
        <v>1147.8549057960372</v>
      </c>
      <c r="W38" s="147"/>
      <c r="X38" s="147">
        <f t="shared" ref="X38" si="277">(X20*X20+Y20*Y20)^EXP((X20+2.5*Y20)/X37)</f>
        <v>1150.4622256904081</v>
      </c>
      <c r="Y38" s="147"/>
      <c r="Z38" s="147">
        <f t="shared" ref="Z38" si="278">(Z20*Z20+AA20*AA20)^EXP((Z20+2.5*AA20)/Z37)</f>
        <v>4422866.8231671248</v>
      </c>
      <c r="AA38" s="147"/>
      <c r="AB38" s="147">
        <f t="shared" ref="AB38" si="279">(AB20*AB20+AC20*AC20)^EXP((AB20+2.5*AC20)/AB37)</f>
        <v>1838555.4514058221</v>
      </c>
      <c r="AC38" s="147"/>
      <c r="AD38" s="147">
        <f t="shared" ref="AD38" si="280">(AD20*AD20+AE20*AE20)^EXP((AD20+2.5*AE20)/AD37)</f>
        <v>1925924.9216902552</v>
      </c>
      <c r="AE38" s="147"/>
      <c r="AF38" s="147">
        <f t="shared" ref="AF38" ca="1" si="281">(AF20*AF20+AG20*AG20)^EXP((AF20+2.5*AG20)/AF37)</f>
        <v>505235498672.5918</v>
      </c>
      <c r="AG38" s="147"/>
      <c r="AH38" s="147">
        <f t="shared" ref="AH38" ca="1" si="282">(AH20*AH20+AI20*AI20)^EXP((AH20+2.5*AI20)/AH37)</f>
        <v>47113563472.848991</v>
      </c>
      <c r="AI38" s="147"/>
      <c r="AJ38" s="147">
        <f t="shared" ref="AJ38" ca="1" si="283">(AJ20*AJ20+AK20*AK20)^EXP((AJ20+2.5*AK20)/AJ37)</f>
        <v>254480233217.54492</v>
      </c>
      <c r="AK38" s="147"/>
      <c r="AL38" s="148">
        <f t="shared" ref="AL38" si="284">(AL20*AL20+AM20*AM20)^EXP((AL20+2.5*AM20)/AL37)</f>
        <v>151522745051.70175</v>
      </c>
      <c r="AM38" s="149"/>
      <c r="AN38" s="148">
        <f t="shared" ref="AN38" si="285">(AN20*AN20+AO20*AO20)^EXP((AN20+2.5*AO20)/AN37)</f>
        <v>6418374300.0772543</v>
      </c>
      <c r="AO38" s="149"/>
      <c r="AP38" s="148">
        <f t="shared" ref="AP38" si="286">(AP20*AP20+AQ20*AQ20)^EXP((AP20+2.5*AQ20)/AP37)</f>
        <v>10026156668.058903</v>
      </c>
      <c r="AQ38" s="149"/>
      <c r="AR38" s="148">
        <f t="shared" ref="AR38" si="287">(AR20*AR20+AS20*AS20)^EXP((AR20+2.5*AS20)/AR37)</f>
        <v>143973267756.93427</v>
      </c>
      <c r="AS38" s="149"/>
      <c r="AT38" s="148">
        <f t="shared" ref="AT38" si="288">(AT20*AT20+AU20*AU20)^EXP((AT20+2.5*AU20)/AT37)</f>
        <v>10324303230.825047</v>
      </c>
      <c r="AU38" s="149"/>
      <c r="AV38" s="148">
        <f t="shared" ref="AV38" si="289">(AV20*AV20+AW20*AW20)^EXP((AV20+2.5*AW20)/AV37)</f>
        <v>19169486515.898006</v>
      </c>
      <c r="AW38" s="149"/>
      <c r="AX38" s="148">
        <f t="shared" ref="AX38" si="290">(AX20*AX20+AY20*AY20)^EXP((AX20+2.5*AY20)/AX37)</f>
        <v>1614939435822.25</v>
      </c>
      <c r="AY38" s="149"/>
      <c r="AZ38" s="148">
        <f t="shared" ref="AZ38" si="291">(AZ20*AZ20+BA20*BA20)^EXP((AZ20+2.5*BA20)/AZ37)</f>
        <v>200917161254.49554</v>
      </c>
      <c r="BA38" s="149"/>
      <c r="BB38" s="148">
        <f t="shared" ref="BB38" si="292">(BB20*BB20+BC20*BC20)^EXP((BB20+2.5*BC20)/BB37)</f>
        <v>230701501035.74869</v>
      </c>
      <c r="BC38" s="149"/>
      <c r="BD38" s="148">
        <f t="shared" ref="BD38" si="293">(BD20*BD20+BE20*BE20)^EXP((BD20+2.5*BE20)/BD37)</f>
        <v>1590.2630369694739</v>
      </c>
      <c r="BE38" s="149"/>
      <c r="BF38" s="148">
        <f t="shared" ref="BF38" si="294">(BF20*BF20+BG20*BG20)^EXP((BF20+2.5*BG20)/BF37)</f>
        <v>1106.5805355633847</v>
      </c>
      <c r="BG38" s="149"/>
      <c r="BH38" s="148">
        <f t="shared" ref="BH38" si="295">(BH20*BH20+BI20*BI20)^EXP((BH20+2.5*BI20)/BH37)</f>
        <v>2377.1400721733171</v>
      </c>
      <c r="BI38" s="149"/>
      <c r="BJ38" s="148">
        <f t="shared" ref="BJ38" si="296">(BJ20*BJ20+BK20*BK20)^EXP((BJ20+2.5*BK20)/BJ37)</f>
        <v>6323201.7525060084</v>
      </c>
      <c r="BK38" s="149"/>
      <c r="BL38" s="148">
        <f t="shared" ref="BL38" si="297">(BL20*BL20+BM20*BM20)^EXP((BL20+2.5*BM20)/BL37)</f>
        <v>1801971.1412254844</v>
      </c>
      <c r="BM38" s="149"/>
      <c r="BN38" s="148">
        <f t="shared" ref="BN38" si="298">(BN20*BN20+BO20*BO20)^EXP((BN20+2.5*BO20)/BN37)</f>
        <v>2321534.2704191008</v>
      </c>
      <c r="BO38" s="149"/>
      <c r="BP38" s="148">
        <f t="shared" ref="BP38" ca="1" si="299">(BP20*BP20+BQ20*BQ20)^EXP((BP20+2.5*BQ20)/BP37)</f>
        <v>1438918204247.0559</v>
      </c>
      <c r="BQ38" s="149"/>
      <c r="BR38" s="148">
        <f t="shared" ref="BR38" ca="1" si="300">(BR20*BR20+BS20*BS20)^EXP((BR20+2.5*BS20)/BR37)</f>
        <v>69672466019.935715</v>
      </c>
      <c r="BS38" s="149"/>
      <c r="BT38" s="148">
        <f t="shared" ref="BT38" ca="1" si="301">(BT20*BT20+BU20*BU20)^EXP((BT20+2.5*BU20)/BT37)</f>
        <v>99559026136.093521</v>
      </c>
      <c r="BU38" s="149"/>
      <c r="BV38" s="150">
        <f t="shared" ref="BV38" si="302">(BV20*BV20+BW20*BW20)^EXP((BV20+2.5*BW20)/BV37)</f>
        <v>73755764207.246613</v>
      </c>
      <c r="BW38" s="151"/>
      <c r="BX38" s="150">
        <f t="shared" ref="BX38" si="303">(BX20*BX20+BY20*BY20)^EXP((BX20+2.5*BY20)/BX37)</f>
        <v>4489793584.1383924</v>
      </c>
      <c r="BY38" s="151"/>
      <c r="BZ38" s="150">
        <f t="shared" ref="BZ38" si="304">(BZ20*BZ20+CA20*CA20)^EXP((BZ20+2.5*CA20)/BZ37)</f>
        <v>7506079422.5025969</v>
      </c>
      <c r="CA38" s="151"/>
      <c r="CB38" s="150">
        <f t="shared" ref="CB38" si="305">(CB20*CB20+CC20*CC20)^EXP((CB20+2.5*CC20)/CB37)</f>
        <v>85046879172.369537</v>
      </c>
      <c r="CC38" s="151"/>
      <c r="CD38" s="150">
        <f t="shared" ref="CD38" si="306">(CD20*CD20+CE20*CE20)^EXP((CD20+2.5*CE20)/CD37)</f>
        <v>7317833100.8365059</v>
      </c>
      <c r="CE38" s="151"/>
      <c r="CF38" s="150">
        <f t="shared" ref="CF38" si="307">(CF20*CF20+CG20*CG20)^EXP((CF20+2.5*CG20)/CF37)</f>
        <v>21732551693.315037</v>
      </c>
      <c r="CG38" s="151"/>
      <c r="CH38" s="150">
        <f t="shared" ref="CH38" si="308">(CH20*CH20+CI20*CI20)^EXP((CH20+2.5*CI20)/CH37)</f>
        <v>1096306234216.6462</v>
      </c>
      <c r="CI38" s="151"/>
      <c r="CJ38" s="150">
        <f t="shared" ref="CJ38" si="309">(CJ20*CJ20+CK20*CK20)^EXP((CJ20+2.5*CK20)/CJ37)</f>
        <v>304870679282.95569</v>
      </c>
      <c r="CK38" s="151"/>
      <c r="CL38" s="150">
        <f t="shared" ref="CL38" si="310">(CL20*CL20+CM20*CM20)^EXP((CL20+2.5*CM20)/CL37)</f>
        <v>130850917728.37036</v>
      </c>
      <c r="CM38" s="151"/>
      <c r="CN38" s="150">
        <f t="shared" ref="CN38" si="311">(CN20*CN20+CO20*CO20)^EXP((CN20+2.5*CO20)/CN37)</f>
        <v>1660.9156551593637</v>
      </c>
      <c r="CO38" s="151"/>
      <c r="CP38" s="150">
        <f t="shared" ref="CP38" si="312">(CP20*CP20+CQ20*CQ20)^EXP((CP20+2.5*CQ20)/CP37)</f>
        <v>1277.5033913440323</v>
      </c>
      <c r="CQ38" s="151"/>
      <c r="CR38" s="150">
        <f t="shared" ref="CR38" ca="1" si="313">(CR20*CR20+CS20*CS20)^EXP((CR20+2.5*CS20)/CR37)</f>
        <v>1936.1701091852074</v>
      </c>
      <c r="CS38" s="151"/>
      <c r="CT38" s="150">
        <f t="shared" ref="CT38" si="314">(CT20*CT20+CU20*CU20)^EXP((CT20+2.5*CU20)/CT37)</f>
        <v>2985255.0714199739</v>
      </c>
      <c r="CU38" s="151"/>
      <c r="CV38" s="150">
        <f t="shared" ref="CV38" si="315">(CV20*CV20+CW20*CW20)^EXP((CV20+2.5*CW20)/CV37)</f>
        <v>1265312.4554713068</v>
      </c>
      <c r="CW38" s="151"/>
      <c r="CX38" s="150">
        <f t="shared" ref="CX38" si="316">(CX20*CX20+CY20*CY20)^EXP((CX20+2.5*CY20)/CX37)</f>
        <v>1323428.9766834835</v>
      </c>
      <c r="CY38" s="151"/>
      <c r="CZ38" s="150">
        <f t="shared" ref="CZ38" ca="1" si="317">(CZ20*CZ20+DA20*DA20)^EXP((CZ20+2.5*DA20)/CZ37)</f>
        <v>666041452011.37744</v>
      </c>
      <c r="DA38" s="151"/>
      <c r="DB38" s="150">
        <f t="shared" ref="DB38" ca="1" si="318">(DB20*DB20+DC20*DC20)^EXP((DB20+2.5*DC20)/DB37)</f>
        <v>45621568633.407288</v>
      </c>
      <c r="DC38" s="151"/>
      <c r="DD38" s="150">
        <f t="shared" ref="DD38" ca="1" si="319">(DD20*DD20+DE20*DE20)^EXP((DD20+2.5*DE20)/DD37)</f>
        <v>167405259427.73154</v>
      </c>
      <c r="DE38" s="151"/>
      <c r="DF38" s="152">
        <f t="shared" ref="DF38" si="320">(DF20*DF20+DG20*DG20)^EXP((DF20+2.5*DG20)/DF37)</f>
        <v>229762824013.69781</v>
      </c>
      <c r="DG38" s="153"/>
      <c r="DH38" s="152">
        <f t="shared" ref="DH38" ca="1" si="321">(DH20*DH20+DI20*DI20)^EXP((DH20+2.5*DI20)/DH37)</f>
        <v>19431955483.653736</v>
      </c>
      <c r="DI38" s="153"/>
      <c r="DJ38" s="152">
        <f t="shared" ref="DJ38" ca="1" si="322">(DJ20*DJ20+DK20*DK20)^EXP((DJ20+2.5*DK20)/DJ37)</f>
        <v>39842314007.121849</v>
      </c>
      <c r="DK38" s="153"/>
      <c r="DL38" s="152">
        <f t="shared" ref="DL38" si="323">(DL20*DL20+DM20*DM20)^EXP((DL20+2.5*DM20)/DL37)</f>
        <v>240681406703.29617</v>
      </c>
      <c r="DM38" s="153"/>
      <c r="DN38" s="152">
        <f t="shared" ref="DN38" ca="1" si="324">(DN20*DN20+DO20*DO20)^EXP((DN20+2.5*DO20)/DN37)</f>
        <v>39557687938.076027</v>
      </c>
      <c r="DO38" s="153"/>
      <c r="DP38" s="152">
        <f t="shared" ref="DP38" ca="1" si="325">(DP20*DP20+DQ20*DQ20)^EXP((DP20+2.5*DQ20)/DP37)</f>
        <v>108199611082.50102</v>
      </c>
      <c r="DQ38" s="153"/>
      <c r="DR38" s="152">
        <f t="shared" ref="DR38" ca="1" si="326">(DR20*DR20+DS20*DS20)^EXP((DR20+2.5*DS20)/DR37)</f>
        <v>9885927286681.8652</v>
      </c>
      <c r="DS38" s="153"/>
      <c r="DT38" s="152">
        <f t="shared" ref="DT38" ca="1" si="327">(DT20*DT20+DU20*DU20)^EXP((DT20+2.5*DU20)/DT37)</f>
        <v>2439771736095.9819</v>
      </c>
      <c r="DU38" s="153"/>
      <c r="DV38" s="152">
        <f t="shared" ref="DV38" ca="1" si="328">(DV20*DV20+DW20*DW20)^EXP((DV20+2.5*DW20)/DV37)</f>
        <v>1021704568570.2543</v>
      </c>
      <c r="DW38" s="153"/>
      <c r="DX38" s="152">
        <f t="shared" ref="DX38" ca="1" si="329">(DX20*DX20+DY20*DY20)^EXP((DX20+2.5*DY20)/DX37)</f>
        <v>2119.0799660047919</v>
      </c>
      <c r="DY38" s="153"/>
      <c r="DZ38" s="152">
        <f t="shared" ref="DZ38" ca="1" si="330">(DZ20*DZ20+EA20*EA20)^EXP((DZ20+2.5*EA20)/DZ37)</f>
        <v>1648.3176528036304</v>
      </c>
      <c r="EA38" s="153"/>
      <c r="EB38" s="152">
        <f t="shared" ref="EB38" ca="1" si="331">(EB20*EB20+EC20*EC20)^EXP((EB20+2.5*EC20)/EB37)</f>
        <v>2502.6898994690659</v>
      </c>
      <c r="EC38" s="153"/>
      <c r="ED38" s="152">
        <f t="shared" ref="ED38" si="332">(ED20*ED20+EE20*EE20)^EXP((ED20+2.5*EE20)/ED37)</f>
        <v>2951678.3031877591</v>
      </c>
      <c r="EE38" s="153"/>
      <c r="EF38" s="152">
        <f t="shared" ref="EF38" ca="1" si="333">(EF20*EF20+EG20*EG20)^EXP((EF20+2.5*EG20)/EF37)</f>
        <v>2383903.5407441435</v>
      </c>
      <c r="EG38" s="153"/>
      <c r="EH38" s="152">
        <f t="shared" ref="EH38" ca="1" si="334">(EH20*EH20+EI20*EI20)^EXP((EH20+2.5*EI20)/EH37)</f>
        <v>2291087.9458887111</v>
      </c>
      <c r="EI38" s="153"/>
      <c r="EJ38" s="152">
        <f t="shared" ref="EJ38" ca="1" si="335">(EJ20*EJ20+EK20*EK20)^EXP((EJ20+2.5*EK20)/EJ37)</f>
        <v>1913885631637.4707</v>
      </c>
      <c r="EK38" s="153"/>
      <c r="EL38" s="152">
        <f t="shared" ref="EL38" ca="1" si="336">(EL20*EL20+EM20*EM20)^EXP((EL20+2.5*EM20)/EL37)</f>
        <v>238121185658.62964</v>
      </c>
      <c r="EM38" s="153"/>
      <c r="EN38" s="152">
        <f t="shared" ref="EN38" ca="1" si="337">(EN20*EN20+EO20*EO20)^EXP((EN20+2.5*EO20)/EN37)</f>
        <v>809113748633.04968</v>
      </c>
      <c r="EO38" s="153"/>
    </row>
    <row r="39" spans="1:145" x14ac:dyDescent="0.25">
      <c r="A39" s="17" t="s">
        <v>41</v>
      </c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8"/>
      <c r="AM39" s="149"/>
      <c r="AN39" s="148"/>
      <c r="AO39" s="149"/>
      <c r="AP39" s="148"/>
      <c r="AQ39" s="149"/>
      <c r="AR39" s="148"/>
      <c r="AS39" s="149"/>
      <c r="AT39" s="148"/>
      <c r="AU39" s="149"/>
      <c r="AV39" s="148"/>
      <c r="AW39" s="149"/>
      <c r="AX39" s="148"/>
      <c r="AY39" s="149"/>
      <c r="AZ39" s="148"/>
      <c r="BA39" s="149"/>
      <c r="BB39" s="148"/>
      <c r="BC39" s="149"/>
      <c r="BD39" s="148"/>
      <c r="BE39" s="149"/>
      <c r="BF39" s="148"/>
      <c r="BG39" s="149"/>
      <c r="BH39" s="148"/>
      <c r="BI39" s="149"/>
      <c r="BJ39" s="148"/>
      <c r="BK39" s="149"/>
      <c r="BL39" s="148"/>
      <c r="BM39" s="149"/>
      <c r="BN39" s="148"/>
      <c r="BO39" s="149"/>
      <c r="BP39" s="148"/>
      <c r="BQ39" s="149"/>
      <c r="BR39" s="148"/>
      <c r="BS39" s="149"/>
      <c r="BT39" s="148"/>
      <c r="BU39" s="149"/>
      <c r="BV39" s="150"/>
      <c r="BW39" s="151"/>
      <c r="BX39" s="150"/>
      <c r="BY39" s="151"/>
      <c r="BZ39" s="150"/>
      <c r="CA39" s="151"/>
      <c r="CB39" s="150"/>
      <c r="CC39" s="151"/>
      <c r="CD39" s="150"/>
      <c r="CE39" s="151"/>
      <c r="CF39" s="150"/>
      <c r="CG39" s="151"/>
      <c r="CH39" s="150"/>
      <c r="CI39" s="151"/>
      <c r="CJ39" s="150"/>
      <c r="CK39" s="151"/>
      <c r="CL39" s="150"/>
      <c r="CM39" s="151"/>
      <c r="CN39" s="150"/>
      <c r="CO39" s="151"/>
      <c r="CP39" s="150"/>
      <c r="CQ39" s="151"/>
      <c r="CR39" s="150"/>
      <c r="CS39" s="151"/>
      <c r="CT39" s="150"/>
      <c r="CU39" s="151"/>
      <c r="CV39" s="150"/>
      <c r="CW39" s="151"/>
      <c r="CX39" s="150"/>
      <c r="CY39" s="151"/>
      <c r="CZ39" s="150"/>
      <c r="DA39" s="151"/>
      <c r="DB39" s="150"/>
      <c r="DC39" s="151"/>
      <c r="DD39" s="150"/>
      <c r="DE39" s="151"/>
      <c r="DF39" s="152"/>
      <c r="DG39" s="153"/>
      <c r="DH39" s="152"/>
      <c r="DI39" s="153"/>
      <c r="DJ39" s="152"/>
      <c r="DK39" s="153"/>
      <c r="DL39" s="152"/>
      <c r="DM39" s="153"/>
      <c r="DN39" s="152"/>
      <c r="DO39" s="153"/>
      <c r="DP39" s="152"/>
      <c r="DQ39" s="153"/>
      <c r="DR39" s="152"/>
      <c r="DS39" s="153"/>
      <c r="DT39" s="152"/>
      <c r="DU39" s="153"/>
      <c r="DV39" s="152"/>
      <c r="DW39" s="153"/>
      <c r="DX39" s="152"/>
      <c r="DY39" s="153"/>
      <c r="DZ39" s="152"/>
      <c r="EA39" s="153"/>
      <c r="EB39" s="152"/>
      <c r="EC39" s="153"/>
      <c r="ED39" s="152"/>
      <c r="EE39" s="153"/>
      <c r="EF39" s="152"/>
      <c r="EG39" s="153"/>
      <c r="EH39" s="152"/>
      <c r="EI39" s="153"/>
      <c r="EJ39" s="152"/>
      <c r="EK39" s="153"/>
      <c r="EL39" s="152"/>
      <c r="EM39" s="153"/>
      <c r="EN39" s="152"/>
      <c r="EO39" s="153"/>
    </row>
    <row r="40" spans="1:145" x14ac:dyDescent="0.25">
      <c r="A40" s="14" t="s">
        <v>32</v>
      </c>
      <c r="B40" s="147">
        <v>6</v>
      </c>
      <c r="C40" s="147"/>
      <c r="D40" s="147">
        <f>B40</f>
        <v>6</v>
      </c>
      <c r="E40" s="147"/>
      <c r="F40" s="147">
        <f>D40</f>
        <v>6</v>
      </c>
      <c r="G40" s="147"/>
      <c r="H40" s="147">
        <f>F40</f>
        <v>6</v>
      </c>
      <c r="I40" s="147"/>
      <c r="J40" s="147">
        <f>H40</f>
        <v>6</v>
      </c>
      <c r="K40" s="147"/>
      <c r="L40" s="147">
        <f>J40</f>
        <v>6</v>
      </c>
      <c r="M40" s="147"/>
      <c r="N40" s="147">
        <f>L40</f>
        <v>6</v>
      </c>
      <c r="O40" s="147"/>
      <c r="P40" s="147">
        <f>N40</f>
        <v>6</v>
      </c>
      <c r="Q40" s="147"/>
      <c r="R40" s="147">
        <f>P40</f>
        <v>6</v>
      </c>
      <c r="S40" s="147"/>
      <c r="T40" s="147">
        <f>R40</f>
        <v>6</v>
      </c>
      <c r="U40" s="147"/>
      <c r="V40" s="147">
        <f>T40</f>
        <v>6</v>
      </c>
      <c r="W40" s="147"/>
      <c r="X40" s="147">
        <f>V40</f>
        <v>6</v>
      </c>
      <c r="Y40" s="147"/>
      <c r="Z40" s="147">
        <f>X40</f>
        <v>6</v>
      </c>
      <c r="AA40" s="147"/>
      <c r="AB40" s="147">
        <f>Z40</f>
        <v>6</v>
      </c>
      <c r="AC40" s="147"/>
      <c r="AD40" s="147">
        <f>AB40</f>
        <v>6</v>
      </c>
      <c r="AE40" s="147"/>
      <c r="AF40" s="147">
        <f>AD40</f>
        <v>6</v>
      </c>
      <c r="AG40" s="147"/>
      <c r="AH40" s="147">
        <f>AF40</f>
        <v>6</v>
      </c>
      <c r="AI40" s="147"/>
      <c r="AJ40" s="147">
        <f>AH40</f>
        <v>6</v>
      </c>
      <c r="AK40" s="147"/>
      <c r="AL40" s="147">
        <f>AJ40</f>
        <v>6</v>
      </c>
      <c r="AM40" s="147"/>
      <c r="AN40" s="147">
        <f>AL40</f>
        <v>6</v>
      </c>
      <c r="AO40" s="147"/>
      <c r="AP40" s="147">
        <f>AN40</f>
        <v>6</v>
      </c>
      <c r="AQ40" s="147"/>
      <c r="AR40" s="147">
        <f>AP40</f>
        <v>6</v>
      </c>
      <c r="AS40" s="147"/>
      <c r="AT40" s="147">
        <f>AR40</f>
        <v>6</v>
      </c>
      <c r="AU40" s="147"/>
      <c r="AV40" s="147">
        <f>AT40</f>
        <v>6</v>
      </c>
      <c r="AW40" s="147"/>
      <c r="AX40" s="147">
        <f>AV40</f>
        <v>6</v>
      </c>
      <c r="AY40" s="147"/>
      <c r="AZ40" s="147">
        <f>AX40</f>
        <v>6</v>
      </c>
      <c r="BA40" s="147"/>
      <c r="BB40" s="147">
        <f>AZ40</f>
        <v>6</v>
      </c>
      <c r="BC40" s="147"/>
      <c r="BD40" s="147">
        <f>BB40</f>
        <v>6</v>
      </c>
      <c r="BE40" s="147"/>
      <c r="BF40" s="147">
        <f>BD40</f>
        <v>6</v>
      </c>
      <c r="BG40" s="147"/>
      <c r="BH40" s="147">
        <f>BF40</f>
        <v>6</v>
      </c>
      <c r="BI40" s="147"/>
      <c r="BJ40" s="147">
        <f>BH40</f>
        <v>6</v>
      </c>
      <c r="BK40" s="147"/>
      <c r="BL40" s="147">
        <f>BJ40</f>
        <v>6</v>
      </c>
      <c r="BM40" s="147"/>
      <c r="BN40" s="147">
        <f>BL40</f>
        <v>6</v>
      </c>
      <c r="BO40" s="147"/>
      <c r="BP40" s="147">
        <f>BN40</f>
        <v>6</v>
      </c>
      <c r="BQ40" s="147"/>
      <c r="BR40" s="147">
        <f>BP40</f>
        <v>6</v>
      </c>
      <c r="BS40" s="149"/>
      <c r="BT40" s="148">
        <f>BR40</f>
        <v>6</v>
      </c>
      <c r="BU40" s="149"/>
      <c r="BV40" s="147">
        <f>BT40</f>
        <v>6</v>
      </c>
      <c r="BW40" s="147"/>
      <c r="BX40" s="147">
        <f>BV40</f>
        <v>6</v>
      </c>
      <c r="BY40" s="147"/>
      <c r="BZ40" s="147">
        <f>BX40</f>
        <v>6</v>
      </c>
      <c r="CA40" s="147"/>
      <c r="CB40" s="147">
        <f>BZ40</f>
        <v>6</v>
      </c>
      <c r="CC40" s="147"/>
      <c r="CD40" s="147">
        <f>CB40</f>
        <v>6</v>
      </c>
      <c r="CE40" s="147"/>
      <c r="CF40" s="147">
        <f>CD40</f>
        <v>6</v>
      </c>
      <c r="CG40" s="147"/>
      <c r="CH40" s="147">
        <f>CF40</f>
        <v>6</v>
      </c>
      <c r="CI40" s="147"/>
      <c r="CJ40" s="147">
        <f>CH40</f>
        <v>6</v>
      </c>
      <c r="CK40" s="147"/>
      <c r="CL40" s="147">
        <f>CJ40</f>
        <v>6</v>
      </c>
      <c r="CM40" s="147"/>
      <c r="CN40" s="147">
        <f>CL40</f>
        <v>6</v>
      </c>
      <c r="CO40" s="147"/>
      <c r="CP40" s="147">
        <f>CN40</f>
        <v>6</v>
      </c>
      <c r="CQ40" s="147"/>
      <c r="CR40" s="147">
        <f>CP40</f>
        <v>6</v>
      </c>
      <c r="CS40" s="147"/>
      <c r="CT40" s="147">
        <f>CR40</f>
        <v>6</v>
      </c>
      <c r="CU40" s="147"/>
      <c r="CV40" s="147">
        <f>CT40</f>
        <v>6</v>
      </c>
      <c r="CW40" s="147"/>
      <c r="CX40" s="147">
        <f>CV40</f>
        <v>6</v>
      </c>
      <c r="CY40" s="147"/>
      <c r="CZ40" s="147">
        <f>CX40</f>
        <v>6</v>
      </c>
      <c r="DA40" s="147"/>
      <c r="DB40" s="147">
        <f>CZ40</f>
        <v>6</v>
      </c>
      <c r="DC40" s="149"/>
      <c r="DD40" s="148">
        <f>DB40</f>
        <v>6</v>
      </c>
      <c r="DE40" s="149"/>
      <c r="DF40" s="147">
        <f>DD40</f>
        <v>6</v>
      </c>
      <c r="DG40" s="147"/>
      <c r="DH40" s="147">
        <f>DF40</f>
        <v>6</v>
      </c>
      <c r="DI40" s="147"/>
      <c r="DJ40" s="147">
        <f>DH40</f>
        <v>6</v>
      </c>
      <c r="DK40" s="147"/>
      <c r="DL40" s="147">
        <f>DJ40</f>
        <v>6</v>
      </c>
      <c r="DM40" s="147"/>
      <c r="DN40" s="147">
        <f>DL40</f>
        <v>6</v>
      </c>
      <c r="DO40" s="147"/>
      <c r="DP40" s="147">
        <f>DN40</f>
        <v>6</v>
      </c>
      <c r="DQ40" s="147"/>
      <c r="DR40" s="147">
        <f>DP40</f>
        <v>6</v>
      </c>
      <c r="DS40" s="147"/>
      <c r="DT40" s="147">
        <f>DR40</f>
        <v>6</v>
      </c>
      <c r="DU40" s="147"/>
      <c r="DV40" s="147">
        <f>DT40</f>
        <v>6</v>
      </c>
      <c r="DW40" s="147"/>
      <c r="DX40" s="147">
        <f>DV40</f>
        <v>6</v>
      </c>
      <c r="DY40" s="147"/>
      <c r="DZ40" s="147">
        <f>DX40</f>
        <v>6</v>
      </c>
      <c r="EA40" s="147"/>
      <c r="EB40" s="147">
        <f>DZ40</f>
        <v>6</v>
      </c>
      <c r="EC40" s="147"/>
      <c r="ED40" s="147">
        <f>EB40</f>
        <v>6</v>
      </c>
      <c r="EE40" s="147"/>
      <c r="EF40" s="147">
        <f>ED40</f>
        <v>6</v>
      </c>
      <c r="EG40" s="147"/>
      <c r="EH40" s="147">
        <f>EF40</f>
        <v>6</v>
      </c>
      <c r="EI40" s="147"/>
      <c r="EJ40" s="147">
        <f>EH40</f>
        <v>6</v>
      </c>
      <c r="EK40" s="147"/>
      <c r="EL40" s="147">
        <f>EJ40</f>
        <v>6</v>
      </c>
      <c r="EM40" s="149"/>
      <c r="EN40" s="148">
        <f>EL40</f>
        <v>6</v>
      </c>
      <c r="EO40" s="149"/>
    </row>
    <row r="41" spans="1:145" x14ac:dyDescent="0.25">
      <c r="A41" s="14" t="s">
        <v>33</v>
      </c>
      <c r="B41" s="147">
        <v>4</v>
      </c>
      <c r="C41" s="147"/>
      <c r="D41" s="147">
        <f>B41</f>
        <v>4</v>
      </c>
      <c r="E41" s="147"/>
      <c r="F41" s="147">
        <f>D41</f>
        <v>4</v>
      </c>
      <c r="G41" s="147"/>
      <c r="H41" s="147">
        <f>F41</f>
        <v>4</v>
      </c>
      <c r="I41" s="147"/>
      <c r="J41" s="147">
        <f>H41</f>
        <v>4</v>
      </c>
      <c r="K41" s="147"/>
      <c r="L41" s="147">
        <f>J41</f>
        <v>4</v>
      </c>
      <c r="M41" s="147"/>
      <c r="N41" s="147">
        <f>L41</f>
        <v>4</v>
      </c>
      <c r="O41" s="147"/>
      <c r="P41" s="147">
        <f>N41</f>
        <v>4</v>
      </c>
      <c r="Q41" s="147"/>
      <c r="R41" s="147">
        <f>P41</f>
        <v>4</v>
      </c>
      <c r="S41" s="147"/>
      <c r="T41" s="147">
        <f>R41</f>
        <v>4</v>
      </c>
      <c r="U41" s="147"/>
      <c r="V41" s="147">
        <f>T41</f>
        <v>4</v>
      </c>
      <c r="W41" s="147"/>
      <c r="X41" s="147">
        <f>V41</f>
        <v>4</v>
      </c>
      <c r="Y41" s="147"/>
      <c r="Z41" s="147">
        <f>X41</f>
        <v>4</v>
      </c>
      <c r="AA41" s="147"/>
      <c r="AB41" s="147">
        <f>Z41</f>
        <v>4</v>
      </c>
      <c r="AC41" s="147"/>
      <c r="AD41" s="147">
        <f>AB41</f>
        <v>4</v>
      </c>
      <c r="AE41" s="147"/>
      <c r="AF41" s="147">
        <f>AD41</f>
        <v>4</v>
      </c>
      <c r="AG41" s="147"/>
      <c r="AH41" s="147">
        <f>AF41</f>
        <v>4</v>
      </c>
      <c r="AI41" s="147"/>
      <c r="AJ41" s="147">
        <f>AH41</f>
        <v>4</v>
      </c>
      <c r="AK41" s="147"/>
      <c r="AL41" s="147">
        <f>AJ41</f>
        <v>4</v>
      </c>
      <c r="AM41" s="147"/>
      <c r="AN41" s="147">
        <f>AL41</f>
        <v>4</v>
      </c>
      <c r="AO41" s="147"/>
      <c r="AP41" s="147">
        <f>AN41</f>
        <v>4</v>
      </c>
      <c r="AQ41" s="147"/>
      <c r="AR41" s="147">
        <f>AP41</f>
        <v>4</v>
      </c>
      <c r="AS41" s="147"/>
      <c r="AT41" s="147">
        <f>AR41</f>
        <v>4</v>
      </c>
      <c r="AU41" s="147"/>
      <c r="AV41" s="147">
        <f>AT41</f>
        <v>4</v>
      </c>
      <c r="AW41" s="147"/>
      <c r="AX41" s="147">
        <f>AV41</f>
        <v>4</v>
      </c>
      <c r="AY41" s="147"/>
      <c r="AZ41" s="147">
        <f>AX41</f>
        <v>4</v>
      </c>
      <c r="BA41" s="147"/>
      <c r="BB41" s="147">
        <f>AZ41</f>
        <v>4</v>
      </c>
      <c r="BC41" s="147"/>
      <c r="BD41" s="147">
        <f>BB41</f>
        <v>4</v>
      </c>
      <c r="BE41" s="147"/>
      <c r="BF41" s="147">
        <f>BD41</f>
        <v>4</v>
      </c>
      <c r="BG41" s="147"/>
      <c r="BH41" s="147">
        <f>BF41</f>
        <v>4</v>
      </c>
      <c r="BI41" s="147"/>
      <c r="BJ41" s="147">
        <f>BH41</f>
        <v>4</v>
      </c>
      <c r="BK41" s="147"/>
      <c r="BL41" s="147">
        <f>BJ41</f>
        <v>4</v>
      </c>
      <c r="BM41" s="147"/>
      <c r="BN41" s="147">
        <f>BL41</f>
        <v>4</v>
      </c>
      <c r="BO41" s="147"/>
      <c r="BP41" s="147">
        <f>BN41</f>
        <v>4</v>
      </c>
      <c r="BQ41" s="147"/>
      <c r="BR41" s="147">
        <f>BP41</f>
        <v>4</v>
      </c>
      <c r="BS41" s="149"/>
      <c r="BT41" s="148">
        <f>BR41</f>
        <v>4</v>
      </c>
      <c r="BU41" s="149"/>
      <c r="BV41" s="147">
        <f>BT41</f>
        <v>4</v>
      </c>
      <c r="BW41" s="147"/>
      <c r="BX41" s="147">
        <f>BV41</f>
        <v>4</v>
      </c>
      <c r="BY41" s="147"/>
      <c r="BZ41" s="147">
        <f>BX41</f>
        <v>4</v>
      </c>
      <c r="CA41" s="147"/>
      <c r="CB41" s="147">
        <f>BZ41</f>
        <v>4</v>
      </c>
      <c r="CC41" s="147"/>
      <c r="CD41" s="147">
        <f>CB41</f>
        <v>4</v>
      </c>
      <c r="CE41" s="147"/>
      <c r="CF41" s="147">
        <f>CD41</f>
        <v>4</v>
      </c>
      <c r="CG41" s="147"/>
      <c r="CH41" s="147">
        <f>CF41</f>
        <v>4</v>
      </c>
      <c r="CI41" s="147"/>
      <c r="CJ41" s="147">
        <f>CH41</f>
        <v>4</v>
      </c>
      <c r="CK41" s="147"/>
      <c r="CL41" s="147">
        <f>CJ41</f>
        <v>4</v>
      </c>
      <c r="CM41" s="147"/>
      <c r="CN41" s="147">
        <f>CL41</f>
        <v>4</v>
      </c>
      <c r="CO41" s="147"/>
      <c r="CP41" s="147">
        <f>CN41</f>
        <v>4</v>
      </c>
      <c r="CQ41" s="147"/>
      <c r="CR41" s="147">
        <f>CP41</f>
        <v>4</v>
      </c>
      <c r="CS41" s="147"/>
      <c r="CT41" s="147">
        <f>CR41</f>
        <v>4</v>
      </c>
      <c r="CU41" s="147"/>
      <c r="CV41" s="147">
        <f>CT41</f>
        <v>4</v>
      </c>
      <c r="CW41" s="147"/>
      <c r="CX41" s="147">
        <f>CV41</f>
        <v>4</v>
      </c>
      <c r="CY41" s="147"/>
      <c r="CZ41" s="147">
        <f>CX41</f>
        <v>4</v>
      </c>
      <c r="DA41" s="147"/>
      <c r="DB41" s="147">
        <f>CZ41</f>
        <v>4</v>
      </c>
      <c r="DC41" s="149"/>
      <c r="DD41" s="148">
        <f>DB41</f>
        <v>4</v>
      </c>
      <c r="DE41" s="149"/>
      <c r="DF41" s="147">
        <f>DD41</f>
        <v>4</v>
      </c>
      <c r="DG41" s="147"/>
      <c r="DH41" s="147">
        <f>DF41</f>
        <v>4</v>
      </c>
      <c r="DI41" s="147"/>
      <c r="DJ41" s="147">
        <f>DH41</f>
        <v>4</v>
      </c>
      <c r="DK41" s="147"/>
      <c r="DL41" s="147">
        <f>DJ41</f>
        <v>4</v>
      </c>
      <c r="DM41" s="147"/>
      <c r="DN41" s="147">
        <f>DL41</f>
        <v>4</v>
      </c>
      <c r="DO41" s="147"/>
      <c r="DP41" s="147">
        <f>DN41</f>
        <v>4</v>
      </c>
      <c r="DQ41" s="147"/>
      <c r="DR41" s="147">
        <f>DP41</f>
        <v>4</v>
      </c>
      <c r="DS41" s="147"/>
      <c r="DT41" s="147">
        <f>DR41</f>
        <v>4</v>
      </c>
      <c r="DU41" s="147"/>
      <c r="DV41" s="147">
        <f>DT41</f>
        <v>4</v>
      </c>
      <c r="DW41" s="147"/>
      <c r="DX41" s="147">
        <f>DV41</f>
        <v>4</v>
      </c>
      <c r="DY41" s="147"/>
      <c r="DZ41" s="147">
        <f>DX41</f>
        <v>4</v>
      </c>
      <c r="EA41" s="147"/>
      <c r="EB41" s="147">
        <f>DZ41</f>
        <v>4</v>
      </c>
      <c r="EC41" s="147"/>
      <c r="ED41" s="147">
        <f>EB41</f>
        <v>4</v>
      </c>
      <c r="EE41" s="147"/>
      <c r="EF41" s="147">
        <f>ED41</f>
        <v>4</v>
      </c>
      <c r="EG41" s="147"/>
      <c r="EH41" s="147">
        <f>EF41</f>
        <v>4</v>
      </c>
      <c r="EI41" s="147"/>
      <c r="EJ41" s="147">
        <f>EH41</f>
        <v>4</v>
      </c>
      <c r="EK41" s="147"/>
      <c r="EL41" s="147">
        <f>EJ41</f>
        <v>4</v>
      </c>
      <c r="EM41" s="149"/>
      <c r="EN41" s="148">
        <f>EL41</f>
        <v>4</v>
      </c>
      <c r="EO41" s="149"/>
    </row>
    <row r="42" spans="1:145" x14ac:dyDescent="0.25">
      <c r="A42" s="14" t="s">
        <v>42</v>
      </c>
      <c r="B42" s="147">
        <f>(B17*B17+C17*C17)^(B40/2)+(B18*B18+C18*C18)^(B41/2)</f>
        <v>6667999050.671504</v>
      </c>
      <c r="C42" s="147"/>
      <c r="D42" s="147">
        <f t="shared" ref="D42" si="338">(D17*D17+E17*E17)^(D40/2)+(D18*D18+E18*E18)^(D41/2)</f>
        <v>4019122117.4940481</v>
      </c>
      <c r="E42" s="147"/>
      <c r="F42" s="147">
        <f t="shared" ref="F42" si="339">(F17*F17+G17*G17)^(F40/2)+(F18*F18+G18*G18)^(F41/2)</f>
        <v>4014850651.9060669</v>
      </c>
      <c r="G42" s="147"/>
      <c r="H42" s="147">
        <f t="shared" ref="H42" si="340">(H17*H17+I17*I17)^(H40/2)+(H18*H18+I18*I18)^(H41/2)</f>
        <v>8065662319.530735</v>
      </c>
      <c r="I42" s="147"/>
      <c r="J42" s="147">
        <f t="shared" ref="J42" si="341">(J17*J17+K17*K17)^(J40/2)+(J18*J18+K18*K18)^(J41/2)</f>
        <v>5685647905.7142191</v>
      </c>
      <c r="K42" s="147"/>
      <c r="L42" s="147">
        <f t="shared" ref="L42" si="342">(L17*L17+M17*M17)^(L40/2)+(L18*L18+M18*M18)^(L41/2)</f>
        <v>5867270522.2931147</v>
      </c>
      <c r="M42" s="147"/>
      <c r="N42" s="147">
        <f t="shared" ref="N42" si="343">(N17*N17+O17*O17)^(N40/2)+(N18*N18+O18*O18)^(N41/2)</f>
        <v>14826873816.614761</v>
      </c>
      <c r="O42" s="147"/>
      <c r="P42" s="147">
        <f t="shared" ref="P42" si="344">(P17*P17+Q17*Q17)^(P40/2)+(P18*P18+Q18*Q18)^(P41/2)</f>
        <v>10102967206.812086</v>
      </c>
      <c r="Q42" s="147"/>
      <c r="R42" s="147">
        <f t="shared" ref="R42" si="345">(R17*R17+S17*S17)^(R40/2)+(R18*R18+S18*S18)^(R41/2)</f>
        <v>9468924503.4735069</v>
      </c>
      <c r="S42" s="147"/>
      <c r="T42" s="147">
        <f t="shared" ref="T42" si="346">(T17*T17+U17*U17)^(T40/2)+(T18*T18+U18*U18)^(T41/2)</f>
        <v>1668258.7342978488</v>
      </c>
      <c r="U42" s="147"/>
      <c r="V42" s="147">
        <f t="shared" ref="V42" si="347">(V17*V17+W17*W17)^(V40/2)+(V18*V18+W18*W18)^(V41/2)</f>
        <v>1044619.0194580189</v>
      </c>
      <c r="W42" s="147"/>
      <c r="X42" s="147">
        <f t="shared" ref="X42" si="348">(X17*X17+Y17*Y17)^(X40/2)+(X18*X18+Y18*Y18)^(X41/2)</f>
        <v>1107640.9254278929</v>
      </c>
      <c r="Y42" s="147"/>
      <c r="Z42" s="147">
        <f t="shared" ref="Z42" si="349">(Z17*Z17+AA17*AA17)^(Z40/2)+(Z18*Z18+AA18*AA18)^(Z41/2)</f>
        <v>650327769.45447767</v>
      </c>
      <c r="AA42" s="147"/>
      <c r="AB42" s="147">
        <f t="shared" ref="AB42" si="350">(AB17*AB17+AC17*AC17)^(AB40/2)+(AB18*AB18+AC18*AC18)^(AB41/2)</f>
        <v>395560806.89882714</v>
      </c>
      <c r="AC42" s="147"/>
      <c r="AD42" s="147">
        <f t="shared" ref="AD42" si="351">(AD17*AD17+AE17*AE17)^(AD40/2)+(AD18*AD18+AE18*AE18)^(AD41/2)</f>
        <v>390123553.17232972</v>
      </c>
      <c r="AE42" s="147"/>
      <c r="AF42" s="147">
        <f t="shared" ref="AF42" ca="1" si="352">(AF17*AF17+AG17*AG17)^(AF40/2)+(AF18*AF18+AG18*AG18)^(AF41/2)</f>
        <v>10934002860.018669</v>
      </c>
      <c r="AG42" s="147"/>
      <c r="AH42" s="147">
        <f t="shared" ref="AH42" ca="1" si="353">(AH17*AH17+AI17*AI17)^(AH40/2)+(AH18*AH18+AI18*AI18)^(AH41/2)</f>
        <v>8483044629.2090635</v>
      </c>
      <c r="AI42" s="147"/>
      <c r="AJ42" s="147">
        <f t="shared" ref="AJ42" ca="1" si="354">(AJ17*AJ17+AK17*AK17)^(AJ40/2)+(AJ18*AJ18+AK18*AK18)^(AJ41/2)</f>
        <v>8804400301.0451221</v>
      </c>
      <c r="AK42" s="147"/>
      <c r="AL42" s="148">
        <f t="shared" ref="AL42" si="355">(AL17*AL17+AM17*AM17)^(AL40/2)+(AL18*AL18+AM18*AM18)^(AL41/2)</f>
        <v>7097603384.3576727</v>
      </c>
      <c r="AM42" s="149"/>
      <c r="AN42" s="148">
        <f t="shared" ref="AN42" si="356">(AN17*AN17+AO17*AO17)^(AN40/2)+(AN18*AN18+AO18*AO18)^(AN41/2)</f>
        <v>3910480408.1140313</v>
      </c>
      <c r="AO42" s="149"/>
      <c r="AP42" s="148">
        <f t="shared" ref="AP42" si="357">(AP17*AP17+AQ17*AQ17)^(AP40/2)+(AP18*AP18+AQ18*AQ18)^(AP41/2)</f>
        <v>3973394774.7880931</v>
      </c>
      <c r="AQ42" s="149"/>
      <c r="AR42" s="148">
        <f t="shared" ref="AR42" si="358">(AR17*AR17+AS17*AS17)^(AR40/2)+(AR18*AR18+AS18*AS18)^(AR41/2)</f>
        <v>8652221769.2275219</v>
      </c>
      <c r="AS42" s="149"/>
      <c r="AT42" s="148">
        <f t="shared" ref="AT42" si="359">(AT17*AT17+AU17*AU17)^(AT40/2)+(AT18*AT18+AU18*AU18)^(AT41/2)</f>
        <v>5786830830.7315788</v>
      </c>
      <c r="AU42" s="149"/>
      <c r="AV42" s="148">
        <f t="shared" ref="AV42" si="360">(AV17*AV17+AW17*AW17)^(AV40/2)+(AV18*AV18+AW18*AW18)^(AV41/2)</f>
        <v>5764921288.0397768</v>
      </c>
      <c r="AW42" s="149"/>
      <c r="AX42" s="148">
        <f t="shared" ref="AX42" si="361">(AX17*AX17+AY17*AY17)^(AX40/2)+(AX18*AX18+AY18*AY18)^(AX41/2)</f>
        <v>13640655703.829891</v>
      </c>
      <c r="AY42" s="149"/>
      <c r="AZ42" s="148">
        <f t="shared" ref="AZ42" si="362">(AZ17*AZ17+BA17*BA17)^(AZ40/2)+(AZ18*AZ18+BA18*BA18)^(AZ41/2)</f>
        <v>9527674125.9784546</v>
      </c>
      <c r="BA42" s="149"/>
      <c r="BB42" s="148">
        <f t="shared" ref="BB42" si="363">(BB17*BB17+BC17*BC17)^(BB40/2)+(BB18*BB18+BC18*BC18)^(BB41/2)</f>
        <v>9537672655.7419395</v>
      </c>
      <c r="BC42" s="149"/>
      <c r="BD42" s="148">
        <f t="shared" ref="BD42" si="364">(BD17*BD17+BE17*BE17)^(BD40/2)+(BD18*BD18+BE18*BE18)^(BD41/2)</f>
        <v>1654485.2555967295</v>
      </c>
      <c r="BE42" s="149"/>
      <c r="BF42" s="148">
        <f t="shared" ref="BF42" si="365">(BF17*BF17+BG17*BG17)^(BF40/2)+(BF18*BF18+BG18*BG18)^(BF41/2)</f>
        <v>1082930.3730003396</v>
      </c>
      <c r="BG42" s="149"/>
      <c r="BH42" s="148">
        <f t="shared" ref="BH42" si="366">(BH17*BH17+BI17*BI17)^(BH40/2)+(BH18*BH18+BI18*BI18)^(BH41/2)</f>
        <v>1894330.8853373665</v>
      </c>
      <c r="BI42" s="149"/>
      <c r="BJ42" s="148">
        <f t="shared" ref="BJ42" si="367">(BJ17*BJ17+BK17*BK17)^(BJ40/2)+(BJ18*BJ18+BK18*BK18)^(BJ41/2)</f>
        <v>690402929.30757332</v>
      </c>
      <c r="BK42" s="149"/>
      <c r="BL42" s="148">
        <f t="shared" ref="BL42" si="368">(BL17*BL17+BM17*BM17)^(BL40/2)+(BL18*BL18+BM18*BM18)^(BL41/2)</f>
        <v>381798808.29623044</v>
      </c>
      <c r="BM42" s="149"/>
      <c r="BN42" s="148">
        <f t="shared" ref="BN42" si="369">(BN17*BN17+BO17*BO17)^(BN40/2)+(BN18*BN18+BO18*BO18)^(BN41/2)</f>
        <v>388032843.00752616</v>
      </c>
      <c r="BO42" s="149"/>
      <c r="BP42" s="148">
        <f t="shared" ref="BP42" ca="1" si="370">(BP17*BP17+BQ17*BQ17)^(BP40/2)+(BP18*BP18+BQ18*BQ18)^(BP41/2)</f>
        <v>12692934747.372719</v>
      </c>
      <c r="BQ42" s="149"/>
      <c r="BR42" s="148">
        <f t="shared" ref="BR42" ca="1" si="371">(BR17*BR17+BS17*BS17)^(BR40/2)+(BR18*BR18+BS18*BS18)^(BR41/2)</f>
        <v>8443119484.2374573</v>
      </c>
      <c r="BS42" s="149"/>
      <c r="BT42" s="148">
        <f t="shared" ref="BT42" ca="1" si="372">(BT17*BT17+BU17*BU17)^(BT40/2)+(BT18*BT18+BU18*BU18)^(BT41/2)</f>
        <v>7817313288.7006388</v>
      </c>
      <c r="BU42" s="149"/>
      <c r="BV42" s="150">
        <f t="shared" ref="BV42" si="373">(BV17*BV17+BW17*BW17)^(BV40/2)+(BV18*BV18+BW18*BW18)^(BV41/2)</f>
        <v>6212273253.5131102</v>
      </c>
      <c r="BW42" s="151"/>
      <c r="BX42" s="150">
        <f t="shared" ref="BX42" si="374">(BX17*BX17+BY17*BY17)^(BX40/2)+(BX18*BX18+BY18*BY18)^(BX41/2)</f>
        <v>3892868330.592422</v>
      </c>
      <c r="BY42" s="151"/>
      <c r="BZ42" s="150">
        <f t="shared" ref="BZ42" si="375">(BZ17*BZ17+CA17*CA17)^(BZ40/2)+(BZ18*BZ18+CA18*CA18)^(BZ41/2)</f>
        <v>3766992517.1464291</v>
      </c>
      <c r="CA42" s="151"/>
      <c r="CB42" s="150">
        <f t="shared" ref="CB42" si="376">(CB17*CB17+CC17*CC17)^(CB40/2)+(CB18*CB18+CC18*CC18)^(CB41/2)</f>
        <v>8780814806.4256649</v>
      </c>
      <c r="CC42" s="151"/>
      <c r="CD42" s="150">
        <f t="shared" ref="CD42" si="377">(CD17*CD17+CE17*CE17)^(CD40/2)+(CD18*CD18+CE18*CE18)^(CD41/2)</f>
        <v>5689188248.7892599</v>
      </c>
      <c r="CE42" s="151"/>
      <c r="CF42" s="150">
        <f t="shared" ref="CF42" si="378">(CF17*CF17+CG17*CG17)^(CF40/2)+(CF18*CF18+CG18*CG18)^(CF41/2)</f>
        <v>5718203402.7326508</v>
      </c>
      <c r="CG42" s="151"/>
      <c r="CH42" s="150">
        <f t="shared" ref="CH42" si="379">(CH17*CH17+CI17*CI17)^(CH40/2)+(CH18*CH18+CI18*CI18)^(CH41/2)</f>
        <v>12967510543.073402</v>
      </c>
      <c r="CI42" s="151"/>
      <c r="CJ42" s="150">
        <f t="shared" ref="CJ42" si="380">(CJ17*CJ17+CK17*CK17)^(CJ40/2)+(CJ18*CJ18+CK18*CK18)^(CJ41/2)</f>
        <v>9558493659.0412445</v>
      </c>
      <c r="CK42" s="151"/>
      <c r="CL42" s="150">
        <f t="shared" ref="CL42" si="381">(CL17*CL17+CM17*CM17)^(CL40/2)+(CL18*CL18+CM18*CM18)^(CL41/2)</f>
        <v>8364092776.8487349</v>
      </c>
      <c r="CM42" s="151"/>
      <c r="CN42" s="150">
        <f t="shared" ref="CN42" si="382">(CN17*CN17+CO17*CO17)^(CN40/2)+(CN18*CN18+CO18*CO18)^(CN41/2)</f>
        <v>1569284.5253966483</v>
      </c>
      <c r="CO42" s="151"/>
      <c r="CP42" s="150">
        <f t="shared" ref="CP42" si="383">(CP17*CP17+CQ17*CQ17)^(CP40/2)+(CP18*CP18+CQ18*CQ18)^(CP41/2)</f>
        <v>1161470.2863932003</v>
      </c>
      <c r="CQ42" s="151"/>
      <c r="CR42" s="150">
        <f t="shared" ref="CR42" ca="1" si="384">(CR17*CR17+CS17*CS17)^(CR40/2)+(CR18*CR18+CS18*CS18)^(CR41/2)</f>
        <v>1473605.946357711</v>
      </c>
      <c r="CS42" s="151"/>
      <c r="CT42" s="150">
        <f t="shared" ref="CT42" si="385">(CT17*CT17+CU17*CU17)^(CT40/2)+(CT18*CT18+CU18*CU18)^(CT41/2)</f>
        <v>599998944.94152915</v>
      </c>
      <c r="CU42" s="151"/>
      <c r="CV42" s="150">
        <f t="shared" ref="CV42" si="386">(CV17*CV17+CW17*CW17)^(CV40/2)+(CV18*CV18+CW18*CW18)^(CV41/2)</f>
        <v>379041970.50944185</v>
      </c>
      <c r="CW42" s="151"/>
      <c r="CX42" s="150">
        <f t="shared" ref="CX42" si="387">(CX17*CX17+CY17*CY17)^(CX40/2)+(CX18*CX18+CY18*CY18)^(CX41/2)</f>
        <v>364295706.70313919</v>
      </c>
      <c r="CY42" s="151"/>
      <c r="CZ42" s="150">
        <f t="shared" ref="CZ42" ca="1" si="388">(CZ17*CZ17+DA17*DA17)^(CZ40/2)+(CZ18*CZ18+DA18*DA18)^(CZ41/2)</f>
        <v>12593373207.582237</v>
      </c>
      <c r="DA42" s="151"/>
      <c r="DB42" s="150">
        <f t="shared" ref="DB42" ca="1" si="389">(DB17*DB17+DC17*DC17)^(DB40/2)+(DB18*DB18+DC18*DC18)^(DB41/2)</f>
        <v>8209378761.7511129</v>
      </c>
      <c r="DC42" s="151"/>
      <c r="DD42" s="150">
        <f t="shared" ref="DD42" ca="1" si="390">(DD17*DD17+DE17*DE17)^(DD40/2)+(DD18*DD18+DE18*DE18)^(DD41/2)</f>
        <v>8343998743.6142225</v>
      </c>
      <c r="DE42" s="151"/>
      <c r="DF42" s="152">
        <f t="shared" ref="DF42" si="391">(DF17*DF17+DG17*DG17)^(DF40/2)+(DF18*DF18+DG18*DG18)^(DF41/2)</f>
        <v>6830727950.593133</v>
      </c>
      <c r="DG42" s="153"/>
      <c r="DH42" s="152">
        <f t="shared" ref="DH42" ca="1" si="392">(DH17*DH17+DI17*DI17)^(DH40/2)+(DH18*DH18+DI18*DI18)^(DH41/2)</f>
        <v>5306121897.2280226</v>
      </c>
      <c r="DI42" s="153"/>
      <c r="DJ42" s="152">
        <f t="shared" ref="DJ42" ca="1" si="393">(DJ17*DJ17+DK17*DK17)^(DJ40/2)+(DJ18*DJ18+DK18*DK18)^(DJ41/2)</f>
        <v>5253725219.9308786</v>
      </c>
      <c r="DK42" s="153"/>
      <c r="DL42" s="152">
        <f t="shared" ref="DL42" si="394">(DL17*DL17+DM17*DM17)^(DL40/2)+(DL18*DL18+DM18*DM18)^(DL41/2)</f>
        <v>8410805232.8458691</v>
      </c>
      <c r="DM42" s="153"/>
      <c r="DN42" s="152">
        <f t="shared" ref="DN42" ca="1" si="395">(DN17*DN17+DO17*DO17)^(DN40/2)+(DN18*DN18+DO18*DO18)^(DN41/2)</f>
        <v>8068358746.2778549</v>
      </c>
      <c r="DO42" s="153"/>
      <c r="DP42" s="152">
        <f t="shared" ref="DP42" ca="1" si="396">(DP17*DP17+DQ17*DQ17)^(DP40/2)+(DP18*DP18+DQ18*DQ18)^(DP41/2)</f>
        <v>7708126851.1293001</v>
      </c>
      <c r="DQ42" s="153"/>
      <c r="DR42" s="152">
        <f t="shared" ref="DR42" ca="1" si="397">(DR17*DR17+DS17*DS17)^(DR40/2)+(DR18*DR18+DS18*DS18)^(DR41/2)</f>
        <v>17881792618.153152</v>
      </c>
      <c r="DS42" s="153"/>
      <c r="DT42" s="152">
        <f t="shared" ref="DT42" ca="1" si="398">(DT17*DT17+DU17*DU17)^(DT40/2)+(DT18*DT18+DU18*DU18)^(DT41/2)</f>
        <v>13255825652.522533</v>
      </c>
      <c r="DU42" s="153"/>
      <c r="DV42" s="152">
        <f t="shared" ref="DV42" ca="1" si="399">(DV17*DV17+DW17*DW17)^(DV40/2)+(DV18*DV18+DW18*DW18)^(DV41/2)</f>
        <v>11796288707.814266</v>
      </c>
      <c r="DW42" s="153"/>
      <c r="DX42" s="152">
        <f t="shared" ref="DX42" ca="1" si="400">(DX17*DX17+DY17*DY17)^(DX40/2)+(DX18*DX18+DY18*DY18)^(DX41/2)</f>
        <v>2151595.8484594286</v>
      </c>
      <c r="DY42" s="153"/>
      <c r="DZ42" s="152">
        <f t="shared" ref="DZ42" ca="1" si="401">(DZ17*DZ17+EA17*EA17)^(DZ40/2)+(DZ18*DZ18+EA18*EA18)^(DZ41/2)</f>
        <v>1647524.13334426</v>
      </c>
      <c r="EA42" s="153"/>
      <c r="EB42" s="152">
        <f t="shared" ref="EB42" ca="1" si="402">(EB17*EB17+EC17*EC17)^(EB40/2)+(EB18*EB18+EC18*EC18)^(EB41/2)</f>
        <v>2019421.8129895246</v>
      </c>
      <c r="EC42" s="153"/>
      <c r="ED42" s="152">
        <f t="shared" ref="ED42" si="403">(ED17*ED17+EE17*EE17)^(ED40/2)+(ED18*ED18+EE18*EE18)^(ED41/2)</f>
        <v>653252383.80154157</v>
      </c>
      <c r="EE42" s="153"/>
      <c r="EF42" s="152">
        <f t="shared" ref="EF42" ca="1" si="404">(EF17*EF17+EG17*EG17)^(EF40/2)+(EF18*EF18+EG18*EG18)^(EF41/2)</f>
        <v>516422140.59629595</v>
      </c>
      <c r="EG42" s="153"/>
      <c r="EH42" s="152">
        <f t="shared" ref="EH42" ca="1" si="405">(EH17*EH17+EI17*EI17)^(EH40/2)+(EH18*EH18+EI18*EI18)^(EH41/2)</f>
        <v>506489359.81196225</v>
      </c>
      <c r="EI42" s="153"/>
      <c r="EJ42" s="152">
        <f t="shared" ref="EJ42" ca="1" si="406">(EJ17*EJ17+EK17*EK17)^(EJ40/2)+(EJ18*EJ18+EK18*EK18)^(EJ41/2)</f>
        <v>11603314029.843807</v>
      </c>
      <c r="EK42" s="153"/>
      <c r="EL42" s="152">
        <f t="shared" ref="EL42" ca="1" si="407">(EL17*EL17+EM17*EM17)^(EL40/2)+(EL18*EL18+EM18*EM18)^(EL41/2)</f>
        <v>11187907330.507437</v>
      </c>
      <c r="EM42" s="153"/>
      <c r="EN42" s="152">
        <f t="shared" ref="EN42" ca="1" si="408">(EN17*EN17+EO17*EO17)^(EN40/2)+(EN18*EN18+EO18*EO18)^(EN41/2)</f>
        <v>10869144200.429306</v>
      </c>
      <c r="EO42" s="153"/>
    </row>
    <row r="43" spans="1:145" x14ac:dyDescent="0.25">
      <c r="A43" s="16" t="s">
        <v>36</v>
      </c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8"/>
      <c r="AM43" s="149"/>
      <c r="AN43" s="148"/>
      <c r="AO43" s="149"/>
      <c r="AP43" s="148"/>
      <c r="AQ43" s="149"/>
      <c r="AR43" s="148"/>
      <c r="AS43" s="149"/>
      <c r="AT43" s="148"/>
      <c r="AU43" s="149"/>
      <c r="AV43" s="148"/>
      <c r="AW43" s="149"/>
      <c r="AX43" s="148"/>
      <c r="AY43" s="149"/>
      <c r="AZ43" s="148"/>
      <c r="BA43" s="149"/>
      <c r="BB43" s="148"/>
      <c r="BC43" s="149"/>
      <c r="BD43" s="148"/>
      <c r="BE43" s="149"/>
      <c r="BF43" s="148"/>
      <c r="BG43" s="149"/>
      <c r="BH43" s="148"/>
      <c r="BI43" s="149"/>
      <c r="BJ43" s="148"/>
      <c r="BK43" s="149"/>
      <c r="BL43" s="148"/>
      <c r="BM43" s="149"/>
      <c r="BN43" s="148"/>
      <c r="BO43" s="149"/>
      <c r="BP43" s="148"/>
      <c r="BQ43" s="149"/>
      <c r="BR43" s="148"/>
      <c r="BS43" s="149"/>
      <c r="BT43" s="148"/>
      <c r="BU43" s="149"/>
      <c r="BV43" s="150"/>
      <c r="BW43" s="151"/>
      <c r="BX43" s="150"/>
      <c r="BY43" s="151"/>
      <c r="BZ43" s="150"/>
      <c r="CA43" s="151"/>
      <c r="CB43" s="150"/>
      <c r="CC43" s="151"/>
      <c r="CD43" s="150"/>
      <c r="CE43" s="151"/>
      <c r="CF43" s="150"/>
      <c r="CG43" s="151"/>
      <c r="CH43" s="150"/>
      <c r="CI43" s="151"/>
      <c r="CJ43" s="150"/>
      <c r="CK43" s="151"/>
      <c r="CL43" s="150"/>
      <c r="CM43" s="151"/>
      <c r="CN43" s="150"/>
      <c r="CO43" s="151"/>
      <c r="CP43" s="150"/>
      <c r="CQ43" s="151"/>
      <c r="CR43" s="150"/>
      <c r="CS43" s="151"/>
      <c r="CT43" s="150"/>
      <c r="CU43" s="151"/>
      <c r="CV43" s="150"/>
      <c r="CW43" s="151"/>
      <c r="CX43" s="150"/>
      <c r="CY43" s="151"/>
      <c r="CZ43" s="150"/>
      <c r="DA43" s="151"/>
      <c r="DB43" s="150"/>
      <c r="DC43" s="151"/>
      <c r="DD43" s="150"/>
      <c r="DE43" s="151"/>
      <c r="DF43" s="152"/>
      <c r="DG43" s="153"/>
      <c r="DH43" s="152"/>
      <c r="DI43" s="153"/>
      <c r="DJ43" s="152"/>
      <c r="DK43" s="153"/>
      <c r="DL43" s="152"/>
      <c r="DM43" s="153"/>
      <c r="DN43" s="152"/>
      <c r="DO43" s="153"/>
      <c r="DP43" s="152"/>
      <c r="DQ43" s="153"/>
      <c r="DR43" s="152"/>
      <c r="DS43" s="153"/>
      <c r="DT43" s="152"/>
      <c r="DU43" s="153"/>
      <c r="DV43" s="152"/>
      <c r="DW43" s="153"/>
      <c r="DX43" s="152"/>
      <c r="DY43" s="153"/>
      <c r="DZ43" s="152"/>
      <c r="EA43" s="153"/>
      <c r="EB43" s="152"/>
      <c r="EC43" s="153"/>
      <c r="ED43" s="152"/>
      <c r="EE43" s="153"/>
      <c r="EF43" s="152"/>
      <c r="EG43" s="153"/>
      <c r="EH43" s="152"/>
      <c r="EI43" s="153"/>
      <c r="EJ43" s="152"/>
      <c r="EK43" s="153"/>
      <c r="EL43" s="152"/>
      <c r="EM43" s="153"/>
      <c r="EN43" s="152"/>
      <c r="EO43" s="153"/>
    </row>
    <row r="44" spans="1:145" x14ac:dyDescent="0.25">
      <c r="A44" s="14" t="s">
        <v>37</v>
      </c>
      <c r="B44" s="147">
        <v>4</v>
      </c>
      <c r="C44" s="147"/>
      <c r="D44" s="147">
        <f>B44</f>
        <v>4</v>
      </c>
      <c r="E44" s="147"/>
      <c r="F44" s="147">
        <f>D44</f>
        <v>4</v>
      </c>
      <c r="G44" s="147"/>
      <c r="H44" s="147">
        <f>F44</f>
        <v>4</v>
      </c>
      <c r="I44" s="147"/>
      <c r="J44" s="147">
        <f>H44</f>
        <v>4</v>
      </c>
      <c r="K44" s="147"/>
      <c r="L44" s="147">
        <f>J44</f>
        <v>4</v>
      </c>
      <c r="M44" s="147"/>
      <c r="N44" s="147">
        <f>L44</f>
        <v>4</v>
      </c>
      <c r="O44" s="147"/>
      <c r="P44" s="147">
        <f>N44</f>
        <v>4</v>
      </c>
      <c r="Q44" s="147"/>
      <c r="R44" s="147">
        <f>P44</f>
        <v>4</v>
      </c>
      <c r="S44" s="147"/>
      <c r="T44" s="147">
        <f>R44</f>
        <v>4</v>
      </c>
      <c r="U44" s="147"/>
      <c r="V44" s="147">
        <f>T44</f>
        <v>4</v>
      </c>
      <c r="W44" s="147"/>
      <c r="X44" s="147">
        <f>V44</f>
        <v>4</v>
      </c>
      <c r="Y44" s="147"/>
      <c r="Z44" s="147">
        <f>X44</f>
        <v>4</v>
      </c>
      <c r="AA44" s="147"/>
      <c r="AB44" s="147">
        <f>Z44</f>
        <v>4</v>
      </c>
      <c r="AC44" s="147"/>
      <c r="AD44" s="147">
        <f>AB44</f>
        <v>4</v>
      </c>
      <c r="AE44" s="147"/>
      <c r="AF44" s="147">
        <f>AD44</f>
        <v>4</v>
      </c>
      <c r="AG44" s="147"/>
      <c r="AH44" s="147">
        <f>AF44</f>
        <v>4</v>
      </c>
      <c r="AI44" s="147"/>
      <c r="AJ44" s="147">
        <f>AH44</f>
        <v>4</v>
      </c>
      <c r="AK44" s="147"/>
      <c r="AL44" s="147">
        <f>AJ44</f>
        <v>4</v>
      </c>
      <c r="AM44" s="147"/>
      <c r="AN44" s="147">
        <f>AL44</f>
        <v>4</v>
      </c>
      <c r="AO44" s="147"/>
      <c r="AP44" s="147">
        <f>AN44</f>
        <v>4</v>
      </c>
      <c r="AQ44" s="147"/>
      <c r="AR44" s="147">
        <f>AP44</f>
        <v>4</v>
      </c>
      <c r="AS44" s="147"/>
      <c r="AT44" s="147">
        <f>AR44</f>
        <v>4</v>
      </c>
      <c r="AU44" s="147"/>
      <c r="AV44" s="147">
        <f>AT44</f>
        <v>4</v>
      </c>
      <c r="AW44" s="147"/>
      <c r="AX44" s="147">
        <f>AV44</f>
        <v>4</v>
      </c>
      <c r="AY44" s="147"/>
      <c r="AZ44" s="147">
        <f>AX44</f>
        <v>4</v>
      </c>
      <c r="BA44" s="147"/>
      <c r="BB44" s="147">
        <f>AZ44</f>
        <v>4</v>
      </c>
      <c r="BC44" s="147"/>
      <c r="BD44" s="147">
        <f>BB44</f>
        <v>4</v>
      </c>
      <c r="BE44" s="147"/>
      <c r="BF44" s="147">
        <f>BD44</f>
        <v>4</v>
      </c>
      <c r="BG44" s="147"/>
      <c r="BH44" s="147">
        <f>BF44</f>
        <v>4</v>
      </c>
      <c r="BI44" s="147"/>
      <c r="BJ44" s="147">
        <f>BH44</f>
        <v>4</v>
      </c>
      <c r="BK44" s="147"/>
      <c r="BL44" s="147">
        <f>BJ44</f>
        <v>4</v>
      </c>
      <c r="BM44" s="147"/>
      <c r="BN44" s="147">
        <f>BL44</f>
        <v>4</v>
      </c>
      <c r="BO44" s="147"/>
      <c r="BP44" s="147">
        <f>BN44</f>
        <v>4</v>
      </c>
      <c r="BQ44" s="147"/>
      <c r="BR44" s="147">
        <f>BP44</f>
        <v>4</v>
      </c>
      <c r="BS44" s="149"/>
      <c r="BT44" s="148">
        <f>BR44</f>
        <v>4</v>
      </c>
      <c r="BU44" s="149"/>
      <c r="BV44" s="147">
        <f>BT44</f>
        <v>4</v>
      </c>
      <c r="BW44" s="147"/>
      <c r="BX44" s="147">
        <f>BV44</f>
        <v>4</v>
      </c>
      <c r="BY44" s="147"/>
      <c r="BZ44" s="147">
        <f>BX44</f>
        <v>4</v>
      </c>
      <c r="CA44" s="147"/>
      <c r="CB44" s="147">
        <f>BZ44</f>
        <v>4</v>
      </c>
      <c r="CC44" s="147"/>
      <c r="CD44" s="147">
        <f>CB44</f>
        <v>4</v>
      </c>
      <c r="CE44" s="147"/>
      <c r="CF44" s="147">
        <f>CD44</f>
        <v>4</v>
      </c>
      <c r="CG44" s="147"/>
      <c r="CH44" s="147">
        <f>CF44</f>
        <v>4</v>
      </c>
      <c r="CI44" s="147"/>
      <c r="CJ44" s="147">
        <f>CH44</f>
        <v>4</v>
      </c>
      <c r="CK44" s="147"/>
      <c r="CL44" s="147">
        <f>CJ44</f>
        <v>4</v>
      </c>
      <c r="CM44" s="147"/>
      <c r="CN44" s="147">
        <f>CL44</f>
        <v>4</v>
      </c>
      <c r="CO44" s="147"/>
      <c r="CP44" s="147">
        <f>CN44</f>
        <v>4</v>
      </c>
      <c r="CQ44" s="147"/>
      <c r="CR44" s="147">
        <f>CP44</f>
        <v>4</v>
      </c>
      <c r="CS44" s="147"/>
      <c r="CT44" s="147">
        <f>CR44</f>
        <v>4</v>
      </c>
      <c r="CU44" s="147"/>
      <c r="CV44" s="147">
        <f>CT44</f>
        <v>4</v>
      </c>
      <c r="CW44" s="147"/>
      <c r="CX44" s="147">
        <f>CV44</f>
        <v>4</v>
      </c>
      <c r="CY44" s="147"/>
      <c r="CZ44" s="147">
        <f>CX44</f>
        <v>4</v>
      </c>
      <c r="DA44" s="147"/>
      <c r="DB44" s="147">
        <f>CZ44</f>
        <v>4</v>
      </c>
      <c r="DC44" s="149"/>
      <c r="DD44" s="148">
        <f>DB44</f>
        <v>4</v>
      </c>
      <c r="DE44" s="149"/>
      <c r="DF44" s="147">
        <f>DD44</f>
        <v>4</v>
      </c>
      <c r="DG44" s="147"/>
      <c r="DH44" s="147">
        <f>DF44</f>
        <v>4</v>
      </c>
      <c r="DI44" s="147"/>
      <c r="DJ44" s="147">
        <f>DH44</f>
        <v>4</v>
      </c>
      <c r="DK44" s="147"/>
      <c r="DL44" s="147">
        <f>DJ44</f>
        <v>4</v>
      </c>
      <c r="DM44" s="147"/>
      <c r="DN44" s="147">
        <f>DL44</f>
        <v>4</v>
      </c>
      <c r="DO44" s="147"/>
      <c r="DP44" s="147">
        <f>DN44</f>
        <v>4</v>
      </c>
      <c r="DQ44" s="147"/>
      <c r="DR44" s="147">
        <f>DP44</f>
        <v>4</v>
      </c>
      <c r="DS44" s="147"/>
      <c r="DT44" s="147">
        <f>DR44</f>
        <v>4</v>
      </c>
      <c r="DU44" s="147"/>
      <c r="DV44" s="147">
        <f>DT44</f>
        <v>4</v>
      </c>
      <c r="DW44" s="147"/>
      <c r="DX44" s="147">
        <f>DV44</f>
        <v>4</v>
      </c>
      <c r="DY44" s="147"/>
      <c r="DZ44" s="147">
        <f>DX44</f>
        <v>4</v>
      </c>
      <c r="EA44" s="147"/>
      <c r="EB44" s="147">
        <f>DZ44</f>
        <v>4</v>
      </c>
      <c r="EC44" s="147"/>
      <c r="ED44" s="147">
        <f>EB44</f>
        <v>4</v>
      </c>
      <c r="EE44" s="147"/>
      <c r="EF44" s="147">
        <f>ED44</f>
        <v>4</v>
      </c>
      <c r="EG44" s="147"/>
      <c r="EH44" s="147">
        <f>EF44</f>
        <v>4</v>
      </c>
      <c r="EI44" s="147"/>
      <c r="EJ44" s="147">
        <f>EH44</f>
        <v>4</v>
      </c>
      <c r="EK44" s="147"/>
      <c r="EL44" s="147">
        <f>EJ44</f>
        <v>4</v>
      </c>
      <c r="EM44" s="149"/>
      <c r="EN44" s="148">
        <f>EL44</f>
        <v>4</v>
      </c>
      <c r="EO44" s="149"/>
    </row>
    <row r="45" spans="1:145" x14ac:dyDescent="0.25">
      <c r="A45" s="14" t="s">
        <v>38</v>
      </c>
      <c r="B45" s="147">
        <f>(B19*B19+C19*C19)^(B44/2)</f>
        <v>387589836.12773687</v>
      </c>
      <c r="C45" s="147"/>
      <c r="D45" s="147">
        <f t="shared" ref="D45" si="409">(D19*D19+E19*E19)^(D44/2)</f>
        <v>276563501.73091382</v>
      </c>
      <c r="E45" s="147"/>
      <c r="F45" s="147">
        <f t="shared" ref="F45" si="410">(F19*F19+G19*G19)^(F44/2)</f>
        <v>276347704.25721157</v>
      </c>
      <c r="G45" s="147"/>
      <c r="H45" s="147">
        <f t="shared" ref="H45" si="411">(H19*H19+I19*I19)^(H44/2)</f>
        <v>440016244.82768571</v>
      </c>
      <c r="I45" s="147"/>
      <c r="J45" s="147">
        <f t="shared" ref="J45" si="412">(J19*J19+K19*K19)^(J44/2)</f>
        <v>348520680.85501873</v>
      </c>
      <c r="K45" s="147"/>
      <c r="L45" s="147">
        <f t="shared" ref="L45" si="413">(L19*L19+M19*M19)^(L44/2)</f>
        <v>355899612.47063428</v>
      </c>
      <c r="M45" s="147"/>
      <c r="N45" s="147">
        <f t="shared" ref="N45" si="414">(N19*N19+O19*O19)^(N44/2)</f>
        <v>660300605.34193039</v>
      </c>
      <c r="O45" s="147"/>
      <c r="P45" s="147">
        <f t="shared" ref="P45" si="415">(P19*P19+Q19*Q19)^(P44/2)</f>
        <v>511298206.53238231</v>
      </c>
      <c r="Q45" s="147"/>
      <c r="R45" s="147">
        <f t="shared" ref="R45" si="416">(R19*R19+S19*S19)^(R44/2)</f>
        <v>489675859.85734034</v>
      </c>
      <c r="S45" s="147"/>
      <c r="T45" s="147">
        <f t="shared" ref="T45" si="417">(T19*T19+U19*U19)^(T44/2)</f>
        <v>1538925.5633180835</v>
      </c>
      <c r="U45" s="147"/>
      <c r="V45" s="147">
        <f t="shared" ref="V45" si="418">(V19*V19+W19*W19)^(V44/2)</f>
        <v>1126366.2245437887</v>
      </c>
      <c r="W45" s="147"/>
      <c r="X45" s="147">
        <f t="shared" ref="X45" si="419">(X19*X19+Y19*Y19)^(X44/2)</f>
        <v>1171006.2575698458</v>
      </c>
      <c r="Y45" s="147"/>
      <c r="Z45" s="147">
        <f t="shared" ref="Z45" si="420">(Z19*Z19+AA19*AA19)^(Z44/2)</f>
        <v>82122766.510087371</v>
      </c>
      <c r="AA45" s="147"/>
      <c r="AB45" s="147">
        <f t="shared" ref="AB45" si="421">(AB19*AB19+AC19*AC19)^(AB44/2)</f>
        <v>58954467.127596706</v>
      </c>
      <c r="AC45" s="147"/>
      <c r="AD45" s="147">
        <f t="shared" ref="AD45" si="422">(AD19*AD19+AE19*AE19)^(AD44/2)</f>
        <v>58410280.852798998</v>
      </c>
      <c r="AE45" s="147"/>
      <c r="AF45" s="147">
        <f t="shared" ref="AF45" ca="1" si="423">(AF19*AF19+AG19*AG19)^(AF44/2)</f>
        <v>538966135.86283207</v>
      </c>
      <c r="AG45" s="147"/>
      <c r="AH45" s="147">
        <f t="shared" ref="AH45" ca="1" si="424">(AH19*AH19+AI19*AI19)^(AH44/2)</f>
        <v>455068145.89246529</v>
      </c>
      <c r="AI45" s="147"/>
      <c r="AJ45" s="147">
        <f t="shared" ref="AJ45" ca="1" si="425">(AJ19*AJ19+AK19*AK19)^(AJ44/2)</f>
        <v>466484696.67363751</v>
      </c>
      <c r="AK45" s="147"/>
      <c r="AL45" s="148">
        <f t="shared" ref="AL45" si="426">(AL19*AL19+AM19*AM19)^(AL44/2)</f>
        <v>404063704.79515994</v>
      </c>
      <c r="AM45" s="149"/>
      <c r="AN45" s="148">
        <f t="shared" ref="AN45" si="427">(AN19*AN19+AO19*AO19)^(AN44/2)</f>
        <v>271556804.25345749</v>
      </c>
      <c r="AO45" s="149"/>
      <c r="AP45" s="148">
        <f t="shared" ref="AP45" si="428">(AP19*AP19+AQ19*AQ19)^(AP44/2)</f>
        <v>274440984.27562976</v>
      </c>
      <c r="AQ45" s="149"/>
      <c r="AR45" s="148">
        <f t="shared" ref="AR45" si="429">(AR19*AR19+AS19*AS19)^(AR44/2)</f>
        <v>461098570.6716845</v>
      </c>
      <c r="AS45" s="149"/>
      <c r="AT45" s="148">
        <f t="shared" ref="AT45" si="430">(AT19*AT19+AU19*AU19)^(AT44/2)</f>
        <v>352643397.26009953</v>
      </c>
      <c r="AU45" s="149"/>
      <c r="AV45" s="148">
        <f t="shared" ref="AV45" si="431">(AV19*AV19+AW19*AW19)^(AV44/2)</f>
        <v>351748415.13439667</v>
      </c>
      <c r="AW45" s="149"/>
      <c r="AX45" s="148">
        <f t="shared" ref="AX45" si="432">(AX19*AX19+AY19*AY19)^(AX44/2)</f>
        <v>624595423.82271278</v>
      </c>
      <c r="AY45" s="149"/>
      <c r="AZ45" s="148">
        <f t="shared" ref="AZ45" si="433">(AZ19*AZ19+BA19*BA19)^(AZ44/2)</f>
        <v>491699494.70496666</v>
      </c>
      <c r="BA45" s="149"/>
      <c r="BB45" s="148">
        <f t="shared" ref="BB45" si="434">(BB19*BB19+BC19*BC19)^(BB44/2)</f>
        <v>492042566.24831796</v>
      </c>
      <c r="BC45" s="149"/>
      <c r="BD45" s="148">
        <f t="shared" ref="BD45" si="435">(BD19*BD19+BE19*BE19)^(BD44/2)</f>
        <v>1530443.2430112956</v>
      </c>
      <c r="BE45" s="149"/>
      <c r="BF45" s="148">
        <f t="shared" ref="BF45" si="436">(BF19*BF19+BG19*BG19)^(BF44/2)</f>
        <v>1153732.2757207821</v>
      </c>
      <c r="BG45" s="149"/>
      <c r="BH45" s="148">
        <f t="shared" ref="BH45" si="437">(BH19*BH19+BI19*BI19)^(BH44/2)</f>
        <v>1674315.8496647296</v>
      </c>
      <c r="BI45" s="149"/>
      <c r="BJ45" s="148">
        <f t="shared" ref="BJ45" si="438">(BJ19*BJ19+BK19*BK19)^(BJ44/2)</f>
        <v>85462800.446804643</v>
      </c>
      <c r="BK45" s="149"/>
      <c r="BL45" s="148">
        <f t="shared" ref="BL45" si="439">(BL19*BL19+BM19*BM19)^(BL44/2)</f>
        <v>57579008.080031641</v>
      </c>
      <c r="BM45" s="149"/>
      <c r="BN45" s="148">
        <f t="shared" ref="BN45" si="440">(BN19*BN19+BO19*BO19)^(BN44/2)</f>
        <v>58201271.585359409</v>
      </c>
      <c r="BO45" s="149"/>
      <c r="BP45" s="148">
        <f t="shared" ref="BP45" ca="1" si="441">(BP19*BP19+BQ19*BQ19)^(BP44/2)</f>
        <v>595319422.65176725</v>
      </c>
      <c r="BQ45" s="149"/>
      <c r="BR45" s="148">
        <f t="shared" ref="BR45" ca="1" si="442">(BR19*BR19+BS19*BS19)^(BR44/2)</f>
        <v>453639165.77893776</v>
      </c>
      <c r="BS45" s="149"/>
      <c r="BT45" s="148">
        <f t="shared" ref="BT45" ca="1" si="443">(BT19*BT19+BU19*BU19)^(BT44/2)</f>
        <v>430931850.20629096</v>
      </c>
      <c r="BU45" s="149"/>
      <c r="BV45" s="150">
        <f t="shared" ref="BV45" si="444">(BV19*BV19+BW19*BW19)^(BV44/2)</f>
        <v>369722203.7273131</v>
      </c>
      <c r="BW45" s="151"/>
      <c r="BX45" s="150">
        <f t="shared" ref="BX45" si="445">(BX19*BX19+BY19*BY19)^(BX44/2)</f>
        <v>270740458.431777</v>
      </c>
      <c r="BY45" s="151"/>
      <c r="BZ45" s="150">
        <f t="shared" ref="BZ45" si="446">(BZ19*BZ19+CA19*CA19)^(BZ44/2)</f>
        <v>264854097.43328631</v>
      </c>
      <c r="CA45" s="151"/>
      <c r="CB45" s="150">
        <f t="shared" ref="CB45" si="447">(CB19*CB19+CC19*CC19)^(CB44/2)</f>
        <v>465656029.9570725</v>
      </c>
      <c r="CC45" s="151"/>
      <c r="CD45" s="150">
        <f t="shared" ref="CD45" si="448">(CD19*CD19+CE19*CE19)^(CD44/2)</f>
        <v>348665322.71934348</v>
      </c>
      <c r="CE45" s="151"/>
      <c r="CF45" s="150">
        <f t="shared" ref="CF45" si="449">(CF19*CF19+CG19*CG19)^(CF44/2)</f>
        <v>349845178.71351051</v>
      </c>
      <c r="CG45" s="151"/>
      <c r="CH45" s="150">
        <f t="shared" ref="CH45" si="450">(CH19*CH19+CI19*CI19)^(CH44/2)</f>
        <v>603874103.95540035</v>
      </c>
      <c r="CI45" s="151"/>
      <c r="CJ45" s="150">
        <f t="shared" ref="CJ45" si="451">(CJ19*CJ19+CK19*CK19)^(CJ44/2)</f>
        <v>492759218.34412307</v>
      </c>
      <c r="CK45" s="151"/>
      <c r="CL45" s="150">
        <f t="shared" ref="CL45" si="452">(CL19*CL19+CM19*CM19)^(CL44/2)</f>
        <v>450803328.67337888</v>
      </c>
      <c r="CM45" s="151"/>
      <c r="CN45" s="150">
        <f t="shared" ref="CN45" si="453">(CN19*CN19+CO19*CO19)^(CN44/2)</f>
        <v>1477439.6223593059</v>
      </c>
      <c r="CO45" s="151"/>
      <c r="CP45" s="150">
        <f t="shared" ref="CP45" si="454">(CP19*CP19+CQ19*CQ19)^(CP44/2)</f>
        <v>1208868.9420940122</v>
      </c>
      <c r="CQ45" s="151"/>
      <c r="CR45" s="150">
        <f t="shared" ref="CR45" ca="1" si="455">(CR19*CR19+CS19*CS19)^(CR44/2)</f>
        <v>1416158.3491051637</v>
      </c>
      <c r="CS45" s="151"/>
      <c r="CT45" s="150">
        <f t="shared" ref="CT45" si="456">(CT19*CT19+CU19*CU19)^(CT44/2)</f>
        <v>77829140.97889854</v>
      </c>
      <c r="CU45" s="151"/>
      <c r="CV45" s="150">
        <f t="shared" ref="CV45" si="457">(CV19*CV19+CW19*CW19)^(CV44/2)</f>
        <v>57301450.491786517</v>
      </c>
      <c r="CW45" s="151"/>
      <c r="CX45" s="150">
        <f t="shared" ref="CX45" si="458">(CX19*CX19+CY19*CY19)^(CX44/2)</f>
        <v>55802993.791727081</v>
      </c>
      <c r="CY45" s="151"/>
      <c r="CZ45" s="150">
        <f t="shared" ref="CZ45" ca="1" si="459">(CZ19*CZ19+DA19*DA19)^(CZ44/2)</f>
        <v>592202277.07778811</v>
      </c>
      <c r="DA45" s="151"/>
      <c r="DB45" s="150">
        <f t="shared" ref="DB45" ca="1" si="460">(DB19*DB19+DC19*DC19)^(DB44/2)</f>
        <v>445227627.46936762</v>
      </c>
      <c r="DC45" s="151"/>
      <c r="DD45" s="150">
        <f t="shared" ref="DD45" ca="1" si="461">(DD19*DD19+DE19*DE19)^(DD44/2)</f>
        <v>450076587.12892783</v>
      </c>
      <c r="DE45" s="151"/>
      <c r="DF45" s="152">
        <f t="shared" ref="DF45" si="462">(DF19*DF19+DG19*DG19)^(DF44/2)</f>
        <v>393870382.89523512</v>
      </c>
      <c r="DG45" s="153"/>
      <c r="DH45" s="152">
        <f t="shared" ref="DH45" ca="1" si="463">(DH19*DH19+DI19*DI19)^(DH44/2)</f>
        <v>332831940.92784715</v>
      </c>
      <c r="DI45" s="153"/>
      <c r="DJ45" s="152">
        <f t="shared" ref="DJ45" ca="1" si="464">(DJ19*DJ19+DK19*DK19)^(DJ44/2)</f>
        <v>330617286.72447288</v>
      </c>
      <c r="DK45" s="153"/>
      <c r="DL45" s="152">
        <f t="shared" ref="DL45" si="465">(DL19*DL19+DM19*DM19)^(DL44/2)</f>
        <v>452481055.9295854</v>
      </c>
      <c r="DM45" s="153"/>
      <c r="DN45" s="152">
        <f t="shared" ref="DN45" ca="1" si="466">(DN19*DN19+DO19*DO19)^(DN44/2)</f>
        <v>440114195.15060914</v>
      </c>
      <c r="DO45" s="153"/>
      <c r="DP45" s="152">
        <f t="shared" ref="DP45" ca="1" si="467">(DP19*DP19+DQ19*DQ19)^(DP44/2)</f>
        <v>426909540.52822649</v>
      </c>
      <c r="DQ45" s="153"/>
      <c r="DR45" s="152">
        <f t="shared" ref="DR45" ca="1" si="468">(DR19*DR19+DS19*DS19)^(DR44/2)</f>
        <v>748139712.9846704</v>
      </c>
      <c r="DS45" s="153"/>
      <c r="DT45" s="152">
        <f t="shared" ref="DT45" ca="1" si="469">(DT19*DT19+DU19*DU19)^(DT44/2)</f>
        <v>612791885.71002483</v>
      </c>
      <c r="DU45" s="153"/>
      <c r="DV45" s="152">
        <f t="shared" ref="DV45" ca="1" si="470">(DV19*DV19+DW19*DW19)^(DV44/2)</f>
        <v>566941499.54314971</v>
      </c>
      <c r="DW45" s="153"/>
      <c r="DX45" s="152">
        <f t="shared" ref="DX45" ca="1" si="471">(DX19*DX19+DY19*DY19)^(DX44/2)</f>
        <v>1823401.9812649735</v>
      </c>
      <c r="DY45" s="153"/>
      <c r="DZ45" s="152">
        <f t="shared" ref="DZ45" ca="1" si="472">(DZ19*DZ19+EA19*EA19)^(DZ44/2)</f>
        <v>1526142.8495635185</v>
      </c>
      <c r="EA45" s="153"/>
      <c r="EB45" s="152">
        <f t="shared" ref="EB45" ca="1" si="473">(EB19*EB19+EC19*EC19)^(EB44/2)</f>
        <v>1747275.6989079833</v>
      </c>
      <c r="EC45" s="153"/>
      <c r="ED45" s="152">
        <f t="shared" ref="ED45" si="474">(ED19*ED19+EE19*EE19)^(ED44/2)</f>
        <v>82368790.485267401</v>
      </c>
      <c r="EE45" s="153"/>
      <c r="EF45" s="152">
        <f t="shared" ref="EF45" ca="1" si="475">(EF19*EF19+EG19*EG19)^(EF44/2)</f>
        <v>70422389.379177228</v>
      </c>
      <c r="EG45" s="153"/>
      <c r="EH45" s="152">
        <f t="shared" ref="EH45" ca="1" si="476">(EH19*EH19+EI19*EI19)^(EH44/2)</f>
        <v>69513754.347727418</v>
      </c>
      <c r="EI45" s="153"/>
      <c r="EJ45" s="152">
        <f t="shared" ref="EJ45" ca="1" si="477">(EJ19*EJ19+EK19*EK19)^(EJ44/2)</f>
        <v>560742386.22623658</v>
      </c>
      <c r="EK45" s="153"/>
      <c r="EL45" s="152">
        <f t="shared" ref="EL45" ca="1" si="478">(EL19*EL19+EM19*EM19)^(EL44/2)</f>
        <v>547277800.21168411</v>
      </c>
      <c r="EM45" s="153"/>
      <c r="EN45" s="152">
        <f t="shared" ref="EN45" ca="1" si="479">(EN19*EN19+EO19*EO19)^(EN44/2)</f>
        <v>536826830.93016684</v>
      </c>
      <c r="EO45" s="153"/>
    </row>
    <row r="46" spans="1:145" x14ac:dyDescent="0.25">
      <c r="A46" s="17" t="s">
        <v>43</v>
      </c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8"/>
      <c r="AM46" s="149"/>
      <c r="AN46" s="148"/>
      <c r="AO46" s="149"/>
      <c r="AP46" s="148"/>
      <c r="AQ46" s="149"/>
      <c r="AR46" s="148"/>
      <c r="AS46" s="149"/>
      <c r="AT46" s="148"/>
      <c r="AU46" s="149"/>
      <c r="AV46" s="148"/>
      <c r="AW46" s="149"/>
      <c r="AX46" s="148"/>
      <c r="AY46" s="149"/>
      <c r="AZ46" s="148"/>
      <c r="BA46" s="149"/>
      <c r="BB46" s="148"/>
      <c r="BC46" s="149"/>
      <c r="BD46" s="148"/>
      <c r="BE46" s="149"/>
      <c r="BF46" s="148"/>
      <c r="BG46" s="149"/>
      <c r="BH46" s="148"/>
      <c r="BI46" s="149"/>
      <c r="BJ46" s="148"/>
      <c r="BK46" s="149"/>
      <c r="BL46" s="148"/>
      <c r="BM46" s="149"/>
      <c r="BN46" s="148"/>
      <c r="BO46" s="149"/>
      <c r="BP46" s="148"/>
      <c r="BQ46" s="149"/>
      <c r="BR46" s="148"/>
      <c r="BS46" s="149"/>
      <c r="BT46" s="148"/>
      <c r="BU46" s="149"/>
      <c r="BV46" s="150"/>
      <c r="BW46" s="151"/>
      <c r="BX46" s="150"/>
      <c r="BY46" s="151"/>
      <c r="BZ46" s="150"/>
      <c r="CA46" s="151"/>
      <c r="CB46" s="150"/>
      <c r="CC46" s="151"/>
      <c r="CD46" s="150"/>
      <c r="CE46" s="151"/>
      <c r="CF46" s="150"/>
      <c r="CG46" s="151"/>
      <c r="CH46" s="150"/>
      <c r="CI46" s="151"/>
      <c r="CJ46" s="150"/>
      <c r="CK46" s="151"/>
      <c r="CL46" s="150"/>
      <c r="CM46" s="151"/>
      <c r="CN46" s="150"/>
      <c r="CO46" s="151"/>
      <c r="CP46" s="150"/>
      <c r="CQ46" s="151"/>
      <c r="CR46" s="150"/>
      <c r="CS46" s="151"/>
      <c r="CT46" s="150"/>
      <c r="CU46" s="151"/>
      <c r="CV46" s="150"/>
      <c r="CW46" s="151"/>
      <c r="CX46" s="150"/>
      <c r="CY46" s="151"/>
      <c r="CZ46" s="150"/>
      <c r="DA46" s="151"/>
      <c r="DB46" s="150"/>
      <c r="DC46" s="151"/>
      <c r="DD46" s="150"/>
      <c r="DE46" s="151"/>
      <c r="DF46" s="152"/>
      <c r="DG46" s="153"/>
      <c r="DH46" s="152"/>
      <c r="DI46" s="153"/>
      <c r="DJ46" s="152"/>
      <c r="DK46" s="153"/>
      <c r="DL46" s="152"/>
      <c r="DM46" s="153"/>
      <c r="DN46" s="152"/>
      <c r="DO46" s="153"/>
      <c r="DP46" s="152"/>
      <c r="DQ46" s="153"/>
      <c r="DR46" s="152"/>
      <c r="DS46" s="153"/>
      <c r="DT46" s="152"/>
      <c r="DU46" s="153"/>
      <c r="DV46" s="152"/>
      <c r="DW46" s="153"/>
      <c r="DX46" s="152"/>
      <c r="DY46" s="153"/>
      <c r="DZ46" s="152"/>
      <c r="EA46" s="153"/>
      <c r="EB46" s="152"/>
      <c r="EC46" s="153"/>
      <c r="ED46" s="152"/>
      <c r="EE46" s="153"/>
      <c r="EF46" s="152"/>
      <c r="EG46" s="153"/>
      <c r="EH46" s="152"/>
      <c r="EI46" s="153"/>
      <c r="EJ46" s="152"/>
      <c r="EK46" s="153"/>
      <c r="EL46" s="152"/>
      <c r="EM46" s="153"/>
      <c r="EN46" s="152"/>
      <c r="EO46" s="153"/>
    </row>
    <row r="47" spans="1:145" x14ac:dyDescent="0.25">
      <c r="A47" s="14" t="s">
        <v>44</v>
      </c>
      <c r="B47" s="147">
        <v>2</v>
      </c>
      <c r="C47" s="147"/>
      <c r="D47" s="147">
        <f>B47</f>
        <v>2</v>
      </c>
      <c r="E47" s="147"/>
      <c r="F47" s="147">
        <f>D47</f>
        <v>2</v>
      </c>
      <c r="G47" s="147"/>
      <c r="H47" s="147">
        <f>F47</f>
        <v>2</v>
      </c>
      <c r="I47" s="147"/>
      <c r="J47" s="147">
        <f>H47</f>
        <v>2</v>
      </c>
      <c r="K47" s="147"/>
      <c r="L47" s="147">
        <f>J47</f>
        <v>2</v>
      </c>
      <c r="M47" s="147"/>
      <c r="N47" s="147">
        <f>L47</f>
        <v>2</v>
      </c>
      <c r="O47" s="147"/>
      <c r="P47" s="147">
        <f>N47</f>
        <v>2</v>
      </c>
      <c r="Q47" s="147"/>
      <c r="R47" s="147">
        <f>P47</f>
        <v>2</v>
      </c>
      <c r="S47" s="147"/>
      <c r="T47" s="147">
        <f>R47</f>
        <v>2</v>
      </c>
      <c r="U47" s="147"/>
      <c r="V47" s="147">
        <f>T47</f>
        <v>2</v>
      </c>
      <c r="W47" s="147"/>
      <c r="X47" s="147">
        <f>V47</f>
        <v>2</v>
      </c>
      <c r="Y47" s="147"/>
      <c r="Z47" s="147">
        <f>X47</f>
        <v>2</v>
      </c>
      <c r="AA47" s="147"/>
      <c r="AB47" s="147">
        <f>Z47</f>
        <v>2</v>
      </c>
      <c r="AC47" s="147"/>
      <c r="AD47" s="147">
        <f>AB47</f>
        <v>2</v>
      </c>
      <c r="AE47" s="147"/>
      <c r="AF47" s="147">
        <f>AD47</f>
        <v>2</v>
      </c>
      <c r="AG47" s="147"/>
      <c r="AH47" s="147">
        <f>AF47</f>
        <v>2</v>
      </c>
      <c r="AI47" s="147"/>
      <c r="AJ47" s="147">
        <f>AH47</f>
        <v>2</v>
      </c>
      <c r="AK47" s="147"/>
      <c r="AL47" s="147">
        <f>AJ47</f>
        <v>2</v>
      </c>
      <c r="AM47" s="147"/>
      <c r="AN47" s="147">
        <f>AL47</f>
        <v>2</v>
      </c>
      <c r="AO47" s="147"/>
      <c r="AP47" s="147">
        <f>AN47</f>
        <v>2</v>
      </c>
      <c r="AQ47" s="147"/>
      <c r="AR47" s="147">
        <f>AP47</f>
        <v>2</v>
      </c>
      <c r="AS47" s="147"/>
      <c r="AT47" s="147">
        <f>AR47</f>
        <v>2</v>
      </c>
      <c r="AU47" s="147"/>
      <c r="AV47" s="147">
        <f>AT47</f>
        <v>2</v>
      </c>
      <c r="AW47" s="147"/>
      <c r="AX47" s="147">
        <f>AV47</f>
        <v>2</v>
      </c>
      <c r="AY47" s="147"/>
      <c r="AZ47" s="147">
        <f>AX47</f>
        <v>2</v>
      </c>
      <c r="BA47" s="147"/>
      <c r="BB47" s="147">
        <f>AZ47</f>
        <v>2</v>
      </c>
      <c r="BC47" s="147"/>
      <c r="BD47" s="147">
        <f>BB47</f>
        <v>2</v>
      </c>
      <c r="BE47" s="147"/>
      <c r="BF47" s="147">
        <f>BD47</f>
        <v>2</v>
      </c>
      <c r="BG47" s="147"/>
      <c r="BH47" s="147">
        <f>BF47</f>
        <v>2</v>
      </c>
      <c r="BI47" s="147"/>
      <c r="BJ47" s="147">
        <f>BH47</f>
        <v>2</v>
      </c>
      <c r="BK47" s="147"/>
      <c r="BL47" s="147">
        <f>BJ47</f>
        <v>2</v>
      </c>
      <c r="BM47" s="147"/>
      <c r="BN47" s="147">
        <f>BL47</f>
        <v>2</v>
      </c>
      <c r="BO47" s="147"/>
      <c r="BP47" s="147">
        <f>BN47</f>
        <v>2</v>
      </c>
      <c r="BQ47" s="147"/>
      <c r="BR47" s="147">
        <f>BP47</f>
        <v>2</v>
      </c>
      <c r="BS47" s="149"/>
      <c r="BT47" s="148">
        <f>BR47</f>
        <v>2</v>
      </c>
      <c r="BU47" s="149"/>
      <c r="BV47" s="147">
        <f>BT47</f>
        <v>2</v>
      </c>
      <c r="BW47" s="147"/>
      <c r="BX47" s="147">
        <f>BV47</f>
        <v>2</v>
      </c>
      <c r="BY47" s="147"/>
      <c r="BZ47" s="147">
        <f>BX47</f>
        <v>2</v>
      </c>
      <c r="CA47" s="147"/>
      <c r="CB47" s="147">
        <f>BZ47</f>
        <v>2</v>
      </c>
      <c r="CC47" s="147"/>
      <c r="CD47" s="147">
        <f>CB47</f>
        <v>2</v>
      </c>
      <c r="CE47" s="147"/>
      <c r="CF47" s="147">
        <f>CD47</f>
        <v>2</v>
      </c>
      <c r="CG47" s="147"/>
      <c r="CH47" s="147">
        <f>CF47</f>
        <v>2</v>
      </c>
      <c r="CI47" s="147"/>
      <c r="CJ47" s="147">
        <f>CH47</f>
        <v>2</v>
      </c>
      <c r="CK47" s="147"/>
      <c r="CL47" s="147">
        <f>CJ47</f>
        <v>2</v>
      </c>
      <c r="CM47" s="147"/>
      <c r="CN47" s="147">
        <f>CL47</f>
        <v>2</v>
      </c>
      <c r="CO47" s="147"/>
      <c r="CP47" s="147">
        <f>CN47</f>
        <v>2</v>
      </c>
      <c r="CQ47" s="147"/>
      <c r="CR47" s="147">
        <f>CP47</f>
        <v>2</v>
      </c>
      <c r="CS47" s="147"/>
      <c r="CT47" s="147">
        <f>CR47</f>
        <v>2</v>
      </c>
      <c r="CU47" s="147"/>
      <c r="CV47" s="147">
        <f>CT47</f>
        <v>2</v>
      </c>
      <c r="CW47" s="147"/>
      <c r="CX47" s="147">
        <f>CV47</f>
        <v>2</v>
      </c>
      <c r="CY47" s="147"/>
      <c r="CZ47" s="147">
        <f>CX47</f>
        <v>2</v>
      </c>
      <c r="DA47" s="147"/>
      <c r="DB47" s="147">
        <f>CZ47</f>
        <v>2</v>
      </c>
      <c r="DC47" s="149"/>
      <c r="DD47" s="148">
        <f>DB47</f>
        <v>2</v>
      </c>
      <c r="DE47" s="149"/>
      <c r="DF47" s="147">
        <f>DD47</f>
        <v>2</v>
      </c>
      <c r="DG47" s="147"/>
      <c r="DH47" s="147">
        <f>DF47</f>
        <v>2</v>
      </c>
      <c r="DI47" s="147"/>
      <c r="DJ47" s="147">
        <f>DH47</f>
        <v>2</v>
      </c>
      <c r="DK47" s="147"/>
      <c r="DL47" s="147">
        <f>DJ47</f>
        <v>2</v>
      </c>
      <c r="DM47" s="147"/>
      <c r="DN47" s="147">
        <f>DL47</f>
        <v>2</v>
      </c>
      <c r="DO47" s="147"/>
      <c r="DP47" s="147">
        <f>DN47</f>
        <v>2</v>
      </c>
      <c r="DQ47" s="147"/>
      <c r="DR47" s="147">
        <f>DP47</f>
        <v>2</v>
      </c>
      <c r="DS47" s="147"/>
      <c r="DT47" s="147">
        <f>DR47</f>
        <v>2</v>
      </c>
      <c r="DU47" s="147"/>
      <c r="DV47" s="147">
        <f>DT47</f>
        <v>2</v>
      </c>
      <c r="DW47" s="147"/>
      <c r="DX47" s="147">
        <f>DV47</f>
        <v>2</v>
      </c>
      <c r="DY47" s="147"/>
      <c r="DZ47" s="147">
        <f>DX47</f>
        <v>2</v>
      </c>
      <c r="EA47" s="147"/>
      <c r="EB47" s="147">
        <f>DZ47</f>
        <v>2</v>
      </c>
      <c r="EC47" s="147"/>
      <c r="ED47" s="147">
        <f>EB47</f>
        <v>2</v>
      </c>
      <c r="EE47" s="147"/>
      <c r="EF47" s="147">
        <f>ED47</f>
        <v>2</v>
      </c>
      <c r="EG47" s="147"/>
      <c r="EH47" s="147">
        <f>EF47</f>
        <v>2</v>
      </c>
      <c r="EI47" s="147"/>
      <c r="EJ47" s="147">
        <f>EH47</f>
        <v>2</v>
      </c>
      <c r="EK47" s="147"/>
      <c r="EL47" s="147">
        <f>EJ47</f>
        <v>2</v>
      </c>
      <c r="EM47" s="149"/>
      <c r="EN47" s="148">
        <f>EL47</f>
        <v>2</v>
      </c>
      <c r="EO47" s="149"/>
    </row>
    <row r="48" spans="1:145" x14ac:dyDescent="0.25">
      <c r="A48" s="15" t="s">
        <v>45</v>
      </c>
      <c r="B48" s="147">
        <f>((B18*B18+C18*C18)/(B17*B17+C17*C17))^(B47/2)</f>
        <v>1.4421136757536939E-2</v>
      </c>
      <c r="C48" s="147"/>
      <c r="D48" s="147">
        <f t="shared" ref="D48" si="480">((D18*D18+E18*E18)/(D17*D17+E17*E17))^(D47/2)</f>
        <v>8.5406063942659274E-2</v>
      </c>
      <c r="E48" s="147"/>
      <c r="F48" s="147">
        <f t="shared" ref="F48" si="481">((F18*F18+G18*G18)/(F17*F17+G17*G17))^(F47/2)</f>
        <v>0.42213401925368343</v>
      </c>
      <c r="G48" s="147"/>
      <c r="H48" s="147">
        <f t="shared" ref="H48" si="482">((H18*H18+I18*I18)/(H17*H17+I17*I17))^(H47/2)</f>
        <v>1.6458490449277365E-2</v>
      </c>
      <c r="I48" s="147"/>
      <c r="J48" s="147">
        <f t="shared" ref="J48" si="483">((J18*J18+K18*K18)/(J17*J17+K17*K17))^(J47/2)</f>
        <v>3.0037724867154583E-2</v>
      </c>
      <c r="K48" s="147"/>
      <c r="L48" s="147">
        <f t="shared" ref="L48" si="484">((L18*L18+M18*M18)/(L17*L17+M17*M17))^(L47/2)</f>
        <v>0.18145882442349129</v>
      </c>
      <c r="M48" s="147"/>
      <c r="N48" s="147">
        <f t="shared" ref="N48" si="485">((N18*N18+O18*O18)/(N17*N17+O17*O17))^(N47/2)</f>
        <v>2.7830724692389466E-2</v>
      </c>
      <c r="O48" s="147"/>
      <c r="P48" s="147">
        <f t="shared" ref="P48" si="486">((P18*P18+Q18*Q18)/(P17*P17+Q17*Q17))^(P47/2)</f>
        <v>5.5901490178106153E-2</v>
      </c>
      <c r="Q48" s="147"/>
      <c r="R48" s="147">
        <f t="shared" ref="R48" si="487">((R18*R18+S18*S18)/(R17*R17+S17*S17))^(R47/2)</f>
        <v>5.8416124623126994E-2</v>
      </c>
      <c r="S48" s="147"/>
      <c r="T48" s="147">
        <f t="shared" ref="T48" si="488">((T18*T18+U18*U18)/(T17*T17+U17*U17))^(T47/2)</f>
        <v>4.5279135284309775E-3</v>
      </c>
      <c r="U48" s="147"/>
      <c r="V48" s="147">
        <f t="shared" ref="V48" si="489">((V18*V18+W18*W18)/(V17*V17+W17*W17))^(V47/2)</f>
        <v>1.9265307089786587E-2</v>
      </c>
      <c r="W48" s="147"/>
      <c r="X48" s="147">
        <f t="shared" ref="X48" si="490">((X18*X18+Y18*Y18)/(X17*X17+Y17*Y17))^(X47/2)</f>
        <v>0.17136672671276662</v>
      </c>
      <c r="Y48" s="147"/>
      <c r="Z48" s="147">
        <f t="shared" ref="Z48" si="491">((Z18*Z18+AA18*AA18)/(Z17*Z17+AA17*AA17))^(Z47/2)</f>
        <v>7.8323828598312398E-3</v>
      </c>
      <c r="AA48" s="147"/>
      <c r="AB48" s="147">
        <f t="shared" ref="AB48" si="492">((AB18*AB18+AC18*AC18)/(AB17*AB17+AC17*AC17))^(AB47/2)</f>
        <v>4.6245320060882084E-2</v>
      </c>
      <c r="AC48" s="147"/>
      <c r="AD48" s="147">
        <f t="shared" ref="AD48" si="493">((AD18*AD18+AE18*AE18)/(AD17*AD17+AE17*AE17))^(AD47/2)</f>
        <v>0.22954806954716947</v>
      </c>
      <c r="AE48" s="147"/>
      <c r="AF48" s="147">
        <f t="shared" ref="AF48" ca="1" si="494">((AF18*AF18+AG18*AG18)/(AF17*AF17+AG17*AG17))^(AF47/2)</f>
        <v>1.6577962175077027E-2</v>
      </c>
      <c r="AG48" s="147"/>
      <c r="AH48" s="147">
        <f t="shared" ref="AH48" ca="1" si="495">((AH18*AH18+AI18*AI18)/(AH17*AH17+AI17*AI17))^(AH47/2)</f>
        <v>2.9511932558936645E-2</v>
      </c>
      <c r="AI48" s="147"/>
      <c r="AJ48" s="147">
        <f t="shared" ref="AJ48" ca="1" si="496">((AJ18*AJ18+AK18*AK18)/(AJ17*AJ17+AK17*AK17))^(AJ47/2)</f>
        <v>0.17937246803618007</v>
      </c>
      <c r="AK48" s="147"/>
      <c r="AL48" s="148">
        <f t="shared" ref="AL48" si="497">((AL18*AL18+AM18*AM18)/(AL17*AL17+AM17*AM17))^(AL47/2)</f>
        <v>1.5385757908429202E-2</v>
      </c>
      <c r="AM48" s="149"/>
      <c r="AN48" s="148">
        <f t="shared" ref="AN48" si="498">((AN18*AN18+AO18*AO18)/(AN17*AN17+AO17*AO17))^(AN47/2)</f>
        <v>8.8707404391456426E-2</v>
      </c>
      <c r="AO48" s="149"/>
      <c r="AP48" s="148">
        <f t="shared" ref="AP48" si="499">((AP18*AP18+AQ18*AQ18)/(AP17*AP17+AQ17*AQ17))^(AP47/2)</f>
        <v>0.43276599782730335</v>
      </c>
      <c r="AQ48" s="149"/>
      <c r="AR48" s="148">
        <f t="shared" ref="AR48" si="500">((AR18*AR18+AS18*AS18)/(AR17*AR17+AS17*AS17))^(AR47/2)</f>
        <v>1.7805628389200259E-2</v>
      </c>
      <c r="AS48" s="149"/>
      <c r="AT48" s="148">
        <f t="shared" ref="AT48" si="501">((AT18*AT18+AU18*AU18)/(AT17*AT17+AU17*AU17))^(AT47/2)</f>
        <v>3.1501614668232897E-2</v>
      </c>
      <c r="AU48" s="149"/>
      <c r="AV48" s="148">
        <f t="shared" ref="AV48" si="502">((AV18*AV18+AW18*AW18)/(AV17*AV17+AW17*AW17))^(AV47/2)</f>
        <v>0.18451981841224716</v>
      </c>
      <c r="AW48" s="149"/>
      <c r="AX48" s="148">
        <f t="shared" ref="AX48" si="503">((AX18*AX18+AY18*AY18)/(AX17*AX17+AY17*AY17))^(AX47/2)</f>
        <v>2.7635102431272988E-2</v>
      </c>
      <c r="AY48" s="149"/>
      <c r="AZ48" s="148">
        <f t="shared" ref="AZ48" si="504">((AZ18*AZ18+BA18*BA18)/(AZ17*AZ17+BA17*BA17))^(AZ47/2)</f>
        <v>4.074762771973546E-2</v>
      </c>
      <c r="BA48" s="149"/>
      <c r="BB48" s="148">
        <f t="shared" ref="BB48" si="505">((BB18*BB18+BC18*BC18)/(BB17*BB17+BC17*BC17))^(BB47/2)</f>
        <v>8.5270746210437523E-2</v>
      </c>
      <c r="BC48" s="149"/>
      <c r="BD48" s="148">
        <f t="shared" ref="BD48" si="506">((BD18*BD18+BE18*BE18)/(BD17*BD17+BE17*BE17))^(BD47/2)</f>
        <v>6.3332372441625828E-3</v>
      </c>
      <c r="BE48" s="149"/>
      <c r="BF48" s="148">
        <f t="shared" ref="BF48" si="507">((BF18*BF18+BG18*BG18)/(BF17*BF17+BG17*BG17))^(BF47/2)</f>
        <v>3.78532455976021E-2</v>
      </c>
      <c r="BG48" s="149"/>
      <c r="BH48" s="148">
        <f t="shared" ref="BH48" si="508">((BH18*BH18+BI18*BI18)/(BH17*BH17+BI17*BI17))^(BH47/2)</f>
        <v>0.27366738589534256</v>
      </c>
      <c r="BI48" s="149"/>
      <c r="BJ48" s="148">
        <f t="shared" ref="BJ48" si="509">((BJ18*BJ18+BK18*BK18)/(BJ17*BJ17+BK17*BK17))^(BJ47/2)</f>
        <v>8.3636387134260002E-3</v>
      </c>
      <c r="BK48" s="149"/>
      <c r="BL48" s="148">
        <f t="shared" ref="BL48" si="510">((BL18*BL18+BM18*BM18)/(BL17*BL17+BM17*BM17))^(BL47/2)</f>
        <v>4.8161292729137974E-2</v>
      </c>
      <c r="BM48" s="149"/>
      <c r="BN48" s="148">
        <f t="shared" ref="BN48" si="511">((BN18*BN18+BO18*BO18)/(BN17*BN17+BO17*BO17))^(BN47/2)</f>
        <v>0.23493698299377094</v>
      </c>
      <c r="BO48" s="149"/>
      <c r="BP48" s="148">
        <f t="shared" ref="BP48" ca="1" si="512">((BP18*BP18+BQ18*BQ18)/(BP17*BP17+BQ17*BQ17))^(BP47/2)</f>
        <v>1.7662526409997163E-2</v>
      </c>
      <c r="BQ48" s="149"/>
      <c r="BR48" s="148">
        <f t="shared" ref="BR48" ca="1" si="513">((BR18*BR18+BS18*BS18)/(BR17*BR17+BS17*BS17))^(BR47/2)</f>
        <v>3.1314811354449572E-2</v>
      </c>
      <c r="BS48" s="149"/>
      <c r="BT48" s="148">
        <f t="shared" ref="BT48" ca="1" si="514">((BT18*BT18+BU18*BU18)/(BT17*BT17+BU17*BU17))^(BT47/2)</f>
        <v>0.18776349119009797</v>
      </c>
      <c r="BU48" s="149"/>
      <c r="BV48" s="150">
        <f t="shared" ref="BV48" si="515">((BV18*BV18+BW18*BW18)/(BV17*BV17+BW17*BW17))^(BV47/2)</f>
        <v>3.7904824292313732E-2</v>
      </c>
      <c r="BW48" s="151"/>
      <c r="BX48" s="150">
        <f t="shared" ref="BX48" si="516">((BX18*BX18+BY18*BY18)/(BX17*BX17+BY17*BY17))^(BX47/2)</f>
        <v>0.10533743367580137</v>
      </c>
      <c r="BY48" s="151"/>
      <c r="BZ48" s="150">
        <f t="shared" ref="BZ48" si="517">((BZ18*BZ18+CA18*CA18)/(BZ17*BZ17+CA17*CA17))^(BZ47/2)</f>
        <v>0.413841010165798</v>
      </c>
      <c r="CA48" s="151"/>
      <c r="CB48" s="150">
        <f t="shared" ref="CB48" si="518">((CB18*CB18+CC18*CC18)/(CB17*CB17+CC17*CC17))^(CB47/2)</f>
        <v>1.6803320301912932E-2</v>
      </c>
      <c r="CC48" s="151"/>
      <c r="CD48" s="150">
        <f t="shared" ref="CD48" si="519">((CD18*CD18+CE18*CE18)/(CD17*CD17+CE17*CE17))^(CD47/2)</f>
        <v>3.2636939800907899E-2</v>
      </c>
      <c r="CE48" s="151"/>
      <c r="CF48" s="150">
        <f t="shared" ref="CF48" si="520">((CF18*CF18+CG18*CG18)/(CF17*CF17+CG17*CG17))^(CF47/2)</f>
        <v>0.1908754009077156</v>
      </c>
      <c r="CG48" s="151"/>
      <c r="CH48" s="150">
        <f t="shared" ref="CH48" si="521">((CH18*CH18+CI18*CI18)/(CH17*CH17+CI17*CI17))^(CH47/2)</f>
        <v>2.1963073018644596E-2</v>
      </c>
      <c r="CI48" s="151"/>
      <c r="CJ48" s="150">
        <f t="shared" ref="CJ48" si="522">((CJ18*CJ18+CK18*CK18)/(CJ17*CJ17+CK17*CK17))^(CJ47/2)</f>
        <v>4.4676314221030716E-2</v>
      </c>
      <c r="CK48" s="151"/>
      <c r="CL48" s="150">
        <f t="shared" ref="CL48" si="523">((CL18*CL18+CM18*CM18)/(CL17*CL17+CM17*CM17))^(CL47/2)</f>
        <v>7.6703927887927292E-2</v>
      </c>
      <c r="CM48" s="151"/>
      <c r="CN48" s="150">
        <f t="shared" ref="CN48" si="524">((CN18*CN18+CO18*CO18)/(CN17*CN17+CO17*CO17))^(CN47/2)</f>
        <v>6.7036732777842967E-3</v>
      </c>
      <c r="CO48" s="151"/>
      <c r="CP48" s="150">
        <f t="shared" ref="CP48" si="525">((CP18*CP18+CQ18*CQ18)/(CP17*CP17+CQ17*CQ17))^(CP47/2)</f>
        <v>2.3912267657992571E-2</v>
      </c>
      <c r="CQ48" s="151"/>
      <c r="CR48" s="150">
        <f t="shared" ref="CR48" ca="1" si="526">((CR18*CR18+CS18*CS18)/(CR17*CR17+CS17*CS17))^(CR47/2)</f>
        <v>0.26929057950357721</v>
      </c>
      <c r="CS48" s="151"/>
      <c r="CT48" s="150">
        <f t="shared" ref="CT48" si="527">((CT18*CT18+CU18*CU18)/(CT17*CT17+CU17*CU17))^(CT47/2)</f>
        <v>2.0653855984825106E-2</v>
      </c>
      <c r="CU48" s="151"/>
      <c r="CV48" s="150">
        <f t="shared" ref="CV48" si="528">((CV18*CV18+CW18*CW18)/(CV17*CV17+CW17*CW17))^(CV47/2)</f>
        <v>5.7242226047574056E-2</v>
      </c>
      <c r="CW48" s="151"/>
      <c r="CX48" s="150">
        <f t="shared" ref="CX48" si="529">((CX18*CX18+CY18*CY18)/(CX17*CX17+CY17*CY17))^(CX47/2)</f>
        <v>0.22539700066260904</v>
      </c>
      <c r="CY48" s="151"/>
      <c r="CZ48" s="150">
        <f t="shared" ref="CZ48" ca="1" si="530">((CZ18*CZ18+DA18*DA18)/(CZ17*CZ17+DA17*DA17))^(CZ47/2)</f>
        <v>1.6857724333045217E-2</v>
      </c>
      <c r="DA48" s="151"/>
      <c r="DB48" s="150">
        <f t="shared" ref="DB48" ca="1" si="531">((DB18*DB18+DC18*DC18)/(DB17*DB17+DC17*DC17))^(DB47/2)</f>
        <v>3.2233722027622272E-2</v>
      </c>
      <c r="DC48" s="151"/>
      <c r="DD48" s="150">
        <f t="shared" ref="DD48" ca="1" si="532">((DD18*DD18+DE18*DE18)/(DD17*DD17+DE17*DE17))^(DD47/2)</f>
        <v>0.189462682183175</v>
      </c>
      <c r="DE48" s="151"/>
      <c r="DF48" s="152">
        <f t="shared" ref="DF48" si="533">((DF18*DF18+DG18*DG18)/(DF17*DF17+DG17*DG17))^(DF47/2)</f>
        <v>1.9781631642387942E-2</v>
      </c>
      <c r="DG48" s="153"/>
      <c r="DH48" s="152">
        <f t="shared" ref="DH48" ca="1" si="534">((DH18*DH18+DI18*DI18)/(DH17*DH17+DI17*DI17))^(DH47/2)</f>
        <v>0.10632473480122467</v>
      </c>
      <c r="DI48" s="153"/>
      <c r="DJ48" s="152">
        <f t="shared" ref="DJ48" ca="1" si="535">((DJ18*DJ18+DK18*DK18)/(DJ17*DJ17+DK17*DK17))^(DJ47/2)</f>
        <v>0.41055011058992769</v>
      </c>
      <c r="DK48" s="153"/>
      <c r="DL48" s="152">
        <f t="shared" ref="DL48" si="536">((DL18*DL18+DM18*DM18)/(DL17*DL17+DM17*DM17))^(DL47/2)</f>
        <v>1.715499597639485E-2</v>
      </c>
      <c r="DM48" s="153"/>
      <c r="DN48" s="152">
        <f t="shared" ref="DN48" ca="1" si="537">((DN18*DN18+DO18*DO18)/(DN17*DN17+DO17*DO17))^(DN47/2)</f>
        <v>3.2187102114518175E-2</v>
      </c>
      <c r="DO48" s="153"/>
      <c r="DP48" s="152">
        <f t="shared" ref="DP48" ca="1" si="538">((DP18*DP18+DQ18*DQ18)/(DP17*DP17+DQ17*DQ17))^(DP47/2)</f>
        <v>0.19254725570420539</v>
      </c>
      <c r="DQ48" s="153"/>
      <c r="DR48" s="152">
        <f t="shared" ref="DR48" ca="1" si="539">((DR18*DR18+DS18*DS18)/(DR17*DR17+DS17*DS17))^(DR47/2)</f>
        <v>2.1859022550284359E-2</v>
      </c>
      <c r="DS48" s="153"/>
      <c r="DT48" s="152">
        <f t="shared" ref="DT48" ca="1" si="540">((DT18*DT18+DU18*DU18)/(DT17*DT17+DU17*DU17))^(DT47/2)</f>
        <v>4.4475332298839654E-2</v>
      </c>
      <c r="DU48" s="153"/>
      <c r="DV48" s="152">
        <f t="shared" ref="DV48" ca="1" si="541">((DV18*DV18+DW18*DW18)/(DV17*DV17+DW17*DW17))^(DV47/2)</f>
        <v>7.6261548829176795E-2</v>
      </c>
      <c r="DW48" s="153"/>
      <c r="DX48" s="152">
        <f t="shared" ref="DX48" ca="1" si="542">((DX18*DX18+DY18*DY18)/(DX17*DX17+DY17*DY17))^(DX47/2)</f>
        <v>6.7355066365888698E-3</v>
      </c>
      <c r="DY48" s="153"/>
      <c r="DZ48" s="152">
        <f t="shared" ref="DZ48" ca="1" si="543">((DZ18*DZ18+EA18*EA18)/(DZ17*DZ17+EA17*EA17))^(DZ47/2)</f>
        <v>2.3864427214258785E-2</v>
      </c>
      <c r="EA48" s="153"/>
      <c r="EB48" s="152">
        <f t="shared" ref="EB48" ca="1" si="544">((EB18*EB18+EC18*EC18)/(EB17*EB17+EC17*EC17))^(EB47/2)</f>
        <v>0.26866112418449867</v>
      </c>
      <c r="EC48" s="153"/>
      <c r="ED48" s="152">
        <f t="shared" ref="ED48" si="545">((ED18*ED18+EE18*EE18)/(ED17*ED17+EE17*EE17))^(ED47/2)</f>
        <v>1.0814275702447506E-2</v>
      </c>
      <c r="EE48" s="153"/>
      <c r="EF48" s="152">
        <f t="shared" ref="EF48" ca="1" si="546">((EF18*EF18+EG18*EG18)/(EF17*EF17+EG17*EG17))^(EF47/2)</f>
        <v>5.7787171481285808E-2</v>
      </c>
      <c r="EG48" s="153"/>
      <c r="EH48" s="152">
        <f t="shared" ref="EH48" ca="1" si="547">((EH18*EH18+EI18*EI18)/(EH17*EH17+EI17*EI17))^(EH47/2)</f>
        <v>0.22383788233412469</v>
      </c>
      <c r="EI48" s="153"/>
      <c r="EJ48" s="152">
        <f t="shared" ref="EJ48" ca="1" si="548">((EJ18*EJ18+EK18*EK18)/(EJ17*EJ17+EK17*EK17))^(EJ47/2)</f>
        <v>1.7152077592835116E-2</v>
      </c>
      <c r="EK48" s="153"/>
      <c r="EL48" s="152">
        <f t="shared" ref="EL48" ca="1" si="549">((EL18*EL18+EM18*EM18)/(EL17*EL17+EM17*EM17))^(EL47/2)</f>
        <v>3.2198989193285406E-2</v>
      </c>
      <c r="EM48" s="153"/>
      <c r="EN48" s="152">
        <f t="shared" ref="EN48" ca="1" si="550">((EN18*EN18+EO18*EO18)/(EN17*EN17+EO17*EO17))^(EN47/2)</f>
        <v>0.19054118488936878</v>
      </c>
      <c r="EO48" s="153"/>
    </row>
    <row r="49" spans="1:145" x14ac:dyDescent="0.25">
      <c r="A49" s="15" t="s">
        <v>114</v>
      </c>
      <c r="B49" s="166"/>
      <c r="C49" s="166"/>
      <c r="D49" s="166"/>
      <c r="E49" s="166"/>
      <c r="F49" s="166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</row>
    <row r="50" spans="1:145" x14ac:dyDescent="0.25">
      <c r="A50" s="16" t="s">
        <v>26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</row>
    <row r="51" spans="1:145" x14ac:dyDescent="0.25">
      <c r="A51" s="14" t="s">
        <v>29</v>
      </c>
      <c r="B51" s="166">
        <f ca="1">B24*$B$105+D24*$B$106+F24*$B$107</f>
        <v>181341.37681584113</v>
      </c>
      <c r="C51" s="166"/>
      <c r="D51" s="166"/>
      <c r="E51" s="166"/>
      <c r="F51" s="166"/>
      <c r="G51" s="166"/>
      <c r="H51" s="166">
        <f ca="1">H24*$B$105+J24*$B$106+L24*$B$107</f>
        <v>201523.84701080626</v>
      </c>
      <c r="I51" s="166"/>
      <c r="J51" s="166"/>
      <c r="K51" s="166"/>
      <c r="L51" s="166"/>
      <c r="M51" s="166"/>
      <c r="N51" s="166">
        <f ca="1">N24*$B$105+P24*$B$106+R24*$B$107</f>
        <v>303484.81008445204</v>
      </c>
      <c r="O51" s="166"/>
      <c r="P51" s="166"/>
      <c r="Q51" s="166"/>
      <c r="R51" s="166"/>
      <c r="S51" s="166"/>
      <c r="T51" s="166">
        <f ca="1">T24*$B$105+V24*$B$106+X24*$B$107</f>
        <v>3179.9128318918265</v>
      </c>
      <c r="U51" s="166"/>
      <c r="V51" s="166"/>
      <c r="W51" s="166"/>
      <c r="X51" s="166"/>
      <c r="Y51" s="166"/>
      <c r="Z51" s="166">
        <f ca="1">Z24*$B$105+AB24*$B$106+AD24*$B$107</f>
        <v>50378.084885538083</v>
      </c>
      <c r="AA51" s="166"/>
      <c r="AB51" s="166"/>
      <c r="AC51" s="166"/>
      <c r="AD51" s="166"/>
      <c r="AE51" s="166"/>
      <c r="AF51" s="166">
        <f ca="1">AF24*$B$105+AH24*$B$106+AJ24*$B$107</f>
        <v>362398.15129070508</v>
      </c>
      <c r="AG51" s="166"/>
      <c r="AH51" s="166"/>
      <c r="AI51" s="166"/>
      <c r="AJ51" s="166"/>
      <c r="AK51" s="166"/>
      <c r="AL51" s="166">
        <f ca="1">AL24*$B$105+AN24*$B$106+AP24*$B$107</f>
        <v>185932.90112678381</v>
      </c>
      <c r="AM51" s="166"/>
      <c r="AN51" s="166"/>
      <c r="AO51" s="166"/>
      <c r="AP51" s="166"/>
      <c r="AQ51" s="166"/>
      <c r="AR51" s="166">
        <f ca="1">AR24*$B$105+AT24*$B$106+AV24*$B$107</f>
        <v>226903.82616853903</v>
      </c>
      <c r="AS51" s="166"/>
      <c r="AT51" s="166"/>
      <c r="AU51" s="166"/>
      <c r="AV51" s="166"/>
      <c r="AW51" s="166"/>
      <c r="AX51" s="166">
        <f ca="1">AX24*$B$105+AZ24*$B$106+BB24*$B$107</f>
        <v>266789.00433428184</v>
      </c>
      <c r="AY51" s="166"/>
      <c r="AZ51" s="166"/>
      <c r="BA51" s="166"/>
      <c r="BB51" s="166"/>
      <c r="BC51" s="166"/>
      <c r="BD51" s="166">
        <f ca="1">BD24*$B$105+BF24*$B$106+BH24*$B$107</f>
        <v>3115.6029122720965</v>
      </c>
      <c r="BE51" s="166"/>
      <c r="BF51" s="166"/>
      <c r="BG51" s="166"/>
      <c r="BH51" s="166"/>
      <c r="BI51" s="166"/>
      <c r="BJ51" s="166">
        <f ca="1">BJ24*$B$105+BL24*$B$106+BN24*$B$107</f>
        <v>51273.369059528348</v>
      </c>
      <c r="BK51" s="166"/>
      <c r="BL51" s="166"/>
      <c r="BM51" s="166"/>
      <c r="BN51" s="166"/>
      <c r="BO51" s="166"/>
      <c r="BP51" s="166">
        <f ca="1">BP24*$B$105+BR24*$B$106+BT24*$B$107</f>
        <v>375301.27151067532</v>
      </c>
      <c r="BQ51" s="166"/>
      <c r="BR51" s="166"/>
      <c r="BS51" s="166"/>
      <c r="BT51" s="166"/>
      <c r="BU51" s="166"/>
      <c r="BV51" s="166">
        <f ca="1">BV24*$B$105+BX24*$B$106+BZ24*$B$107</f>
        <v>178434.0551179446</v>
      </c>
      <c r="BW51" s="166"/>
      <c r="BX51" s="166"/>
      <c r="BY51" s="166"/>
      <c r="BZ51" s="166"/>
      <c r="CA51" s="166"/>
      <c r="CB51" s="166">
        <f ca="1">CB24*$B$105+CD24*$B$106+CF24*$B$107</f>
        <v>210547.68011797214</v>
      </c>
      <c r="CC51" s="166"/>
      <c r="CD51" s="166"/>
      <c r="CE51" s="166"/>
      <c r="CF51" s="166"/>
      <c r="CG51" s="166"/>
      <c r="CH51" s="166">
        <f ca="1">CH24*$B$105+CJ24*$B$106+CL24*$B$107</f>
        <v>284232.31023141689</v>
      </c>
      <c r="CI51" s="166"/>
      <c r="CJ51" s="166"/>
      <c r="CK51" s="166"/>
      <c r="CL51" s="166"/>
      <c r="CM51" s="166"/>
      <c r="CN51" s="166">
        <f ca="1">CN24*$B$105+CP24*$B$106+CR24*$B$107</f>
        <v>2817.7360279666796</v>
      </c>
      <c r="CO51" s="166"/>
      <c r="CP51" s="166"/>
      <c r="CQ51" s="166"/>
      <c r="CR51" s="166"/>
      <c r="CS51" s="166"/>
      <c r="CT51" s="166">
        <f ca="1">CT24*$B$105+CV24*$B$106+CX24*$B$107</f>
        <v>49534.21565057207</v>
      </c>
      <c r="CU51" s="166"/>
      <c r="CV51" s="166"/>
      <c r="CW51" s="166"/>
      <c r="CX51" s="166"/>
      <c r="CY51" s="166"/>
      <c r="CZ51" s="166">
        <f ca="1">CZ24*$B$105+DB24*$B$106+DD24*$B$107</f>
        <v>385418.3612318965</v>
      </c>
      <c r="DA51" s="166"/>
      <c r="DB51" s="166"/>
      <c r="DC51" s="166"/>
      <c r="DD51" s="166"/>
      <c r="DE51" s="166"/>
      <c r="DF51" s="166">
        <f ca="1">DF24*$B$105+DH24*$B$106+DJ24*$B$107</f>
        <v>194937.55427203106</v>
      </c>
      <c r="DG51" s="166"/>
      <c r="DH51" s="166"/>
      <c r="DI51" s="166"/>
      <c r="DJ51" s="166"/>
      <c r="DK51" s="166"/>
      <c r="DL51" s="166">
        <f ca="1">DL24*$B$105+DN24*$B$106+DP24*$B$107</f>
        <v>239217.92528799269</v>
      </c>
      <c r="DM51" s="166"/>
      <c r="DN51" s="166"/>
      <c r="DO51" s="166"/>
      <c r="DP51" s="166"/>
      <c r="DQ51" s="166"/>
      <c r="DR51" s="166">
        <f ca="1">DR24*$B$105+DT24*$B$106+DV24*$B$107</f>
        <v>312583.32219214336</v>
      </c>
      <c r="DS51" s="166"/>
      <c r="DT51" s="166"/>
      <c r="DU51" s="166"/>
      <c r="DV51" s="166"/>
      <c r="DW51" s="166"/>
      <c r="DX51" s="166">
        <f ca="1">DX24*$B$105+DZ24*$B$106+EB24*$B$107</f>
        <v>3494.0231124749707</v>
      </c>
      <c r="DY51" s="166"/>
      <c r="DZ51" s="166"/>
      <c r="EA51" s="166"/>
      <c r="EB51" s="166"/>
      <c r="EC51" s="166"/>
      <c r="ED51" s="166">
        <f ca="1">ED24*$B$105+EF24*$B$106+EH24*$B$107</f>
        <v>54624.968694230105</v>
      </c>
      <c r="EE51" s="166"/>
      <c r="EF51" s="166"/>
      <c r="EG51" s="166"/>
      <c r="EH51" s="166"/>
      <c r="EI51" s="166"/>
      <c r="EJ51" s="166">
        <f ca="1">EJ24*$B$105+EL24*$B$106+EN24*$B$107</f>
        <v>392944.90563491819</v>
      </c>
      <c r="EK51" s="166"/>
      <c r="EL51" s="166"/>
      <c r="EM51" s="166"/>
      <c r="EN51" s="166"/>
      <c r="EO51" s="166"/>
    </row>
    <row r="52" spans="1:145" x14ac:dyDescent="0.25">
      <c r="A52" s="16" t="s">
        <v>31</v>
      </c>
      <c r="B52" s="166"/>
      <c r="C52" s="166"/>
      <c r="D52" s="166"/>
      <c r="E52" s="166"/>
      <c r="F52" s="166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  <c r="AP52" s="166"/>
      <c r="AQ52" s="166"/>
      <c r="AR52" s="166"/>
      <c r="AS52" s="166"/>
      <c r="AT52" s="166"/>
      <c r="AU52" s="166"/>
      <c r="AV52" s="166"/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66"/>
      <c r="CR52" s="166"/>
      <c r="CS52" s="166"/>
      <c r="CT52" s="166"/>
      <c r="CU52" s="166"/>
      <c r="CV52" s="166"/>
      <c r="CW52" s="166"/>
      <c r="CX52" s="166"/>
      <c r="CY52" s="166"/>
      <c r="CZ52" s="166"/>
      <c r="DA52" s="166"/>
      <c r="DB52" s="166"/>
      <c r="DC52" s="166"/>
      <c r="DD52" s="166"/>
      <c r="DE52" s="166"/>
      <c r="DF52" s="166"/>
      <c r="DG52" s="166"/>
      <c r="DH52" s="166"/>
      <c r="DI52" s="166"/>
      <c r="DJ52" s="166"/>
      <c r="DK52" s="166"/>
      <c r="DL52" s="166"/>
      <c r="DM52" s="166"/>
      <c r="DN52" s="166"/>
      <c r="DO52" s="166"/>
      <c r="DP52" s="166"/>
      <c r="DQ52" s="166"/>
      <c r="DR52" s="166"/>
      <c r="DS52" s="166"/>
      <c r="DT52" s="166"/>
      <c r="DU52" s="166"/>
      <c r="DV52" s="166"/>
      <c r="DW52" s="166"/>
      <c r="DX52" s="166"/>
      <c r="DY52" s="166"/>
      <c r="DZ52" s="166"/>
      <c r="EA52" s="166"/>
      <c r="EB52" s="166"/>
      <c r="EC52" s="166"/>
      <c r="ED52" s="166"/>
      <c r="EE52" s="166"/>
      <c r="EF52" s="166"/>
      <c r="EG52" s="166"/>
      <c r="EH52" s="166"/>
      <c r="EI52" s="166"/>
      <c r="EJ52" s="166"/>
      <c r="EK52" s="166"/>
      <c r="EL52" s="166"/>
      <c r="EM52" s="166"/>
      <c r="EN52" s="166"/>
      <c r="EO52" s="166"/>
    </row>
    <row r="53" spans="1:145" x14ac:dyDescent="0.25">
      <c r="A53" s="14" t="s">
        <v>34</v>
      </c>
      <c r="B53" s="166">
        <f>B28*$B$105+D28*$B$106+F28*$B$107</f>
        <v>5740678550.7799959</v>
      </c>
      <c r="C53" s="166"/>
      <c r="D53" s="166"/>
      <c r="E53" s="166"/>
      <c r="F53" s="166"/>
      <c r="G53" s="166"/>
      <c r="H53" s="166">
        <f>H28*$B$105+J28*$B$106+L28*$B$107</f>
        <v>7241738405.5238991</v>
      </c>
      <c r="I53" s="166"/>
      <c r="J53" s="166"/>
      <c r="K53" s="166"/>
      <c r="L53" s="166"/>
      <c r="M53" s="166"/>
      <c r="N53" s="166">
        <f>N28*$B$105+P28*$B$106+R28*$B$107</f>
        <v>13141804368.016895</v>
      </c>
      <c r="O53" s="166"/>
      <c r="P53" s="166"/>
      <c r="Q53" s="166"/>
      <c r="R53" s="166"/>
      <c r="S53" s="166"/>
      <c r="T53" s="166">
        <f>T28*$B$105+V28*$B$106+X28*$B$107</f>
        <v>1453135.9294024021</v>
      </c>
      <c r="U53" s="166"/>
      <c r="V53" s="166"/>
      <c r="W53" s="166"/>
      <c r="X53" s="166"/>
      <c r="Y53" s="166"/>
      <c r="Z53" s="166">
        <f>Z28*$B$105+AB28*$B$106+AD28*$B$107</f>
        <v>560887469.87367511</v>
      </c>
      <c r="AA53" s="166"/>
      <c r="AB53" s="166"/>
      <c r="AC53" s="166"/>
      <c r="AD53" s="166"/>
      <c r="AE53" s="166"/>
      <c r="AF53" s="166">
        <f ca="1">AF28*$B$105+AH28*$B$106+AJ28*$B$107</f>
        <v>10092235262.82711</v>
      </c>
      <c r="AG53" s="166"/>
      <c r="AH53" s="166"/>
      <c r="AI53" s="166"/>
      <c r="AJ53" s="166"/>
      <c r="AK53" s="166"/>
      <c r="AL53" s="166">
        <f>AL28*$B$105+AN28*$B$106+AP28*$B$107</f>
        <v>5985256061.0061016</v>
      </c>
      <c r="AM53" s="166"/>
      <c r="AN53" s="166"/>
      <c r="AO53" s="166"/>
      <c r="AP53" s="166"/>
      <c r="AQ53" s="166"/>
      <c r="AR53" s="166">
        <f>AR28*$B$105+AT28*$B$106+AV28*$B$107</f>
        <v>7648239463.6193523</v>
      </c>
      <c r="AS53" s="166"/>
      <c r="AT53" s="166"/>
      <c r="AU53" s="166"/>
      <c r="AV53" s="166"/>
      <c r="AW53" s="166"/>
      <c r="AX53" s="166">
        <f>AX28*$B$105+AZ28*$B$106+BB28*$B$107</f>
        <v>12201612078.070065</v>
      </c>
      <c r="AY53" s="166"/>
      <c r="AZ53" s="166"/>
      <c r="BA53" s="166"/>
      <c r="BB53" s="166"/>
      <c r="BC53" s="166"/>
      <c r="BD53" s="166">
        <f>BD28*$B$105+BF28*$B$106+BH28*$B$107</f>
        <v>1495011.0723048444</v>
      </c>
      <c r="BE53" s="166"/>
      <c r="BF53" s="166"/>
      <c r="BG53" s="166"/>
      <c r="BH53" s="166"/>
      <c r="BI53" s="166"/>
      <c r="BJ53" s="166">
        <f>BJ28*$B$105+BL28*$B$106+BN28*$B$107</f>
        <v>582703188.6891681</v>
      </c>
      <c r="BK53" s="166"/>
      <c r="BL53" s="166"/>
      <c r="BM53" s="166"/>
      <c r="BN53" s="166"/>
      <c r="BO53" s="166"/>
      <c r="BP53" s="166">
        <f ca="1">BP28*$B$105+BR28*$B$106+BT28*$B$107</f>
        <v>11174209095.498537</v>
      </c>
      <c r="BQ53" s="166"/>
      <c r="BR53" s="166"/>
      <c r="BS53" s="166"/>
      <c r="BT53" s="166"/>
      <c r="BU53" s="166"/>
      <c r="BV53" s="166">
        <f>BV28*$B$105+BX28*$B$106+BZ28*$B$107</f>
        <v>5394187739.8185701</v>
      </c>
      <c r="BW53" s="166"/>
      <c r="BX53" s="166"/>
      <c r="BY53" s="166"/>
      <c r="BZ53" s="166"/>
      <c r="CA53" s="166"/>
      <c r="CB53" s="166">
        <f>CB28*$B$105+CD28*$B$106+CF28*$B$107</f>
        <v>7700196268.9500933</v>
      </c>
      <c r="CC53" s="166"/>
      <c r="CD53" s="166"/>
      <c r="CE53" s="166"/>
      <c r="CF53" s="166"/>
      <c r="CG53" s="166"/>
      <c r="CH53" s="166">
        <f>CH28*$B$105+CJ28*$B$106+CL28*$B$107</f>
        <v>11714634589.552521</v>
      </c>
      <c r="CI53" s="166"/>
      <c r="CJ53" s="166"/>
      <c r="CK53" s="166"/>
      <c r="CL53" s="166"/>
      <c r="CM53" s="166"/>
      <c r="CN53" s="166">
        <f ca="1">CN28*$B$105+CP28*$B$106+CR28*$B$107</f>
        <v>1442156.3247436672</v>
      </c>
      <c r="CO53" s="166"/>
      <c r="CP53" s="166"/>
      <c r="CQ53" s="166"/>
      <c r="CR53" s="166"/>
      <c r="CS53" s="166"/>
      <c r="CT53" s="166">
        <f>CT28*$B$105+CV28*$B$106+CX28*$B$107</f>
        <v>521926690.69998354</v>
      </c>
      <c r="CU53" s="166"/>
      <c r="CV53" s="166"/>
      <c r="CW53" s="166"/>
      <c r="CX53" s="166"/>
      <c r="CY53" s="166"/>
      <c r="CZ53" s="166">
        <f ca="1">CZ28*$B$105+DB28*$B$106+DD28*$B$107</f>
        <v>11065706150.634501</v>
      </c>
      <c r="DA53" s="166"/>
      <c r="DB53" s="166"/>
      <c r="DC53" s="166"/>
      <c r="DD53" s="166"/>
      <c r="DE53" s="166"/>
      <c r="DF53" s="166">
        <f ca="1">DF28*$B$105+DH28*$B$106+DJ28*$B$107</f>
        <v>6294495998.0504866</v>
      </c>
      <c r="DG53" s="166"/>
      <c r="DH53" s="166"/>
      <c r="DI53" s="166"/>
      <c r="DJ53" s="166"/>
      <c r="DK53" s="166"/>
      <c r="DL53" s="166">
        <f ca="1">DL28*$B$105+DN28*$B$106+DP28*$B$107</f>
        <v>8272937367.7896366</v>
      </c>
      <c r="DM53" s="166"/>
      <c r="DN53" s="166"/>
      <c r="DO53" s="166"/>
      <c r="DP53" s="166"/>
      <c r="DQ53" s="166"/>
      <c r="DR53" s="166">
        <f ca="1">DR28*$B$105+DT28*$B$106+DV28*$B$107</f>
        <v>16189727332.947021</v>
      </c>
      <c r="DS53" s="166"/>
      <c r="DT53" s="166"/>
      <c r="DU53" s="166"/>
      <c r="DV53" s="166"/>
      <c r="DW53" s="166"/>
      <c r="DX53" s="166">
        <f ca="1">DX28*$B$105+DZ28*$B$106+EB28*$B$107</f>
        <v>1993765.632151383</v>
      </c>
      <c r="DY53" s="166"/>
      <c r="DZ53" s="166"/>
      <c r="EA53" s="166"/>
      <c r="EB53" s="166"/>
      <c r="EC53" s="166"/>
      <c r="ED53" s="166">
        <f ca="1">ED28*$B$105+EF28*$B$106+EH28*$B$107</f>
        <v>604865159.64048886</v>
      </c>
      <c r="EE53" s="166"/>
      <c r="EF53" s="166"/>
      <c r="EG53" s="166"/>
      <c r="EH53" s="166"/>
      <c r="EI53" s="166"/>
      <c r="EJ53" s="166">
        <f ca="1">EJ28*$B$105+EL28*$B$106+EN28*$B$107</f>
        <v>11441983528.57217</v>
      </c>
      <c r="EK53" s="166"/>
      <c r="EL53" s="166"/>
      <c r="EM53" s="166"/>
      <c r="EN53" s="166"/>
      <c r="EO53" s="166"/>
    </row>
    <row r="54" spans="1:145" x14ac:dyDescent="0.25">
      <c r="A54" s="16" t="s">
        <v>30</v>
      </c>
      <c r="B54" s="166"/>
      <c r="C54" s="166"/>
      <c r="D54" s="166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  <c r="AP54" s="166"/>
      <c r="AQ54" s="166"/>
      <c r="AR54" s="166"/>
      <c r="AS54" s="166"/>
      <c r="AT54" s="166"/>
      <c r="AU54" s="166"/>
      <c r="AV54" s="166"/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6"/>
      <c r="CO54" s="166"/>
      <c r="CP54" s="166"/>
      <c r="CQ54" s="166"/>
      <c r="CR54" s="166"/>
      <c r="CS54" s="166"/>
      <c r="CT54" s="166"/>
      <c r="CU54" s="166"/>
      <c r="CV54" s="166"/>
      <c r="CW54" s="166"/>
      <c r="CX54" s="166"/>
      <c r="CY54" s="166"/>
      <c r="CZ54" s="166"/>
      <c r="DA54" s="166"/>
      <c r="DB54" s="166"/>
      <c r="DC54" s="166"/>
      <c r="DD54" s="166"/>
      <c r="DE54" s="166"/>
      <c r="DF54" s="166"/>
      <c r="DG54" s="166"/>
      <c r="DH54" s="166"/>
      <c r="DI54" s="166"/>
      <c r="DJ54" s="166"/>
      <c r="DK54" s="166"/>
      <c r="DL54" s="166"/>
      <c r="DM54" s="166"/>
      <c r="DN54" s="166"/>
      <c r="DO54" s="166"/>
      <c r="DP54" s="166"/>
      <c r="DQ54" s="166"/>
      <c r="DR54" s="166"/>
      <c r="DS54" s="166"/>
      <c r="DT54" s="166"/>
      <c r="DU54" s="166"/>
      <c r="DV54" s="166"/>
      <c r="DW54" s="166"/>
      <c r="DX54" s="166"/>
      <c r="DY54" s="166"/>
      <c r="DZ54" s="166"/>
      <c r="EA54" s="166"/>
      <c r="EB54" s="166"/>
      <c r="EC54" s="166"/>
      <c r="ED54" s="166"/>
      <c r="EE54" s="166"/>
      <c r="EF54" s="166"/>
      <c r="EG54" s="166"/>
      <c r="EH54" s="166"/>
      <c r="EI54" s="166"/>
      <c r="EJ54" s="166"/>
      <c r="EK54" s="166"/>
      <c r="EL54" s="166"/>
      <c r="EM54" s="166"/>
      <c r="EN54" s="166"/>
      <c r="EO54" s="166"/>
    </row>
    <row r="55" spans="1:145" x14ac:dyDescent="0.25">
      <c r="A55" s="14" t="s">
        <v>35</v>
      </c>
      <c r="B55" s="166">
        <f>B32*$B$105+D32*$B$106+F32*$B$107</f>
        <v>5740650126.9135714</v>
      </c>
      <c r="C55" s="166"/>
      <c r="D55" s="166"/>
      <c r="E55" s="166"/>
      <c r="F55" s="166"/>
      <c r="G55" s="166"/>
      <c r="H55" s="166">
        <f>H32*$B$105+J32*$B$106+L32*$B$107</f>
        <v>7241731533.3740311</v>
      </c>
      <c r="I55" s="166"/>
      <c r="J55" s="166"/>
      <c r="K55" s="166"/>
      <c r="L55" s="166"/>
      <c r="M55" s="166"/>
      <c r="N55" s="166">
        <f>N32*$B$105+P32*$B$106+R32*$B$107</f>
        <v>13141796271.436626</v>
      </c>
      <c r="O55" s="166"/>
      <c r="P55" s="166"/>
      <c r="Q55" s="166"/>
      <c r="R55" s="166"/>
      <c r="S55" s="166"/>
      <c r="T55" s="166">
        <f>T32*$B$105+V32*$B$106+X32*$B$107</f>
        <v>1453120.7016277537</v>
      </c>
      <c r="U55" s="166"/>
      <c r="V55" s="166"/>
      <c r="W55" s="166"/>
      <c r="X55" s="166"/>
      <c r="Y55" s="166"/>
      <c r="Z55" s="166">
        <f>Z32*$B$105+AB32*$B$106+AD32*$B$107</f>
        <v>560885710.61794865</v>
      </c>
      <c r="AA55" s="166"/>
      <c r="AB55" s="166"/>
      <c r="AC55" s="166"/>
      <c r="AD55" s="166"/>
      <c r="AE55" s="166"/>
      <c r="AF55" s="166">
        <f ca="1">AF32*$B$105+AH32*$B$106+AJ32*$B$107</f>
        <v>10092226497.237009</v>
      </c>
      <c r="AG55" s="166"/>
      <c r="AH55" s="166"/>
      <c r="AI55" s="166"/>
      <c r="AJ55" s="166"/>
      <c r="AK55" s="166"/>
      <c r="AL55" s="166">
        <f>AL32*$B$105+AN32*$B$106+AP32*$B$107</f>
        <v>5985226238.6514482</v>
      </c>
      <c r="AM55" s="166"/>
      <c r="AN55" s="166"/>
      <c r="AO55" s="166"/>
      <c r="AP55" s="166"/>
      <c r="AQ55" s="166"/>
      <c r="AR55" s="166">
        <f>AR32*$B$105+AT32*$B$106+AV32*$B$107</f>
        <v>7648232219.5299149</v>
      </c>
      <c r="AS55" s="166"/>
      <c r="AT55" s="166"/>
      <c r="AU55" s="166"/>
      <c r="AV55" s="166"/>
      <c r="AW55" s="166"/>
      <c r="AX55" s="166">
        <f>AX32*$B$105+AZ32*$B$106+BB32*$B$107</f>
        <v>12201605448.310112</v>
      </c>
      <c r="AY55" s="166"/>
      <c r="AZ55" s="166"/>
      <c r="BA55" s="166"/>
      <c r="BB55" s="166"/>
      <c r="BC55" s="166"/>
      <c r="BD55" s="166">
        <f>BD32*$B$105+BF32*$B$106+BH32*$B$107</f>
        <v>1494952.212838056</v>
      </c>
      <c r="BE55" s="166"/>
      <c r="BF55" s="166"/>
      <c r="BG55" s="166"/>
      <c r="BH55" s="166"/>
      <c r="BI55" s="166"/>
      <c r="BJ55" s="166">
        <f>BJ32*$B$105+BL32*$B$106+BN32*$B$107</f>
        <v>582701342.68267083</v>
      </c>
      <c r="BK55" s="166"/>
      <c r="BL55" s="166"/>
      <c r="BM55" s="166"/>
      <c r="BN55" s="166"/>
      <c r="BO55" s="166"/>
      <c r="BP55" s="166">
        <f ca="1">BP32*$B$105+BR32*$B$106+BT32*$B$107</f>
        <v>11174199893.667429</v>
      </c>
      <c r="BQ55" s="166"/>
      <c r="BR55" s="166"/>
      <c r="BS55" s="166"/>
      <c r="BT55" s="166"/>
      <c r="BU55" s="166"/>
      <c r="BV55" s="166">
        <f>BV32*$B$105+BX32*$B$106+BZ32*$B$107</f>
        <v>5394155743.3666172</v>
      </c>
      <c r="BW55" s="166"/>
      <c r="BX55" s="166"/>
      <c r="BY55" s="166"/>
      <c r="BZ55" s="166"/>
      <c r="CA55" s="166"/>
      <c r="CB55" s="166">
        <f>CB32*$B$105+CD32*$B$106+CF32*$B$107</f>
        <v>7700188701.4141731</v>
      </c>
      <c r="CC55" s="166"/>
      <c r="CD55" s="166"/>
      <c r="CE55" s="166"/>
      <c r="CF55" s="166"/>
      <c r="CG55" s="166"/>
      <c r="CH55" s="166">
        <f>CH32*$B$105+CJ32*$B$106+CL32*$B$107</f>
        <v>11714629019.636259</v>
      </c>
      <c r="CI55" s="166"/>
      <c r="CJ55" s="166"/>
      <c r="CK55" s="166"/>
      <c r="CL55" s="166"/>
      <c r="CM55" s="166"/>
      <c r="CN55" s="166">
        <f ca="1">CN32*$B$105+CP32*$B$106+CR32*$B$107</f>
        <v>1442109.8937905526</v>
      </c>
      <c r="CO55" s="166"/>
      <c r="CP55" s="166"/>
      <c r="CQ55" s="166"/>
      <c r="CR55" s="166"/>
      <c r="CS55" s="166"/>
      <c r="CT55" s="166">
        <f>CT32*$B$105+CV32*$B$106+CX32*$B$107</f>
        <v>521924714.77153695</v>
      </c>
      <c r="CU55" s="166"/>
      <c r="CV55" s="166"/>
      <c r="CW55" s="166"/>
      <c r="CX55" s="166"/>
      <c r="CY55" s="166"/>
      <c r="CZ55" s="166">
        <f ca="1">CZ32*$B$105+DB32*$B$106+DD32*$B$107</f>
        <v>11065696563.022535</v>
      </c>
      <c r="DA55" s="166"/>
      <c r="DB55" s="166"/>
      <c r="DC55" s="166"/>
      <c r="DD55" s="166"/>
      <c r="DE55" s="166"/>
      <c r="DF55" s="166">
        <f ca="1">DF32*$B$105+DH32*$B$106+DJ32*$B$107</f>
        <v>6294459413.1425314</v>
      </c>
      <c r="DG55" s="166"/>
      <c r="DH55" s="166"/>
      <c r="DI55" s="166"/>
      <c r="DJ55" s="166"/>
      <c r="DK55" s="166"/>
      <c r="DL55" s="166">
        <f ca="1">DL32*$B$105+DN32*$B$106+DP32*$B$107</f>
        <v>8272928154.095665</v>
      </c>
      <c r="DM55" s="166"/>
      <c r="DN55" s="166"/>
      <c r="DO55" s="166"/>
      <c r="DP55" s="166"/>
      <c r="DQ55" s="166"/>
      <c r="DR55" s="166">
        <f ca="1">DR32*$B$105+DT32*$B$106+DV32*$B$107</f>
        <v>16189720455.907124</v>
      </c>
      <c r="DS55" s="166"/>
      <c r="DT55" s="166"/>
      <c r="DU55" s="166"/>
      <c r="DV55" s="166"/>
      <c r="DW55" s="166"/>
      <c r="DX55" s="166">
        <f ca="1">DX32*$B$105+DZ32*$B$106+EB32*$B$107</f>
        <v>1993708.2290738088</v>
      </c>
      <c r="DY55" s="166"/>
      <c r="DZ55" s="166"/>
      <c r="EA55" s="166"/>
      <c r="EB55" s="166"/>
      <c r="EC55" s="166"/>
      <c r="ED55" s="166">
        <f ca="1">ED32*$B$105+EF32*$B$106+EH32*$B$107</f>
        <v>604862894.78047776</v>
      </c>
      <c r="EE55" s="166"/>
      <c r="EF55" s="166"/>
      <c r="EG55" s="166"/>
      <c r="EH55" s="166"/>
      <c r="EI55" s="166"/>
      <c r="EJ55" s="166">
        <f ca="1">EJ32*$B$105+EL32*$B$106+EN32*$B$107</f>
        <v>11441972153.389002</v>
      </c>
      <c r="EK55" s="166"/>
      <c r="EL55" s="166"/>
      <c r="EM55" s="166"/>
      <c r="EN55" s="166"/>
      <c r="EO55" s="166"/>
    </row>
    <row r="56" spans="1:145" x14ac:dyDescent="0.25">
      <c r="A56" s="17" t="s">
        <v>46</v>
      </c>
      <c r="B56" s="166"/>
      <c r="C56" s="166"/>
      <c r="D56" s="166"/>
      <c r="E56" s="166"/>
      <c r="F56" s="166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6"/>
      <c r="CO56" s="166"/>
      <c r="CP56" s="166"/>
      <c r="CQ56" s="166"/>
      <c r="CR56" s="166"/>
      <c r="CS56" s="166"/>
      <c r="CT56" s="166"/>
      <c r="CU56" s="166"/>
      <c r="CV56" s="166"/>
      <c r="CW56" s="166"/>
      <c r="CX56" s="166"/>
      <c r="CY56" s="166"/>
      <c r="CZ56" s="166"/>
      <c r="DA56" s="166"/>
      <c r="DB56" s="166"/>
      <c r="DC56" s="166"/>
      <c r="DD56" s="166"/>
      <c r="DE56" s="166"/>
      <c r="DF56" s="166"/>
      <c r="DG56" s="166"/>
      <c r="DH56" s="166"/>
      <c r="DI56" s="166"/>
      <c r="DJ56" s="166"/>
      <c r="DK56" s="166"/>
      <c r="DL56" s="166"/>
      <c r="DM56" s="166"/>
      <c r="DN56" s="166"/>
      <c r="DO56" s="166"/>
      <c r="DP56" s="166"/>
      <c r="DQ56" s="166"/>
      <c r="DR56" s="166"/>
      <c r="DS56" s="166"/>
      <c r="DT56" s="166"/>
      <c r="DU56" s="166"/>
      <c r="DV56" s="166"/>
      <c r="DW56" s="166"/>
      <c r="DX56" s="166"/>
      <c r="DY56" s="166"/>
      <c r="DZ56" s="166"/>
      <c r="EA56" s="166"/>
      <c r="EB56" s="166"/>
      <c r="EC56" s="166"/>
      <c r="ED56" s="166"/>
      <c r="EE56" s="166"/>
      <c r="EF56" s="166"/>
      <c r="EG56" s="166"/>
      <c r="EH56" s="166"/>
      <c r="EI56" s="166"/>
      <c r="EJ56" s="166"/>
      <c r="EK56" s="166"/>
      <c r="EL56" s="166"/>
      <c r="EM56" s="166"/>
      <c r="EN56" s="166"/>
      <c r="EO56" s="166"/>
    </row>
    <row r="57" spans="1:145" x14ac:dyDescent="0.25">
      <c r="A57" s="15" t="s">
        <v>47</v>
      </c>
      <c r="B57" s="166">
        <f>B35*$B$105+D35*$B$106+F35*$B$107</f>
        <v>32456.316716957132</v>
      </c>
      <c r="C57" s="166"/>
      <c r="D57" s="166"/>
      <c r="E57" s="166"/>
      <c r="F57" s="166"/>
      <c r="G57" s="166"/>
      <c r="H57" s="166">
        <f>H35*$B$105+J35*$B$106+L35*$B$107</f>
        <v>35347.378348197053</v>
      </c>
      <c r="I57" s="166"/>
      <c r="J57" s="166"/>
      <c r="K57" s="166"/>
      <c r="L57" s="166"/>
      <c r="M57" s="166"/>
      <c r="N57" s="166">
        <f>N35*$B$105+P35*$B$106+R35*$B$107</f>
        <v>45478.314902622849</v>
      </c>
      <c r="O57" s="166"/>
      <c r="P57" s="166"/>
      <c r="Q57" s="166"/>
      <c r="R57" s="166"/>
      <c r="S57" s="166"/>
      <c r="T57" s="166">
        <f>T35*$B$105+V35*$B$106+X35*$B$107</f>
        <v>1349.1569132273401</v>
      </c>
      <c r="U57" s="166"/>
      <c r="V57" s="166"/>
      <c r="W57" s="166"/>
      <c r="X57" s="166"/>
      <c r="Y57" s="166"/>
      <c r="Z57" s="166">
        <f>Z35*$B$105+AB35*$B$106+AD35*$B$107</f>
        <v>12272.616234089286</v>
      </c>
      <c r="AA57" s="166"/>
      <c r="AB57" s="166"/>
      <c r="AC57" s="166"/>
      <c r="AD57" s="166"/>
      <c r="AE57" s="166"/>
      <c r="AF57" s="166">
        <f ca="1">AF35*$B$105+AH35*$B$106+AJ35*$B$107</f>
        <v>40811.395273821669</v>
      </c>
      <c r="AG57" s="166"/>
      <c r="AH57" s="166"/>
      <c r="AI57" s="166"/>
      <c r="AJ57" s="166"/>
      <c r="AK57" s="166"/>
      <c r="AL57" s="166">
        <f>AL35*$B$105+AN35*$B$106+AP35*$B$107</f>
        <v>33404.769672711569</v>
      </c>
      <c r="AM57" s="166"/>
      <c r="AN57" s="166"/>
      <c r="AO57" s="166"/>
      <c r="AP57" s="166"/>
      <c r="AQ57" s="166"/>
      <c r="AR57" s="166">
        <f>AR35*$B$105+AT35*$B$106+AV35*$B$107</f>
        <v>36284.115256316763</v>
      </c>
      <c r="AS57" s="166"/>
      <c r="AT57" s="166"/>
      <c r="AU57" s="166"/>
      <c r="AV57" s="166"/>
      <c r="AW57" s="166"/>
      <c r="AX57" s="166">
        <f>AX35*$B$105+AZ35*$B$106+BB35*$B$107</f>
        <v>44287.674928387416</v>
      </c>
      <c r="AY57" s="166"/>
      <c r="AZ57" s="166"/>
      <c r="BA57" s="166"/>
      <c r="BB57" s="166"/>
      <c r="BC57" s="166"/>
      <c r="BD57" s="166">
        <f>BD35*$B$105+BF35*$B$106+BH35*$B$107</f>
        <v>1358.6312131864818</v>
      </c>
      <c r="BE57" s="166"/>
      <c r="BF57" s="166"/>
      <c r="BG57" s="166"/>
      <c r="BH57" s="166"/>
      <c r="BI57" s="166"/>
      <c r="BJ57" s="166">
        <f>BJ35*$B$105+BL35*$B$106+BN35*$B$107</f>
        <v>12503.482688451018</v>
      </c>
      <c r="BK57" s="166"/>
      <c r="BL57" s="166"/>
      <c r="BM57" s="166"/>
      <c r="BN57" s="166"/>
      <c r="BO57" s="166"/>
      <c r="BP57" s="166">
        <f ca="1">BP35*$B$105+BR35*$B$106+BT35*$B$107</f>
        <v>42696.629278780958</v>
      </c>
      <c r="BQ57" s="166"/>
      <c r="BR57" s="166"/>
      <c r="BS57" s="166"/>
      <c r="BT57" s="166"/>
      <c r="BU57" s="166"/>
      <c r="BV57" s="166">
        <f>BV35*$B$105+BX35*$B$106+BZ35*$B$107</f>
        <v>31988.843259794656</v>
      </c>
      <c r="BW57" s="166"/>
      <c r="BX57" s="166"/>
      <c r="BY57" s="166"/>
      <c r="BZ57" s="166"/>
      <c r="CA57" s="166"/>
      <c r="CB57" s="166">
        <f>CB35*$B$105+CD35*$B$106+CF35*$B$107</f>
        <v>35996.671707852089</v>
      </c>
      <c r="CC57" s="166"/>
      <c r="CD57" s="166"/>
      <c r="CE57" s="166"/>
      <c r="CF57" s="166"/>
      <c r="CG57" s="166"/>
      <c r="CH57" s="166">
        <f>CH35*$B$105+CJ35*$B$106+CL35*$B$107</f>
        <v>43603.189892629198</v>
      </c>
      <c r="CI57" s="166"/>
      <c r="CJ57" s="166"/>
      <c r="CK57" s="166"/>
      <c r="CL57" s="166"/>
      <c r="CM57" s="166"/>
      <c r="CN57" s="166">
        <f ca="1">CN35*$B$105+CP35*$B$106+CR35*$B$107</f>
        <v>1352.154960989222</v>
      </c>
      <c r="CO57" s="166"/>
      <c r="CP57" s="166"/>
      <c r="CQ57" s="166"/>
      <c r="CR57" s="166"/>
      <c r="CS57" s="166"/>
      <c r="CT57" s="166">
        <f>CT35*$B$105+CV35*$B$106+CX35*$B$107</f>
        <v>11843.270245633496</v>
      </c>
      <c r="CU57" s="166"/>
      <c r="CV57" s="166"/>
      <c r="CW57" s="166"/>
      <c r="CX57" s="166"/>
      <c r="CY57" s="166"/>
      <c r="CZ57" s="166">
        <f ca="1">CZ35*$B$105+DB35*$B$106+DD35*$B$107</f>
        <v>42046.848170508471</v>
      </c>
      <c r="DA57" s="166"/>
      <c r="DB57" s="166"/>
      <c r="DC57" s="166"/>
      <c r="DD57" s="166"/>
      <c r="DE57" s="166"/>
      <c r="DF57" s="166">
        <f ca="1">DF35*$B$105+DH35*$B$106+DJ35*$B$107</f>
        <v>34584.004115569813</v>
      </c>
      <c r="DG57" s="166"/>
      <c r="DH57" s="166"/>
      <c r="DI57" s="166"/>
      <c r="DJ57" s="166"/>
      <c r="DK57" s="166"/>
      <c r="DL57" s="166">
        <f ca="1">DL35*$B$105+DN35*$B$106+DP35*$B$107</f>
        <v>37929.526461760797</v>
      </c>
      <c r="DM57" s="166"/>
      <c r="DN57" s="166"/>
      <c r="DO57" s="166"/>
      <c r="DP57" s="166"/>
      <c r="DQ57" s="166"/>
      <c r="DR57" s="166">
        <f ca="1">DR35*$B$105+DT35*$B$106+DV35*$B$107</f>
        <v>50256.990361610704</v>
      </c>
      <c r="DS57" s="166"/>
      <c r="DT57" s="166"/>
      <c r="DU57" s="166"/>
      <c r="DV57" s="166"/>
      <c r="DW57" s="166"/>
      <c r="DX57" s="166">
        <f ca="1">DX35*$B$105+DZ35*$B$106+EB35*$B$107</f>
        <v>1518.3828053788407</v>
      </c>
      <c r="DY57" s="166"/>
      <c r="DZ57" s="166"/>
      <c r="EA57" s="166"/>
      <c r="EB57" s="166"/>
      <c r="EC57" s="166"/>
      <c r="ED57" s="166">
        <f ca="1">ED35*$B$105+EF35*$B$106+EH35*$B$107</f>
        <v>12527.114516149821</v>
      </c>
      <c r="EE57" s="166"/>
      <c r="EF57" s="166"/>
      <c r="EG57" s="166"/>
      <c r="EH57" s="166"/>
      <c r="EI57" s="166"/>
      <c r="EJ57" s="166">
        <f ca="1">EJ35*$B$105+EL35*$B$106+EN35*$B$107</f>
        <v>43683.416330022759</v>
      </c>
      <c r="EK57" s="166"/>
      <c r="EL57" s="166"/>
      <c r="EM57" s="166"/>
      <c r="EN57" s="166"/>
      <c r="EO57" s="166"/>
    </row>
    <row r="58" spans="1:145" x14ac:dyDescent="0.25">
      <c r="A58" s="17" t="s">
        <v>112</v>
      </c>
      <c r="B58" s="166"/>
      <c r="C58" s="166"/>
      <c r="D58" s="166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  <c r="AP58" s="166"/>
      <c r="AQ58" s="166"/>
      <c r="AR58" s="166"/>
      <c r="AS58" s="166"/>
      <c r="AT58" s="166"/>
      <c r="AU58" s="166"/>
      <c r="AV58" s="166"/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6"/>
      <c r="CO58" s="166"/>
      <c r="CP58" s="166"/>
      <c r="CQ58" s="166"/>
      <c r="CR58" s="166"/>
      <c r="CS58" s="166"/>
      <c r="CT58" s="166"/>
      <c r="CU58" s="166"/>
      <c r="CV58" s="166"/>
      <c r="CW58" s="166"/>
      <c r="CX58" s="166"/>
      <c r="CY58" s="166"/>
      <c r="CZ58" s="166"/>
      <c r="DA58" s="166"/>
      <c r="DB58" s="166"/>
      <c r="DC58" s="166"/>
      <c r="DD58" s="166"/>
      <c r="DE58" s="166"/>
      <c r="DF58" s="166"/>
      <c r="DG58" s="166"/>
      <c r="DH58" s="166"/>
      <c r="DI58" s="166"/>
      <c r="DJ58" s="166"/>
      <c r="DK58" s="166"/>
      <c r="DL58" s="166"/>
      <c r="DM58" s="166"/>
      <c r="DN58" s="166"/>
      <c r="DO58" s="166"/>
      <c r="DP58" s="166"/>
      <c r="DQ58" s="166"/>
      <c r="DR58" s="166"/>
      <c r="DS58" s="166"/>
      <c r="DT58" s="166"/>
      <c r="DU58" s="166"/>
      <c r="DV58" s="166"/>
      <c r="DW58" s="166"/>
      <c r="DX58" s="166"/>
      <c r="DY58" s="166"/>
      <c r="DZ58" s="166"/>
      <c r="EA58" s="166"/>
      <c r="EB58" s="166"/>
      <c r="EC58" s="166"/>
      <c r="ED58" s="166"/>
      <c r="EE58" s="166"/>
      <c r="EF58" s="166"/>
      <c r="EG58" s="166"/>
      <c r="EH58" s="166"/>
      <c r="EI58" s="166"/>
      <c r="EJ58" s="166"/>
      <c r="EK58" s="166"/>
      <c r="EL58" s="166"/>
      <c r="EM58" s="166"/>
      <c r="EN58" s="166"/>
      <c r="EO58" s="166"/>
    </row>
    <row r="59" spans="1:145" x14ac:dyDescent="0.25">
      <c r="A59" s="15" t="s">
        <v>40</v>
      </c>
      <c r="B59" s="166">
        <f>B38*$B$105+D38*$B$106+F38*$B$107</f>
        <v>40441123279.400894</v>
      </c>
      <c r="C59" s="166"/>
      <c r="D59" s="166"/>
      <c r="E59" s="166"/>
      <c r="F59" s="166"/>
      <c r="G59" s="166"/>
      <c r="H59" s="166">
        <f>H38*$B$105+J38*$B$106+L38*$B$107</f>
        <v>58761040403.164589</v>
      </c>
      <c r="I59" s="166"/>
      <c r="J59" s="166"/>
      <c r="K59" s="166"/>
      <c r="L59" s="166"/>
      <c r="M59" s="166"/>
      <c r="N59" s="166">
        <f>N38*$B$105+P38*$B$106+R38*$B$107</f>
        <v>1341701585385.2466</v>
      </c>
      <c r="O59" s="166"/>
      <c r="P59" s="166"/>
      <c r="Q59" s="166"/>
      <c r="R59" s="166"/>
      <c r="S59" s="166"/>
      <c r="T59" s="166">
        <f>T38*$B$105+V38*$B$106+X38*$B$107</f>
        <v>1529.0537753998942</v>
      </c>
      <c r="U59" s="166"/>
      <c r="V59" s="166"/>
      <c r="W59" s="166"/>
      <c r="X59" s="166"/>
      <c r="Y59" s="166"/>
      <c r="Z59" s="166">
        <f>Z38*$B$105+AB38*$B$106+AD38*$B$107</f>
        <v>3522726.3165648901</v>
      </c>
      <c r="AA59" s="166"/>
      <c r="AB59" s="166"/>
      <c r="AC59" s="166"/>
      <c r="AD59" s="166"/>
      <c r="AE59" s="166"/>
      <c r="AF59" s="166">
        <f ca="1">AF38*$B$105+AH38*$B$106+AJ38*$B$107</f>
        <v>355261154839.91663</v>
      </c>
      <c r="AG59" s="166"/>
      <c r="AH59" s="166"/>
      <c r="AI59" s="166"/>
      <c r="AJ59" s="166"/>
      <c r="AK59" s="166"/>
      <c r="AL59" s="166">
        <f>AL38*$B$105+AN38*$B$106+AP38*$B$107</f>
        <v>100916604407.03226</v>
      </c>
      <c r="AM59" s="166"/>
      <c r="AN59" s="166"/>
      <c r="AO59" s="166"/>
      <c r="AP59" s="166"/>
      <c r="AQ59" s="166"/>
      <c r="AR59" s="166">
        <f>AR38*$B$105+AT38*$B$106+AV38*$B$107</f>
        <v>97638389337.049698</v>
      </c>
      <c r="AS59" s="166"/>
      <c r="AT59" s="166"/>
      <c r="AU59" s="166"/>
      <c r="AV59" s="166"/>
      <c r="AW59" s="166"/>
      <c r="AX59" s="166">
        <f>AX38*$B$105+AZ38*$B$106+BB38*$B$107</f>
        <v>1121520856712.5986</v>
      </c>
      <c r="AY59" s="166"/>
      <c r="AZ59" s="166"/>
      <c r="BA59" s="166"/>
      <c r="BB59" s="166"/>
      <c r="BC59" s="166"/>
      <c r="BD59" s="166">
        <f>BD38*$B$105+BF38*$B$106+BH38*$B$107</f>
        <v>1484.5021383078392</v>
      </c>
      <c r="BE59" s="166"/>
      <c r="BF59" s="166"/>
      <c r="BG59" s="166"/>
      <c r="BH59" s="166"/>
      <c r="BI59" s="166"/>
      <c r="BJ59" s="166">
        <f>BJ38*$B$105+BL38*$B$106+BN38*$B$107</f>
        <v>4766749.1950175064</v>
      </c>
      <c r="BK59" s="166"/>
      <c r="BL59" s="166"/>
      <c r="BM59" s="166"/>
      <c r="BN59" s="166"/>
      <c r="BO59" s="166"/>
      <c r="BP59" s="166">
        <f ca="1">BP38*$B$105+BR38*$B$106+BT38*$B$107</f>
        <v>961176523873.37183</v>
      </c>
      <c r="BQ59" s="166"/>
      <c r="BR59" s="166"/>
      <c r="BS59" s="166"/>
      <c r="BT59" s="166"/>
      <c r="BU59" s="166"/>
      <c r="BV59" s="166">
        <f>BV38*$B$105+BX38*$B$106+BZ38*$B$107</f>
        <v>49663488781.076942</v>
      </c>
      <c r="BW59" s="166"/>
      <c r="BX59" s="166"/>
      <c r="BY59" s="166"/>
      <c r="BZ59" s="166"/>
      <c r="CA59" s="166"/>
      <c r="CB59" s="166">
        <f>CB38*$B$105+CD38*$B$106+CF38*$B$107</f>
        <v>58562448976.956902</v>
      </c>
      <c r="CC59" s="166"/>
      <c r="CD59" s="166"/>
      <c r="CE59" s="166"/>
      <c r="CF59" s="166"/>
      <c r="CG59" s="166"/>
      <c r="CH59" s="166">
        <f>CH38*$B$105+CJ38*$B$106+CL38*$B$107</f>
        <v>810602801912.12524</v>
      </c>
      <c r="CI59" s="166"/>
      <c r="CJ59" s="166"/>
      <c r="CK59" s="166"/>
      <c r="CL59" s="166"/>
      <c r="CM59" s="166"/>
      <c r="CN59" s="166">
        <f ca="1">CN38*$B$105+CP38*$B$106+CR38*$B$107</f>
        <v>1559.6546987160566</v>
      </c>
      <c r="CO59" s="166"/>
      <c r="CP59" s="166"/>
      <c r="CQ59" s="166"/>
      <c r="CR59" s="166"/>
      <c r="CS59" s="166"/>
      <c r="CT59" s="166">
        <f>CT38*$B$105+CV38*$B$106+CX38*$B$107</f>
        <v>2386180.9818985495</v>
      </c>
      <c r="CU59" s="166"/>
      <c r="CV59" s="166"/>
      <c r="CW59" s="166"/>
      <c r="CX59" s="166"/>
      <c r="CY59" s="166"/>
      <c r="CZ59" s="166">
        <f ca="1">CZ38*$B$105+DB38*$B$106+DD38*$B$107</f>
        <v>454983677368.80408</v>
      </c>
      <c r="DA59" s="166"/>
      <c r="DB59" s="166"/>
      <c r="DC59" s="166"/>
      <c r="DD59" s="166"/>
      <c r="DE59" s="166"/>
      <c r="DF59" s="166">
        <f ca="1">DF38*$B$105+DH38*$B$106+DJ38*$B$107</f>
        <v>157167537954.3558</v>
      </c>
      <c r="DG59" s="166"/>
      <c r="DH59" s="166"/>
      <c r="DI59" s="166"/>
      <c r="DJ59" s="166"/>
      <c r="DK59" s="166"/>
      <c r="DL59" s="166">
        <f ca="1">DL38*$B$105+DN38*$B$106+DP38*$B$107</f>
        <v>173720201292.6904</v>
      </c>
      <c r="DM59" s="166"/>
      <c r="DN59" s="166"/>
      <c r="DO59" s="166"/>
      <c r="DP59" s="166"/>
      <c r="DQ59" s="166"/>
      <c r="DR59" s="166">
        <f ca="1">DR38*$B$105+DT38*$B$106+DV38*$B$107</f>
        <v>7208869485600.5205</v>
      </c>
      <c r="DS59" s="166"/>
      <c r="DT59" s="166"/>
      <c r="DU59" s="166"/>
      <c r="DV59" s="166"/>
      <c r="DW59" s="166"/>
      <c r="DX59" s="166">
        <f ca="1">DX38*$B$105+DZ38*$B$106+EB38*$B$107</f>
        <v>1997.0317687176571</v>
      </c>
      <c r="DY59" s="166"/>
      <c r="DZ59" s="166"/>
      <c r="EA59" s="166"/>
      <c r="EB59" s="166"/>
      <c r="EC59" s="166"/>
      <c r="ED59" s="166">
        <f ca="1">ED38*$B$105+EF38*$B$106+EH38*$B$107</f>
        <v>2748316.3565897224</v>
      </c>
      <c r="EE59" s="166"/>
      <c r="EF59" s="166"/>
      <c r="EG59" s="166"/>
      <c r="EH59" s="166"/>
      <c r="EI59" s="166"/>
      <c r="EJ59" s="166">
        <f ca="1">EJ38*$B$105+EL38*$B$106+EN38*$B$107</f>
        <v>1355917703693.5974</v>
      </c>
      <c r="EK59" s="166"/>
      <c r="EL59" s="166"/>
      <c r="EM59" s="166"/>
      <c r="EN59" s="166"/>
      <c r="EO59" s="166"/>
    </row>
    <row r="60" spans="1:145" x14ac:dyDescent="0.25">
      <c r="A60" s="17" t="s">
        <v>41</v>
      </c>
      <c r="B60" s="166"/>
      <c r="C60" s="166"/>
      <c r="D60" s="166"/>
      <c r="E60" s="166"/>
      <c r="F60" s="166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  <c r="AP60" s="166"/>
      <c r="AQ60" s="166"/>
      <c r="AR60" s="166"/>
      <c r="AS60" s="166"/>
      <c r="AT60" s="166"/>
      <c r="AU60" s="166"/>
      <c r="AV60" s="16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6"/>
      <c r="CO60" s="166"/>
      <c r="CP60" s="166"/>
      <c r="CQ60" s="166"/>
      <c r="CR60" s="166"/>
      <c r="CS60" s="166"/>
      <c r="CT60" s="166"/>
      <c r="CU60" s="166"/>
      <c r="CV60" s="166"/>
      <c r="CW60" s="166"/>
      <c r="CX60" s="166"/>
      <c r="CY60" s="166"/>
      <c r="CZ60" s="166"/>
      <c r="DA60" s="166"/>
      <c r="DB60" s="166"/>
      <c r="DC60" s="166"/>
      <c r="DD60" s="166"/>
      <c r="DE60" s="166"/>
      <c r="DF60" s="166"/>
      <c r="DG60" s="166"/>
      <c r="DH60" s="166"/>
      <c r="DI60" s="166"/>
      <c r="DJ60" s="166"/>
      <c r="DK60" s="166"/>
      <c r="DL60" s="166"/>
      <c r="DM60" s="166"/>
      <c r="DN60" s="166"/>
      <c r="DO60" s="166"/>
      <c r="DP60" s="166"/>
      <c r="DQ60" s="166"/>
      <c r="DR60" s="166"/>
      <c r="DS60" s="166"/>
      <c r="DT60" s="166"/>
      <c r="DU60" s="166"/>
      <c r="DV60" s="166"/>
      <c r="DW60" s="166"/>
      <c r="DX60" s="166"/>
      <c r="DY60" s="166"/>
      <c r="DZ60" s="166"/>
      <c r="EA60" s="166"/>
      <c r="EB60" s="166"/>
      <c r="EC60" s="166"/>
      <c r="ED60" s="166"/>
      <c r="EE60" s="166"/>
      <c r="EF60" s="166"/>
      <c r="EG60" s="166"/>
      <c r="EH60" s="166"/>
      <c r="EI60" s="166"/>
      <c r="EJ60" s="166"/>
      <c r="EK60" s="166"/>
      <c r="EL60" s="166"/>
      <c r="EM60" s="166"/>
      <c r="EN60" s="166"/>
      <c r="EO60" s="166"/>
    </row>
    <row r="61" spans="1:145" x14ac:dyDescent="0.25">
      <c r="A61" s="14" t="s">
        <v>42</v>
      </c>
      <c r="B61" s="166">
        <f>B42*$B$105+D42*$B$106+F42*$B$107</f>
        <v>5740678550.7799959</v>
      </c>
      <c r="C61" s="166"/>
      <c r="D61" s="166"/>
      <c r="E61" s="166"/>
      <c r="F61" s="166"/>
      <c r="G61" s="166"/>
      <c r="H61" s="166">
        <f>H42*$B$105+J42*$B$106+L42*$B$107</f>
        <v>7241738405.5238991</v>
      </c>
      <c r="I61" s="166"/>
      <c r="J61" s="166"/>
      <c r="K61" s="166"/>
      <c r="L61" s="166"/>
      <c r="M61" s="166"/>
      <c r="N61" s="166">
        <f>N42*$B$105+P42*$B$106+R42*$B$107</f>
        <v>13141804368.016895</v>
      </c>
      <c r="O61" s="166"/>
      <c r="P61" s="166"/>
      <c r="Q61" s="166"/>
      <c r="R61" s="166"/>
      <c r="S61" s="166"/>
      <c r="T61" s="166">
        <f>T42*$B$105+V42*$B$106+X42*$B$107</f>
        <v>1453135.9294024021</v>
      </c>
      <c r="U61" s="166"/>
      <c r="V61" s="166"/>
      <c r="W61" s="166"/>
      <c r="X61" s="166"/>
      <c r="Y61" s="166"/>
      <c r="Z61" s="166">
        <f>Z42*$B$105+AB42*$B$106+AD42*$B$107</f>
        <v>560887469.87367511</v>
      </c>
      <c r="AA61" s="166"/>
      <c r="AB61" s="166"/>
      <c r="AC61" s="166"/>
      <c r="AD61" s="166"/>
      <c r="AE61" s="166"/>
      <c r="AF61" s="166">
        <f ca="1">AF42*$B$105+AH42*$B$106+AJ42*$B$107</f>
        <v>10092235262.82711</v>
      </c>
      <c r="AG61" s="166"/>
      <c r="AH61" s="166"/>
      <c r="AI61" s="166"/>
      <c r="AJ61" s="166"/>
      <c r="AK61" s="166"/>
      <c r="AL61" s="166">
        <f>AL42*$B$105+AN42*$B$106+AP42*$B$107</f>
        <v>5985256061.0061016</v>
      </c>
      <c r="AM61" s="166"/>
      <c r="AN61" s="166"/>
      <c r="AO61" s="166"/>
      <c r="AP61" s="166"/>
      <c r="AQ61" s="166"/>
      <c r="AR61" s="166">
        <f>AR42*$B$105+AT42*$B$106+AV42*$B$107</f>
        <v>7648239463.6193523</v>
      </c>
      <c r="AS61" s="166"/>
      <c r="AT61" s="166"/>
      <c r="AU61" s="166"/>
      <c r="AV61" s="166"/>
      <c r="AW61" s="166"/>
      <c r="AX61" s="166">
        <f>AX42*$B$105+AZ42*$B$106+BB42*$B$107</f>
        <v>12201612078.070065</v>
      </c>
      <c r="AY61" s="166"/>
      <c r="AZ61" s="166"/>
      <c r="BA61" s="166"/>
      <c r="BB61" s="166"/>
      <c r="BC61" s="166"/>
      <c r="BD61" s="166">
        <f>BD42*$B$105+BF42*$B$106+BH42*$B$107</f>
        <v>1495011.0723048444</v>
      </c>
      <c r="BE61" s="166"/>
      <c r="BF61" s="166"/>
      <c r="BG61" s="166"/>
      <c r="BH61" s="166"/>
      <c r="BI61" s="166"/>
      <c r="BJ61" s="166">
        <f>BJ42*$B$105+BL42*$B$106+BN42*$B$107</f>
        <v>582703188.6891681</v>
      </c>
      <c r="BK61" s="166"/>
      <c r="BL61" s="166"/>
      <c r="BM61" s="166"/>
      <c r="BN61" s="166"/>
      <c r="BO61" s="166"/>
      <c r="BP61" s="166">
        <f ca="1">BP42*$B$105+BR42*$B$106+BT42*$B$107</f>
        <v>11174209095.498537</v>
      </c>
      <c r="BQ61" s="166"/>
      <c r="BR61" s="166"/>
      <c r="BS61" s="166"/>
      <c r="BT61" s="166"/>
      <c r="BU61" s="166"/>
      <c r="BV61" s="166">
        <f>BV42*$B$105+BX42*$B$106+BZ42*$B$107</f>
        <v>5394187739.8185701</v>
      </c>
      <c r="BW61" s="166"/>
      <c r="BX61" s="166"/>
      <c r="BY61" s="166"/>
      <c r="BZ61" s="166"/>
      <c r="CA61" s="166"/>
      <c r="CB61" s="166">
        <f>CB42*$B$105+CD42*$B$106+CF42*$B$107</f>
        <v>7700196268.9500933</v>
      </c>
      <c r="CC61" s="166"/>
      <c r="CD61" s="166"/>
      <c r="CE61" s="166"/>
      <c r="CF61" s="166"/>
      <c r="CG61" s="166"/>
      <c r="CH61" s="166">
        <f>CH42*$B$105+CJ42*$B$106+CL42*$B$107</f>
        <v>11714634589.552521</v>
      </c>
      <c r="CI61" s="166"/>
      <c r="CJ61" s="166"/>
      <c r="CK61" s="166"/>
      <c r="CL61" s="166"/>
      <c r="CM61" s="166"/>
      <c r="CN61" s="166">
        <f ca="1">CN42*$B$105+CP42*$B$106+CR42*$B$107</f>
        <v>1442156.3247436672</v>
      </c>
      <c r="CO61" s="166"/>
      <c r="CP61" s="166"/>
      <c r="CQ61" s="166"/>
      <c r="CR61" s="166"/>
      <c r="CS61" s="166"/>
      <c r="CT61" s="166">
        <f>CT42*$B$105+CV42*$B$106+CX42*$B$107</f>
        <v>521926690.69998354</v>
      </c>
      <c r="CU61" s="166"/>
      <c r="CV61" s="166"/>
      <c r="CW61" s="166"/>
      <c r="CX61" s="166"/>
      <c r="CY61" s="166"/>
      <c r="CZ61" s="166">
        <f ca="1">CZ42*$B$105+DB42*$B$106+DD42*$B$107</f>
        <v>11065706150.634501</v>
      </c>
      <c r="DA61" s="166"/>
      <c r="DB61" s="166"/>
      <c r="DC61" s="166"/>
      <c r="DD61" s="166"/>
      <c r="DE61" s="166"/>
      <c r="DF61" s="166">
        <f ca="1">DF42*$B$105+DH42*$B$106+DJ42*$B$107</f>
        <v>6294495998.0504866</v>
      </c>
      <c r="DG61" s="166"/>
      <c r="DH61" s="166"/>
      <c r="DI61" s="166"/>
      <c r="DJ61" s="166"/>
      <c r="DK61" s="166"/>
      <c r="DL61" s="166">
        <f ca="1">DL42*$B$105+DN42*$B$106+DP42*$B$107</f>
        <v>8272937367.7896366</v>
      </c>
      <c r="DM61" s="166"/>
      <c r="DN61" s="166"/>
      <c r="DO61" s="166"/>
      <c r="DP61" s="166"/>
      <c r="DQ61" s="166"/>
      <c r="DR61" s="166">
        <f ca="1">DR42*$B$105+DT42*$B$106+DV42*$B$107</f>
        <v>16189727332.947021</v>
      </c>
      <c r="DS61" s="166"/>
      <c r="DT61" s="166"/>
      <c r="DU61" s="166"/>
      <c r="DV61" s="166"/>
      <c r="DW61" s="166"/>
      <c r="DX61" s="166">
        <f ca="1">DX42*$B$105+DZ42*$B$106+EB42*$B$107</f>
        <v>1993765.632151383</v>
      </c>
      <c r="DY61" s="166"/>
      <c r="DZ61" s="166"/>
      <c r="EA61" s="166"/>
      <c r="EB61" s="166"/>
      <c r="EC61" s="166"/>
      <c r="ED61" s="166">
        <f ca="1">ED42*$B$105+EF42*$B$106+EH42*$B$107</f>
        <v>604865159.64048886</v>
      </c>
      <c r="EE61" s="166"/>
      <c r="EF61" s="166"/>
      <c r="EG61" s="166"/>
      <c r="EH61" s="166"/>
      <c r="EI61" s="166"/>
      <c r="EJ61" s="166">
        <f ca="1">EJ42*$B$105+EL42*$B$106+EN42*$B$107</f>
        <v>11441983528.57217</v>
      </c>
      <c r="EK61" s="166"/>
      <c r="EL61" s="166"/>
      <c r="EM61" s="166"/>
      <c r="EN61" s="166"/>
      <c r="EO61" s="166"/>
    </row>
    <row r="62" spans="1:145" x14ac:dyDescent="0.25">
      <c r="A62" s="16" t="s">
        <v>36</v>
      </c>
      <c r="B62" s="166"/>
      <c r="C62" s="166"/>
      <c r="D62" s="166"/>
      <c r="E62" s="166"/>
      <c r="F62" s="166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  <c r="AP62" s="166"/>
      <c r="AQ62" s="166"/>
      <c r="AR62" s="166"/>
      <c r="AS62" s="166"/>
      <c r="AT62" s="166"/>
      <c r="AU62" s="166"/>
      <c r="AV62" s="16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6"/>
      <c r="CO62" s="166"/>
      <c r="CP62" s="166"/>
      <c r="CQ62" s="166"/>
      <c r="CR62" s="166"/>
      <c r="CS62" s="166"/>
      <c r="CT62" s="166"/>
      <c r="CU62" s="166"/>
      <c r="CV62" s="166"/>
      <c r="CW62" s="166"/>
      <c r="CX62" s="166"/>
      <c r="CY62" s="166"/>
      <c r="CZ62" s="166"/>
      <c r="DA62" s="166"/>
      <c r="DB62" s="166"/>
      <c r="DC62" s="166"/>
      <c r="DD62" s="166"/>
      <c r="DE62" s="166"/>
      <c r="DF62" s="166"/>
      <c r="DG62" s="166"/>
      <c r="DH62" s="166"/>
      <c r="DI62" s="166"/>
      <c r="DJ62" s="166"/>
      <c r="DK62" s="166"/>
      <c r="DL62" s="166"/>
      <c r="DM62" s="166"/>
      <c r="DN62" s="166"/>
      <c r="DO62" s="166"/>
      <c r="DP62" s="166"/>
      <c r="DQ62" s="166"/>
      <c r="DR62" s="166"/>
      <c r="DS62" s="166"/>
      <c r="DT62" s="166"/>
      <c r="DU62" s="166"/>
      <c r="DV62" s="166"/>
      <c r="DW62" s="166"/>
      <c r="DX62" s="166"/>
      <c r="DY62" s="166"/>
      <c r="DZ62" s="166"/>
      <c r="EA62" s="166"/>
      <c r="EB62" s="166"/>
      <c r="EC62" s="166"/>
      <c r="ED62" s="166"/>
      <c r="EE62" s="166"/>
      <c r="EF62" s="166"/>
      <c r="EG62" s="166"/>
      <c r="EH62" s="166"/>
      <c r="EI62" s="166"/>
      <c r="EJ62" s="166"/>
      <c r="EK62" s="166"/>
      <c r="EL62" s="166"/>
      <c r="EM62" s="166"/>
      <c r="EN62" s="166"/>
      <c r="EO62" s="166"/>
    </row>
    <row r="63" spans="1:145" x14ac:dyDescent="0.25">
      <c r="A63" s="14" t="s">
        <v>38</v>
      </c>
      <c r="B63" s="166">
        <f>B45*$B$105+D45*$B$106+F45*$B$107</f>
        <v>348719829.21516371</v>
      </c>
      <c r="C63" s="166"/>
      <c r="D63" s="166"/>
      <c r="E63" s="166"/>
      <c r="F63" s="166"/>
      <c r="G63" s="166"/>
      <c r="H63" s="166">
        <f>H45*$B$105+J45*$B$106+L45*$B$107</f>
        <v>408361744.01803303</v>
      </c>
      <c r="I63" s="166"/>
      <c r="J63" s="166"/>
      <c r="K63" s="166"/>
      <c r="L63" s="166"/>
      <c r="M63" s="166"/>
      <c r="N63" s="166">
        <f>N45*$B$105+P45*$B$106+R45*$B$107</f>
        <v>607068648.4248364</v>
      </c>
      <c r="O63" s="166"/>
      <c r="P63" s="166"/>
      <c r="Q63" s="166"/>
      <c r="R63" s="166"/>
      <c r="S63" s="166"/>
      <c r="T63" s="166">
        <f>T45*$B$105+V45*$B$106+X45*$B$107</f>
        <v>1396761.7963983831</v>
      </c>
      <c r="U63" s="166"/>
      <c r="V63" s="166"/>
      <c r="W63" s="166"/>
      <c r="X63" s="166"/>
      <c r="Y63" s="166"/>
      <c r="Z63" s="166">
        <f>Z45*$B$105+AB45*$B$106+AD45*$B$107</f>
        <v>73986652.412475765</v>
      </c>
      <c r="AA63" s="166"/>
      <c r="AB63" s="166"/>
      <c r="AC63" s="166"/>
      <c r="AD63" s="166"/>
      <c r="AE63" s="166"/>
      <c r="AF63" s="166">
        <f ca="1">AF45*$B$105+AH45*$B$106+AJ45*$B$107</f>
        <v>510172666.91226232</v>
      </c>
      <c r="AG63" s="166"/>
      <c r="AH63" s="166"/>
      <c r="AI63" s="166"/>
      <c r="AJ63" s="166"/>
      <c r="AK63" s="166"/>
      <c r="AL63" s="166">
        <f>AL45*$B$105+AN45*$B$106+AP45*$B$107</f>
        <v>357830498.6066727</v>
      </c>
      <c r="AM63" s="166"/>
      <c r="AN63" s="166"/>
      <c r="AO63" s="166"/>
      <c r="AP63" s="166"/>
      <c r="AQ63" s="166"/>
      <c r="AR63" s="166">
        <f>AR45*$B$105+AT45*$B$106+AV45*$B$107</f>
        <v>423094510.87134463</v>
      </c>
      <c r="AS63" s="166"/>
      <c r="AT63" s="166"/>
      <c r="AU63" s="166"/>
      <c r="AV63" s="166"/>
      <c r="AW63" s="166"/>
      <c r="AX63" s="166">
        <f>AX45*$B$105+AZ45*$B$106+BB45*$B$107</f>
        <v>578099002.20866919</v>
      </c>
      <c r="AY63" s="166"/>
      <c r="AZ63" s="166"/>
      <c r="BA63" s="166"/>
      <c r="BB63" s="166"/>
      <c r="BC63" s="166"/>
      <c r="BD63" s="166">
        <f>BD45*$B$105+BF45*$B$106+BH45*$B$107</f>
        <v>1424623.5831568132</v>
      </c>
      <c r="BE63" s="166"/>
      <c r="BF63" s="166"/>
      <c r="BG63" s="166"/>
      <c r="BH63" s="166"/>
      <c r="BI63" s="166"/>
      <c r="BJ63" s="166">
        <f>BJ45*$B$105+BL45*$B$106+BN45*$B$107</f>
        <v>75734586.293700472</v>
      </c>
      <c r="BK63" s="166"/>
      <c r="BL63" s="166"/>
      <c r="BM63" s="166"/>
      <c r="BN63" s="166"/>
      <c r="BO63" s="166"/>
      <c r="BP63" s="166">
        <f ca="1">BP45*$B$105+BR45*$B$106+BT45*$B$107</f>
        <v>544595966.96764457</v>
      </c>
      <c r="BQ63" s="166"/>
      <c r="BR63" s="166"/>
      <c r="BS63" s="166"/>
      <c r="BT63" s="166"/>
      <c r="BU63" s="166"/>
      <c r="BV63" s="166">
        <f>BV45*$B$105+BX45*$B$106+BZ45*$B$107</f>
        <v>334784274.82395089</v>
      </c>
      <c r="BW63" s="166"/>
      <c r="BX63" s="166"/>
      <c r="BY63" s="166"/>
      <c r="BZ63" s="166"/>
      <c r="CA63" s="166"/>
      <c r="CB63" s="166">
        <f>CB45*$B$105+CD45*$B$106+CF45*$B$107</f>
        <v>424768275.22357571</v>
      </c>
      <c r="CC63" s="166"/>
      <c r="CD63" s="166"/>
      <c r="CE63" s="166"/>
      <c r="CF63" s="166"/>
      <c r="CG63" s="166"/>
      <c r="CH63" s="166">
        <f>CH45*$B$105+CJ45*$B$106+CL45*$B$107</f>
        <v>562886099.50791609</v>
      </c>
      <c r="CI63" s="166"/>
      <c r="CJ63" s="166"/>
      <c r="CK63" s="166"/>
      <c r="CL63" s="166"/>
      <c r="CM63" s="166"/>
      <c r="CN63" s="166">
        <f ca="1">CN45*$B$105+CP45*$B$106+CR45*$B$107</f>
        <v>1393804.3546170106</v>
      </c>
      <c r="CO63" s="166"/>
      <c r="CP63" s="166"/>
      <c r="CQ63" s="166"/>
      <c r="CR63" s="166"/>
      <c r="CS63" s="166"/>
      <c r="CT63" s="166">
        <f>CT45*$B$105+CV45*$B$106+CX45*$B$107</f>
        <v>70569526.47340636</v>
      </c>
      <c r="CU63" s="166"/>
      <c r="CV63" s="166"/>
      <c r="CW63" s="166"/>
      <c r="CX63" s="166"/>
      <c r="CY63" s="166"/>
      <c r="CZ63" s="166">
        <f ca="1">CZ45*$B$105+DB45*$B$106+DD45*$B$107</f>
        <v>541003597.69781899</v>
      </c>
      <c r="DA63" s="166"/>
      <c r="DB63" s="166"/>
      <c r="DC63" s="166"/>
      <c r="DD63" s="166"/>
      <c r="DE63" s="166"/>
      <c r="DF63" s="166">
        <f ca="1">DF45*$B$105+DH45*$B$106+DJ45*$B$107</f>
        <v>372396195.49648064</v>
      </c>
      <c r="DG63" s="166"/>
      <c r="DH63" s="166"/>
      <c r="DI63" s="166"/>
      <c r="DJ63" s="166"/>
      <c r="DK63" s="166"/>
      <c r="DL63" s="166">
        <f ca="1">DL45*$B$105+DN45*$B$106+DP45*$B$107</f>
        <v>447492421.92582452</v>
      </c>
      <c r="DM63" s="166"/>
      <c r="DN63" s="166"/>
      <c r="DO63" s="166"/>
      <c r="DP63" s="166"/>
      <c r="DQ63" s="166"/>
      <c r="DR63" s="166">
        <f ca="1">DR45*$B$105+DT45*$B$106+DV45*$B$107</f>
        <v>698475454.13020074</v>
      </c>
      <c r="DS63" s="166"/>
      <c r="DT63" s="166"/>
      <c r="DU63" s="166"/>
      <c r="DV63" s="166"/>
      <c r="DW63" s="166"/>
      <c r="DX63" s="166">
        <f ca="1">DX45*$B$105+DZ45*$B$106+EB45*$B$107</f>
        <v>1730417.9276366876</v>
      </c>
      <c r="DY63" s="166"/>
      <c r="DZ63" s="166"/>
      <c r="EA63" s="166"/>
      <c r="EB63" s="166"/>
      <c r="EC63" s="166"/>
      <c r="ED63" s="166">
        <f ca="1">ED45*$B$105+EF45*$B$106+EH45*$B$107</f>
        <v>78142118.346563339</v>
      </c>
      <c r="EE63" s="166"/>
      <c r="EF63" s="166"/>
      <c r="EG63" s="166"/>
      <c r="EH63" s="166"/>
      <c r="EI63" s="166"/>
      <c r="EJ63" s="166">
        <f ca="1">EJ45*$B$105+EL45*$B$106+EN45*$B$107</f>
        <v>555507232.65706742</v>
      </c>
      <c r="EK63" s="166"/>
      <c r="EL63" s="166"/>
      <c r="EM63" s="166"/>
      <c r="EN63" s="166"/>
      <c r="EO63" s="166"/>
    </row>
    <row r="64" spans="1:145" x14ac:dyDescent="0.25">
      <c r="A64" s="17" t="s">
        <v>43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  <c r="AP64" s="166"/>
      <c r="AQ64" s="166"/>
      <c r="AR64" s="166"/>
      <c r="AS64" s="166"/>
      <c r="AT64" s="166"/>
      <c r="AU64" s="166"/>
      <c r="AV64" s="16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6"/>
      <c r="CO64" s="166"/>
      <c r="CP64" s="166"/>
      <c r="CQ64" s="166"/>
      <c r="CR64" s="166"/>
      <c r="CS64" s="166"/>
      <c r="CT64" s="166"/>
      <c r="CU64" s="166"/>
      <c r="CV64" s="166"/>
      <c r="CW64" s="166"/>
      <c r="CX64" s="166"/>
      <c r="CY64" s="166"/>
      <c r="CZ64" s="166"/>
      <c r="DA64" s="166"/>
      <c r="DB64" s="166"/>
      <c r="DC64" s="166"/>
      <c r="DD64" s="166"/>
      <c r="DE64" s="166"/>
      <c r="DF64" s="166"/>
      <c r="DG64" s="166"/>
      <c r="DH64" s="166"/>
      <c r="DI64" s="166"/>
      <c r="DJ64" s="166"/>
      <c r="DK64" s="166"/>
      <c r="DL64" s="166"/>
      <c r="DM64" s="166"/>
      <c r="DN64" s="166"/>
      <c r="DO64" s="166"/>
      <c r="DP64" s="166"/>
      <c r="DQ64" s="166"/>
      <c r="DR64" s="166"/>
      <c r="DS64" s="166"/>
      <c r="DT64" s="166"/>
      <c r="DU64" s="166"/>
      <c r="DV64" s="166"/>
      <c r="DW64" s="166"/>
      <c r="DX64" s="166"/>
      <c r="DY64" s="166"/>
      <c r="DZ64" s="166"/>
      <c r="EA64" s="166"/>
      <c r="EB64" s="166"/>
      <c r="EC64" s="166"/>
      <c r="ED64" s="166"/>
      <c r="EE64" s="166"/>
      <c r="EF64" s="166"/>
      <c r="EG64" s="166"/>
      <c r="EH64" s="166"/>
      <c r="EI64" s="166"/>
      <c r="EJ64" s="166"/>
      <c r="EK64" s="166"/>
      <c r="EL64" s="166"/>
      <c r="EM64" s="166"/>
      <c r="EN64" s="166"/>
      <c r="EO64" s="166"/>
    </row>
    <row r="65" spans="1:145" x14ac:dyDescent="0.25">
      <c r="A65" s="15" t="s">
        <v>45</v>
      </c>
      <c r="B65" s="166">
        <f>B48*$B$105+D48*$B$106+F48*$B$107</f>
        <v>5.6102259037880964E-2</v>
      </c>
      <c r="C65" s="166"/>
      <c r="D65" s="166"/>
      <c r="E65" s="166"/>
      <c r="F65" s="166"/>
      <c r="G65" s="166"/>
      <c r="H65" s="166">
        <f>H48*$B$105+J48*$B$106+L48*$B$107</f>
        <v>2.8782277473351228E-2</v>
      </c>
      <c r="I65" s="166"/>
      <c r="J65" s="166"/>
      <c r="K65" s="166"/>
      <c r="L65" s="166"/>
      <c r="M65" s="166"/>
      <c r="N65" s="166">
        <f>N48*$B$105+P48*$B$106+R48*$B$107</f>
        <v>3.7781224334641351E-2</v>
      </c>
      <c r="O65" s="166"/>
      <c r="P65" s="166"/>
      <c r="Q65" s="166"/>
      <c r="R65" s="166"/>
      <c r="S65" s="166"/>
      <c r="T65" s="166">
        <f>T48*$B$105+V48*$B$106+X48*$B$107</f>
        <v>1.7291072256054439E-2</v>
      </c>
      <c r="U65" s="166"/>
      <c r="V65" s="166"/>
      <c r="W65" s="166"/>
      <c r="X65" s="166"/>
      <c r="Y65" s="166"/>
      <c r="Z65" s="166">
        <f>Z48*$B$105+AB48*$B$106+AD48*$B$107</f>
        <v>3.0442048354513404E-2</v>
      </c>
      <c r="AA65" s="166"/>
      <c r="AB65" s="166"/>
      <c r="AC65" s="166"/>
      <c r="AD65" s="166"/>
      <c r="AE65" s="166"/>
      <c r="AF65" s="166">
        <f ca="1">AF48*$B$105+AH48*$B$106+AJ48*$B$107</f>
        <v>2.8597878583290069E-2</v>
      </c>
      <c r="AG65" s="166"/>
      <c r="AH65" s="166"/>
      <c r="AI65" s="166"/>
      <c r="AJ65" s="166"/>
      <c r="AK65" s="166"/>
      <c r="AL65" s="166">
        <f>AL48*$B$105+AN48*$B$106+AP48*$B$107</f>
        <v>5.8251263849281074E-2</v>
      </c>
      <c r="AM65" s="166"/>
      <c r="AN65" s="166"/>
      <c r="AO65" s="166"/>
      <c r="AP65" s="166"/>
      <c r="AQ65" s="166"/>
      <c r="AR65" s="166">
        <f>AR48*$B$105+AT48*$B$106+AV48*$B$107</f>
        <v>3.0250133774062396E-2</v>
      </c>
      <c r="AS65" s="166"/>
      <c r="AT65" s="166"/>
      <c r="AU65" s="166"/>
      <c r="AV65" s="166"/>
      <c r="AW65" s="166"/>
      <c r="AX65" s="166">
        <f>AX48*$B$105+AZ48*$B$106+BB48*$B$107</f>
        <v>3.4450642206769959E-2</v>
      </c>
      <c r="AY65" s="166"/>
      <c r="AZ65" s="166"/>
      <c r="BA65" s="166"/>
      <c r="BB65" s="166"/>
      <c r="BC65" s="166"/>
      <c r="BD65" s="166">
        <f>BD48*$B$105+BF48*$B$106+BH48*$B$107</f>
        <v>2.9155947182753439E-2</v>
      </c>
      <c r="BE65" s="166"/>
      <c r="BF65" s="166"/>
      <c r="BG65" s="166"/>
      <c r="BH65" s="166"/>
      <c r="BI65" s="166"/>
      <c r="BJ65" s="166">
        <f>BJ48*$B$105+BL48*$B$106+BN48*$B$107</f>
        <v>3.1631602132156843E-2</v>
      </c>
      <c r="BK65" s="166"/>
      <c r="BL65" s="166"/>
      <c r="BM65" s="166"/>
      <c r="BN65" s="166"/>
      <c r="BO65" s="166"/>
      <c r="BP65" s="166">
        <f ca="1">BP48*$B$105+BR48*$B$106+BT48*$B$107</f>
        <v>3.0263260132337926E-2</v>
      </c>
      <c r="BQ65" s="166"/>
      <c r="BR65" s="166"/>
      <c r="BS65" s="166"/>
      <c r="BT65" s="166"/>
      <c r="BU65" s="166"/>
      <c r="BV65" s="166">
        <f>BV48*$B$105+BX48*$B$106+BZ48*$B$107</f>
        <v>7.6931416401034236E-2</v>
      </c>
      <c r="BW65" s="166"/>
      <c r="BX65" s="166"/>
      <c r="BY65" s="166"/>
      <c r="BZ65" s="166"/>
      <c r="CA65" s="166"/>
      <c r="CB65" s="166">
        <f>CB48*$B$105+CD48*$B$106+CF48*$B$107</f>
        <v>3.0257010181901557E-2</v>
      </c>
      <c r="CC65" s="166"/>
      <c r="CD65" s="166"/>
      <c r="CE65" s="166"/>
      <c r="CF65" s="166"/>
      <c r="CG65" s="166"/>
      <c r="CH65" s="166">
        <f>CH48*$B$105+CJ48*$B$106+CL48*$B$107</f>
        <v>3.1514088122824566E-2</v>
      </c>
      <c r="CI65" s="166"/>
      <c r="CJ65" s="166"/>
      <c r="CK65" s="166"/>
      <c r="CL65" s="166"/>
      <c r="CM65" s="166"/>
      <c r="CN65" s="166">
        <f ca="1">CN48*$B$105+CP48*$B$106+CR48*$B$107</f>
        <v>2.4995596903136425E-2</v>
      </c>
      <c r="CO65" s="166"/>
      <c r="CP65" s="166"/>
      <c r="CQ65" s="166"/>
      <c r="CR65" s="166"/>
      <c r="CS65" s="166"/>
      <c r="CT65" s="166">
        <f>CT48*$B$105+CV48*$B$106+CX48*$B$107</f>
        <v>4.1867524237538985E-2</v>
      </c>
      <c r="CU65" s="166"/>
      <c r="CV65" s="166"/>
      <c r="CW65" s="166"/>
      <c r="CX65" s="166"/>
      <c r="CY65" s="166"/>
      <c r="CZ65" s="166">
        <f ca="1">CZ48*$B$105+DB48*$B$106+DD48*$B$107</f>
        <v>3.0100771533924826E-2</v>
      </c>
      <c r="DA65" s="166"/>
      <c r="DB65" s="166"/>
      <c r="DC65" s="166"/>
      <c r="DD65" s="166"/>
      <c r="DE65" s="166"/>
      <c r="DF65" s="166">
        <f ca="1">DF48*$B$105+DH48*$B$106+DJ48*$B$107</f>
        <v>6.5282986537415946E-2</v>
      </c>
      <c r="DG65" s="166"/>
      <c r="DH65" s="166"/>
      <c r="DI65" s="166"/>
      <c r="DJ65" s="166"/>
      <c r="DK65" s="166"/>
      <c r="DL65" s="166">
        <f ca="1">DL48*$B$105+DN48*$B$106+DP48*$B$107</f>
        <v>3.0434240804222377E-2</v>
      </c>
      <c r="DM65" s="166"/>
      <c r="DN65" s="166"/>
      <c r="DO65" s="166"/>
      <c r="DP65" s="166"/>
      <c r="DQ65" s="166"/>
      <c r="DR65" s="166">
        <f ca="1">DR48*$B$105+DT48*$B$106+DV48*$B$107</f>
        <v>3.1364041788795566E-2</v>
      </c>
      <c r="DS65" s="166"/>
      <c r="DT65" s="166"/>
      <c r="DU65" s="166"/>
      <c r="DV65" s="166"/>
      <c r="DW65" s="166"/>
      <c r="DX65" s="166">
        <f ca="1">DX48*$B$105+DZ48*$B$106+EB48*$B$107</f>
        <v>2.4970463687285335E-2</v>
      </c>
      <c r="DY65" s="166"/>
      <c r="DZ65" s="166"/>
      <c r="EA65" s="166"/>
      <c r="EB65" s="166"/>
      <c r="EC65" s="166"/>
      <c r="ED65" s="166">
        <f ca="1">ED48*$B$105+EF48*$B$106+EH48*$B$107</f>
        <v>3.5557324767682856E-2</v>
      </c>
      <c r="EE65" s="166"/>
      <c r="EF65" s="166"/>
      <c r="EG65" s="166"/>
      <c r="EH65" s="166"/>
      <c r="EI65" s="166"/>
      <c r="EJ65" s="166">
        <f ca="1">EJ48*$B$105+EL48*$B$106+EN48*$B$107</f>
        <v>3.0335606437796887E-2</v>
      </c>
      <c r="EK65" s="166"/>
      <c r="EL65" s="166"/>
      <c r="EM65" s="166"/>
      <c r="EN65" s="166"/>
      <c r="EO65" s="166"/>
    </row>
    <row r="66" spans="1:145" ht="30" x14ac:dyDescent="0.25">
      <c r="A66" s="15" t="s">
        <v>115</v>
      </c>
      <c r="B66" s="166"/>
      <c r="C66" s="166"/>
      <c r="D66" s="166"/>
      <c r="E66" s="166"/>
      <c r="F66" s="166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  <c r="AP66" s="166"/>
      <c r="AQ66" s="166"/>
      <c r="AR66" s="166"/>
      <c r="AS66" s="166"/>
      <c r="AT66" s="166"/>
      <c r="AU66" s="166"/>
      <c r="AV66" s="16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6"/>
      <c r="CO66" s="166"/>
      <c r="CP66" s="166"/>
      <c r="CQ66" s="166"/>
      <c r="CR66" s="166"/>
      <c r="CS66" s="166"/>
      <c r="CT66" s="166"/>
      <c r="CU66" s="166"/>
      <c r="CV66" s="166"/>
      <c r="CW66" s="166"/>
      <c r="CX66" s="166"/>
      <c r="CY66" s="166"/>
      <c r="CZ66" s="166"/>
      <c r="DA66" s="166"/>
      <c r="DB66" s="166"/>
      <c r="DC66" s="166"/>
      <c r="DD66" s="166"/>
      <c r="DE66" s="166"/>
      <c r="DF66" s="166"/>
      <c r="DG66" s="166"/>
      <c r="DH66" s="166"/>
      <c r="DI66" s="166"/>
      <c r="DJ66" s="166"/>
      <c r="DK66" s="166"/>
      <c r="DL66" s="166"/>
      <c r="DM66" s="166"/>
      <c r="DN66" s="166"/>
      <c r="DO66" s="166"/>
      <c r="DP66" s="166"/>
      <c r="DQ66" s="166"/>
      <c r="DR66" s="166"/>
      <c r="DS66" s="166"/>
      <c r="DT66" s="166"/>
      <c r="DU66" s="166"/>
      <c r="DV66" s="166"/>
      <c r="DW66" s="166"/>
      <c r="DX66" s="166"/>
      <c r="DY66" s="166"/>
      <c r="DZ66" s="166"/>
      <c r="EA66" s="166"/>
      <c r="EB66" s="166"/>
      <c r="EC66" s="166"/>
      <c r="ED66" s="166"/>
      <c r="EE66" s="166"/>
      <c r="EF66" s="166"/>
      <c r="EG66" s="166"/>
      <c r="EH66" s="166"/>
      <c r="EI66" s="166"/>
      <c r="EJ66" s="166"/>
      <c r="EK66" s="166"/>
      <c r="EL66" s="166"/>
      <c r="EM66" s="166"/>
      <c r="EN66" s="166"/>
      <c r="EO66" s="166"/>
    </row>
    <row r="67" spans="1:145" x14ac:dyDescent="0.25">
      <c r="A67" s="16" t="s">
        <v>26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  <c r="AP67" s="166"/>
      <c r="AQ67" s="166"/>
      <c r="AR67" s="166"/>
      <c r="AS67" s="166"/>
      <c r="AT67" s="166"/>
      <c r="AU67" s="166"/>
      <c r="AV67" s="16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6"/>
      <c r="CO67" s="166"/>
      <c r="CP67" s="166"/>
      <c r="CQ67" s="166"/>
      <c r="CR67" s="166"/>
      <c r="CS67" s="166"/>
      <c r="CT67" s="166"/>
      <c r="CU67" s="166"/>
      <c r="CV67" s="166"/>
      <c r="CW67" s="166"/>
      <c r="CX67" s="166"/>
      <c r="CY67" s="166"/>
      <c r="CZ67" s="166"/>
      <c r="DA67" s="166"/>
      <c r="DB67" s="166"/>
      <c r="DC67" s="166"/>
      <c r="DD67" s="166"/>
      <c r="DE67" s="166"/>
      <c r="DF67" s="166"/>
      <c r="DG67" s="166"/>
      <c r="DH67" s="166"/>
      <c r="DI67" s="166"/>
      <c r="DJ67" s="166"/>
      <c r="DK67" s="166"/>
      <c r="DL67" s="166"/>
      <c r="DM67" s="166"/>
      <c r="DN67" s="166"/>
      <c r="DO67" s="166"/>
      <c r="DP67" s="166"/>
      <c r="DQ67" s="166"/>
      <c r="DR67" s="166"/>
      <c r="DS67" s="166"/>
      <c r="DT67" s="166"/>
      <c r="DU67" s="166"/>
      <c r="DV67" s="166"/>
      <c r="DW67" s="166"/>
      <c r="DX67" s="166"/>
      <c r="DY67" s="166"/>
      <c r="DZ67" s="166"/>
      <c r="EA67" s="166"/>
      <c r="EB67" s="166"/>
      <c r="EC67" s="166"/>
      <c r="ED67" s="166"/>
      <c r="EE67" s="166"/>
      <c r="EF67" s="166"/>
      <c r="EG67" s="166"/>
      <c r="EH67" s="166"/>
      <c r="EI67" s="166"/>
      <c r="EJ67" s="166"/>
      <c r="EK67" s="166"/>
      <c r="EL67" s="166"/>
      <c r="EM67" s="166"/>
      <c r="EN67" s="166"/>
      <c r="EO67" s="166"/>
    </row>
    <row r="68" spans="1:145" x14ac:dyDescent="0.25">
      <c r="A68" s="14" t="s">
        <v>29</v>
      </c>
      <c r="B68" s="166">
        <f ca="1">B51*$C$111+AL51*$D$111+BV51*$E$111+DF51*$F$111</f>
        <v>181433.59352148027</v>
      </c>
      <c r="C68" s="166"/>
      <c r="D68" s="166"/>
      <c r="E68" s="166"/>
      <c r="F68" s="166"/>
      <c r="G68" s="166"/>
      <c r="H68" s="166">
        <f ca="1">H51*$C$112+AR51*$D$112+CB51*$E$112+DL51*$F$112</f>
        <v>210547.68011797214</v>
      </c>
      <c r="I68" s="166"/>
      <c r="J68" s="166"/>
      <c r="K68" s="166"/>
      <c r="L68" s="166"/>
      <c r="M68" s="166"/>
      <c r="N68" s="166">
        <f ca="1">N51*$C$113+AX51*$D$113+CH51*$E$113+DR51*$F$113</f>
        <v>0</v>
      </c>
      <c r="O68" s="166"/>
      <c r="P68" s="166"/>
      <c r="Q68" s="166"/>
      <c r="R68" s="166"/>
      <c r="S68" s="166"/>
      <c r="T68" s="166">
        <f ca="1">T51*$C$110+BD51*$D$110+CN51*$E$110+DX51*$F$110</f>
        <v>2817.7360279666796</v>
      </c>
      <c r="U68" s="166"/>
      <c r="V68" s="166"/>
      <c r="W68" s="166"/>
      <c r="X68" s="166"/>
      <c r="Y68" s="166"/>
      <c r="Z68" s="166">
        <f ca="1">Z51*$C$114+BJ51*$D$114+CT51*$E$114+ED51*$F$114</f>
        <v>52079.592172401084</v>
      </c>
      <c r="AA68" s="166"/>
      <c r="AB68" s="166"/>
      <c r="AC68" s="166"/>
      <c r="AD68" s="166"/>
      <c r="AE68" s="166"/>
      <c r="AF68" s="166">
        <f ca="1">AF51*$C$115+BP51*$D$115+CZ51*$E$115+EJ51*$F$115</f>
        <v>386664.6155806809</v>
      </c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166"/>
      <c r="AU68" s="166"/>
      <c r="AV68" s="16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6"/>
      <c r="CO68" s="166"/>
      <c r="CP68" s="166"/>
      <c r="CQ68" s="166"/>
      <c r="CR68" s="166"/>
      <c r="CS68" s="166"/>
      <c r="CT68" s="166"/>
      <c r="CU68" s="166"/>
      <c r="CV68" s="166"/>
      <c r="CW68" s="166"/>
      <c r="CX68" s="166"/>
      <c r="CY68" s="166"/>
      <c r="CZ68" s="166"/>
      <c r="DA68" s="166"/>
      <c r="DB68" s="166"/>
      <c r="DC68" s="166"/>
      <c r="DD68" s="166"/>
      <c r="DE68" s="166"/>
      <c r="DF68" s="166"/>
      <c r="DG68" s="166"/>
      <c r="DH68" s="166"/>
      <c r="DI68" s="166"/>
      <c r="DJ68" s="166"/>
      <c r="DK68" s="166"/>
      <c r="DL68" s="166"/>
      <c r="DM68" s="166"/>
      <c r="DN68" s="166"/>
      <c r="DO68" s="166"/>
      <c r="DP68" s="166"/>
      <c r="DQ68" s="166"/>
      <c r="DR68" s="166"/>
      <c r="DS68" s="166"/>
      <c r="DT68" s="166"/>
      <c r="DU68" s="166"/>
      <c r="DV68" s="166"/>
      <c r="DW68" s="166"/>
      <c r="DX68" s="166"/>
      <c r="DY68" s="166"/>
      <c r="DZ68" s="166"/>
      <c r="EA68" s="166"/>
      <c r="EB68" s="166"/>
      <c r="EC68" s="166"/>
      <c r="ED68" s="166"/>
      <c r="EE68" s="166"/>
      <c r="EF68" s="166"/>
      <c r="EG68" s="166"/>
      <c r="EH68" s="166"/>
      <c r="EI68" s="166"/>
      <c r="EJ68" s="166"/>
      <c r="EK68" s="166"/>
      <c r="EL68" s="166"/>
      <c r="EM68" s="166"/>
      <c r="EN68" s="166"/>
      <c r="EO68" s="166"/>
    </row>
    <row r="69" spans="1:145" x14ac:dyDescent="0.25">
      <c r="A69" s="16" t="s">
        <v>31</v>
      </c>
      <c r="B69" s="166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66"/>
      <c r="N69" s="166"/>
      <c r="O69" s="166"/>
      <c r="P69" s="166"/>
      <c r="Q69" s="166"/>
      <c r="R69" s="166"/>
      <c r="S69" s="166"/>
      <c r="T69" s="166"/>
      <c r="U69" s="166"/>
      <c r="V69" s="166"/>
      <c r="W69" s="166"/>
      <c r="X69" s="166"/>
      <c r="Y69" s="166"/>
      <c r="Z69" s="166"/>
      <c r="AA69" s="166"/>
      <c r="AB69" s="166"/>
      <c r="AC69" s="166"/>
      <c r="AD69" s="166"/>
      <c r="AE69" s="166"/>
      <c r="AF69" s="166"/>
      <c r="AG69" s="166"/>
      <c r="AH69" s="166"/>
      <c r="AI69" s="166"/>
      <c r="AJ69" s="166"/>
      <c r="AK69" s="166"/>
      <c r="AL69" s="166"/>
      <c r="AM69" s="166"/>
      <c r="AN69" s="166"/>
      <c r="AO69" s="166"/>
      <c r="AP69" s="166"/>
      <c r="AQ69" s="166"/>
      <c r="AR69" s="166"/>
      <c r="AS69" s="166"/>
      <c r="AT69" s="166"/>
      <c r="AU69" s="166"/>
      <c r="AV69" s="166"/>
      <c r="AW69" s="166"/>
      <c r="AX69" s="166"/>
      <c r="AY69" s="166"/>
      <c r="AZ69" s="166"/>
      <c r="BA69" s="166"/>
      <c r="BB69" s="166"/>
      <c r="BC69" s="166"/>
      <c r="BD69" s="166"/>
      <c r="BE69" s="166"/>
      <c r="BF69" s="166"/>
      <c r="BG69" s="166"/>
      <c r="BH69" s="166"/>
      <c r="BI69" s="166"/>
      <c r="BJ69" s="166"/>
      <c r="BK69" s="166"/>
      <c r="BL69" s="166"/>
      <c r="BM69" s="166"/>
      <c r="BN69" s="166"/>
      <c r="BO69" s="166"/>
      <c r="BP69" s="166"/>
      <c r="BQ69" s="166"/>
      <c r="BR69" s="166"/>
      <c r="BS69" s="166"/>
      <c r="BT69" s="166"/>
      <c r="BU69" s="166"/>
      <c r="BV69" s="166"/>
      <c r="BW69" s="166"/>
      <c r="BX69" s="166"/>
      <c r="BY69" s="166"/>
      <c r="BZ69" s="166"/>
      <c r="CA69" s="166"/>
      <c r="CB69" s="166"/>
      <c r="CC69" s="166"/>
      <c r="CD69" s="166"/>
      <c r="CE69" s="166"/>
      <c r="CF69" s="166"/>
      <c r="CG69" s="166"/>
      <c r="CH69" s="166"/>
      <c r="CI69" s="166"/>
      <c r="CJ69" s="166"/>
      <c r="CK69" s="166"/>
      <c r="CL69" s="166"/>
      <c r="CM69" s="166"/>
      <c r="CN69" s="166"/>
      <c r="CO69" s="166"/>
      <c r="CP69" s="166"/>
      <c r="CQ69" s="166"/>
      <c r="CR69" s="166"/>
      <c r="CS69" s="166"/>
      <c r="CT69" s="166"/>
      <c r="CU69" s="166"/>
      <c r="CV69" s="166"/>
      <c r="CW69" s="166"/>
      <c r="CX69" s="166"/>
      <c r="CY69" s="166"/>
      <c r="CZ69" s="166"/>
      <c r="DA69" s="166"/>
      <c r="DB69" s="166"/>
      <c r="DC69" s="166"/>
      <c r="DD69" s="166"/>
      <c r="DE69" s="166"/>
      <c r="DF69" s="166"/>
      <c r="DG69" s="166"/>
      <c r="DH69" s="166"/>
      <c r="DI69" s="166"/>
      <c r="DJ69" s="166"/>
      <c r="DK69" s="166"/>
      <c r="DL69" s="166"/>
      <c r="DM69" s="166"/>
      <c r="DN69" s="166"/>
      <c r="DO69" s="166"/>
      <c r="DP69" s="166"/>
      <c r="DQ69" s="166"/>
      <c r="DR69" s="166"/>
      <c r="DS69" s="166"/>
      <c r="DT69" s="166"/>
      <c r="DU69" s="166"/>
      <c r="DV69" s="166"/>
      <c r="DW69" s="166"/>
      <c r="DX69" s="166"/>
      <c r="DY69" s="166"/>
      <c r="DZ69" s="166"/>
      <c r="EA69" s="166"/>
      <c r="EB69" s="166"/>
      <c r="EC69" s="166"/>
      <c r="ED69" s="166"/>
      <c r="EE69" s="166"/>
      <c r="EF69" s="166"/>
      <c r="EG69" s="166"/>
      <c r="EH69" s="166"/>
      <c r="EI69" s="166"/>
      <c r="EJ69" s="166"/>
      <c r="EK69" s="166"/>
      <c r="EL69" s="166"/>
      <c r="EM69" s="166"/>
      <c r="EN69" s="166"/>
      <c r="EO69" s="166"/>
    </row>
    <row r="70" spans="1:145" x14ac:dyDescent="0.25">
      <c r="A70" s="14" t="s">
        <v>34</v>
      </c>
      <c r="B70" s="166">
        <f ca="1">B53*$C$111+AL53*$D$111+BV53*$E$111+DF53*$F$111</f>
        <v>5630615068.2935829</v>
      </c>
      <c r="C70" s="166"/>
      <c r="D70" s="166"/>
      <c r="E70" s="166"/>
      <c r="F70" s="166"/>
      <c r="G70" s="166"/>
      <c r="H70" s="166">
        <f ca="1">H53*$C$112+AR53*$D$112+CB53*$E$112+DL53*$F$112</f>
        <v>7700196268.9500933</v>
      </c>
      <c r="I70" s="166"/>
      <c r="J70" s="166"/>
      <c r="K70" s="166"/>
      <c r="L70" s="166"/>
      <c r="M70" s="166"/>
      <c r="N70" s="166">
        <f ca="1">N53*$C$113+AX53*$D$113+CH53*$E$113+DR53*$F$113</f>
        <v>0</v>
      </c>
      <c r="O70" s="166"/>
      <c r="P70" s="166"/>
      <c r="Q70" s="166"/>
      <c r="R70" s="166"/>
      <c r="S70" s="166"/>
      <c r="T70" s="166">
        <f ca="1">T53*$C$110+BD53*$D$110+CN53*$E$110+DX53*$F$110</f>
        <v>1442156.3247436672</v>
      </c>
      <c r="U70" s="166"/>
      <c r="V70" s="166"/>
      <c r="W70" s="166"/>
      <c r="X70" s="166"/>
      <c r="Y70" s="166"/>
      <c r="Z70" s="166">
        <f ca="1">Z53*$C$114+BJ53*$D$114+CT53*$E$114+ED53*$F$114</f>
        <v>563395925.17023623</v>
      </c>
      <c r="AA70" s="166"/>
      <c r="AB70" s="166"/>
      <c r="AC70" s="166"/>
      <c r="AD70" s="166"/>
      <c r="AE70" s="166"/>
      <c r="AF70" s="166">
        <f ca="1">AF53*$C$115+BP53*$D$115+CZ53*$E$115+EJ53*$F$115</f>
        <v>11189439658.502205</v>
      </c>
      <c r="AG70" s="166"/>
      <c r="AH70" s="166"/>
      <c r="AI70" s="166"/>
      <c r="AJ70" s="166"/>
      <c r="AK70" s="166"/>
      <c r="AL70" s="166"/>
      <c r="AM70" s="166"/>
      <c r="AN70" s="166"/>
      <c r="AO70" s="166"/>
      <c r="AP70" s="166"/>
      <c r="AQ70" s="166"/>
      <c r="AR70" s="166"/>
      <c r="AS70" s="166"/>
      <c r="AT70" s="166"/>
      <c r="AU70" s="166"/>
      <c r="AV70" s="166"/>
      <c r="AW70" s="166"/>
      <c r="AX70" s="166"/>
      <c r="AY70" s="166"/>
      <c r="AZ70" s="166"/>
      <c r="BA70" s="166"/>
      <c r="BB70" s="166"/>
      <c r="BC70" s="166"/>
      <c r="BD70" s="166"/>
      <c r="BE70" s="166"/>
      <c r="BF70" s="166"/>
      <c r="BG70" s="166"/>
      <c r="BH70" s="166"/>
      <c r="BI70" s="166"/>
      <c r="BJ70" s="166"/>
      <c r="BK70" s="166"/>
      <c r="BL70" s="166"/>
      <c r="BM70" s="166"/>
      <c r="BN70" s="166"/>
      <c r="BO70" s="166"/>
      <c r="BP70" s="166"/>
      <c r="BQ70" s="166"/>
      <c r="BR70" s="166"/>
      <c r="BS70" s="166"/>
      <c r="BT70" s="166"/>
      <c r="BU70" s="166"/>
      <c r="BV70" s="166"/>
      <c r="BW70" s="166"/>
      <c r="BX70" s="166"/>
      <c r="BY70" s="166"/>
      <c r="BZ70" s="166"/>
      <c r="CA70" s="166"/>
      <c r="CB70" s="166"/>
      <c r="CC70" s="166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  <c r="CN70" s="166"/>
      <c r="CO70" s="166"/>
      <c r="CP70" s="166"/>
      <c r="CQ70" s="166"/>
      <c r="CR70" s="166"/>
      <c r="CS70" s="166"/>
      <c r="CT70" s="166"/>
      <c r="CU70" s="166"/>
      <c r="CV70" s="166"/>
      <c r="CW70" s="166"/>
      <c r="CX70" s="166"/>
      <c r="CY70" s="166"/>
      <c r="CZ70" s="166"/>
      <c r="DA70" s="166"/>
      <c r="DB70" s="166"/>
      <c r="DC70" s="166"/>
      <c r="DD70" s="166"/>
      <c r="DE70" s="166"/>
      <c r="DF70" s="166"/>
      <c r="DG70" s="166"/>
      <c r="DH70" s="166"/>
      <c r="DI70" s="166"/>
      <c r="DJ70" s="166"/>
      <c r="DK70" s="166"/>
      <c r="DL70" s="166"/>
      <c r="DM70" s="166"/>
      <c r="DN70" s="166"/>
      <c r="DO70" s="166"/>
      <c r="DP70" s="166"/>
      <c r="DQ70" s="166"/>
      <c r="DR70" s="166"/>
      <c r="DS70" s="166"/>
      <c r="DT70" s="166"/>
      <c r="DU70" s="166"/>
      <c r="DV70" s="166"/>
      <c r="DW70" s="166"/>
      <c r="DX70" s="166"/>
      <c r="DY70" s="166"/>
      <c r="DZ70" s="166"/>
      <c r="EA70" s="166"/>
      <c r="EB70" s="166"/>
      <c r="EC70" s="166"/>
      <c r="ED70" s="166"/>
      <c r="EE70" s="166"/>
      <c r="EF70" s="166"/>
      <c r="EG70" s="166"/>
      <c r="EH70" s="166"/>
      <c r="EI70" s="166"/>
      <c r="EJ70" s="166"/>
      <c r="EK70" s="166"/>
      <c r="EL70" s="166"/>
      <c r="EM70" s="166"/>
      <c r="EN70" s="166"/>
      <c r="EO70" s="166"/>
    </row>
    <row r="71" spans="1:145" x14ac:dyDescent="0.25">
      <c r="A71" s="16" t="s">
        <v>30</v>
      </c>
      <c r="B71" s="166"/>
      <c r="C71" s="166"/>
      <c r="D71" s="166"/>
      <c r="E71" s="166"/>
      <c r="F71" s="166"/>
      <c r="G71" s="166"/>
      <c r="H71" s="166"/>
      <c r="I71" s="166"/>
      <c r="J71" s="166"/>
      <c r="K71" s="166"/>
      <c r="L71" s="166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66"/>
      <c r="AC71" s="166"/>
      <c r="AD71" s="166"/>
      <c r="AE71" s="166"/>
      <c r="AF71" s="166"/>
      <c r="AG71" s="166"/>
      <c r="AH71" s="166"/>
      <c r="AI71" s="166"/>
      <c r="AJ71" s="166"/>
      <c r="AK71" s="166"/>
      <c r="AL71" s="166"/>
      <c r="AM71" s="166"/>
      <c r="AN71" s="166"/>
      <c r="AO71" s="166"/>
      <c r="AP71" s="166"/>
      <c r="AQ71" s="166"/>
      <c r="AR71" s="166"/>
      <c r="AS71" s="166"/>
      <c r="AT71" s="166"/>
      <c r="AU71" s="166"/>
      <c r="AV71" s="166"/>
      <c r="AW71" s="166"/>
      <c r="AX71" s="166"/>
      <c r="AY71" s="166"/>
      <c r="AZ71" s="166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166"/>
      <c r="BM71" s="166"/>
      <c r="BN71" s="166"/>
      <c r="BO71" s="166"/>
      <c r="BP71" s="166"/>
      <c r="BQ71" s="166"/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66"/>
      <c r="CR71" s="166"/>
      <c r="CS71" s="166"/>
      <c r="CT71" s="166"/>
      <c r="CU71" s="166"/>
      <c r="CV71" s="166"/>
      <c r="CW71" s="166"/>
      <c r="CX71" s="166"/>
      <c r="CY71" s="166"/>
      <c r="CZ71" s="166"/>
      <c r="DA71" s="166"/>
      <c r="DB71" s="166"/>
      <c r="DC71" s="166"/>
      <c r="DD71" s="166"/>
      <c r="DE71" s="166"/>
      <c r="DF71" s="166"/>
      <c r="DG71" s="166"/>
      <c r="DH71" s="166"/>
      <c r="DI71" s="166"/>
      <c r="DJ71" s="166"/>
      <c r="DK71" s="166"/>
      <c r="DL71" s="166"/>
      <c r="DM71" s="166"/>
      <c r="DN71" s="166"/>
      <c r="DO71" s="166"/>
      <c r="DP71" s="166"/>
      <c r="DQ71" s="166"/>
      <c r="DR71" s="166"/>
      <c r="DS71" s="166"/>
      <c r="DT71" s="166"/>
      <c r="DU71" s="166"/>
      <c r="DV71" s="166"/>
      <c r="DW71" s="166"/>
      <c r="DX71" s="166"/>
      <c r="DY71" s="166"/>
      <c r="DZ71" s="166"/>
      <c r="EA71" s="166"/>
      <c r="EB71" s="166"/>
      <c r="EC71" s="166"/>
      <c r="ED71" s="166"/>
      <c r="EE71" s="166"/>
      <c r="EF71" s="166"/>
      <c r="EG71" s="166"/>
      <c r="EH71" s="166"/>
      <c r="EI71" s="166"/>
      <c r="EJ71" s="166"/>
      <c r="EK71" s="166"/>
      <c r="EL71" s="166"/>
      <c r="EM71" s="166"/>
      <c r="EN71" s="166"/>
      <c r="EO71" s="166"/>
    </row>
    <row r="72" spans="1:145" x14ac:dyDescent="0.25">
      <c r="A72" s="14" t="s">
        <v>35</v>
      </c>
      <c r="B72" s="166">
        <f ca="1">B55*$C$111+AL55*$D$111+BV55*$E$111+DF55*$F$111</f>
        <v>5630583941.4805498</v>
      </c>
      <c r="C72" s="166"/>
      <c r="D72" s="166"/>
      <c r="E72" s="166"/>
      <c r="F72" s="166"/>
      <c r="G72" s="166"/>
      <c r="H72" s="166">
        <f ca="1">H55*$C$112+AR55*$D$112+CB55*$E$112+DL55*$F$112</f>
        <v>7700188701.4141731</v>
      </c>
      <c r="I72" s="166"/>
      <c r="J72" s="166"/>
      <c r="K72" s="166"/>
      <c r="L72" s="166"/>
      <c r="M72" s="166"/>
      <c r="N72" s="166">
        <f ca="1">N55*$C$113+AX55*$D$113+CH55*$E$113+DR55*$F$113</f>
        <v>0</v>
      </c>
      <c r="O72" s="166"/>
      <c r="P72" s="166"/>
      <c r="Q72" s="166"/>
      <c r="R72" s="166"/>
      <c r="S72" s="166"/>
      <c r="T72" s="166">
        <f ca="1">T55*$C$110+BD55*$D$110+CN55*$E$110+DX55*$F$110</f>
        <v>1442109.8937905526</v>
      </c>
      <c r="U72" s="166"/>
      <c r="V72" s="166"/>
      <c r="W72" s="166"/>
      <c r="X72" s="166"/>
      <c r="Y72" s="166"/>
      <c r="Z72" s="166">
        <f ca="1">Z55*$C$114+BJ55*$D$114+CT55*$E$114+ED55*$F$114</f>
        <v>563393804.77600741</v>
      </c>
      <c r="AA72" s="166"/>
      <c r="AB72" s="166"/>
      <c r="AC72" s="166"/>
      <c r="AD72" s="166"/>
      <c r="AE72" s="166"/>
      <c r="AF72" s="166">
        <f ca="1">AF55*$C$115+BP55*$D$115+CZ55*$E$115+EJ55*$F$115</f>
        <v>11189429573.196964</v>
      </c>
      <c r="AG72" s="166"/>
      <c r="AH72" s="166"/>
      <c r="AI72" s="166"/>
      <c r="AJ72" s="166"/>
      <c r="AK72" s="166"/>
      <c r="AL72" s="166"/>
      <c r="AM72" s="166"/>
      <c r="AN72" s="166"/>
      <c r="AO72" s="166"/>
      <c r="AP72" s="166"/>
      <c r="AQ72" s="166"/>
      <c r="AR72" s="166"/>
      <c r="AS72" s="166"/>
      <c r="AT72" s="166"/>
      <c r="AU72" s="166"/>
      <c r="AV72" s="166"/>
      <c r="AW72" s="166"/>
      <c r="AX72" s="166"/>
      <c r="AY72" s="166"/>
      <c r="AZ72" s="166"/>
      <c r="BA72" s="166"/>
      <c r="BB72" s="166"/>
      <c r="BC72" s="166"/>
      <c r="BD72" s="166"/>
      <c r="BE72" s="166"/>
      <c r="BF72" s="166"/>
      <c r="BG72" s="166"/>
      <c r="BH72" s="166"/>
      <c r="BI72" s="166"/>
      <c r="BJ72" s="166"/>
      <c r="BK72" s="166"/>
      <c r="BL72" s="166"/>
      <c r="BM72" s="166"/>
      <c r="BN72" s="166"/>
      <c r="BO72" s="166"/>
      <c r="BP72" s="166"/>
      <c r="BQ72" s="166"/>
      <c r="BR72" s="166"/>
      <c r="BS72" s="166"/>
      <c r="BT72" s="166"/>
      <c r="BU72" s="166"/>
      <c r="BV72" s="166"/>
      <c r="BW72" s="166"/>
      <c r="BX72" s="166"/>
      <c r="BY72" s="166"/>
      <c r="BZ72" s="166"/>
      <c r="CA72" s="166"/>
      <c r="CB72" s="166"/>
      <c r="CC72" s="166"/>
      <c r="CD72" s="166"/>
      <c r="CE72" s="166"/>
      <c r="CF72" s="166"/>
      <c r="CG72" s="166"/>
      <c r="CH72" s="166"/>
      <c r="CI72" s="166"/>
      <c r="CJ72" s="166"/>
      <c r="CK72" s="166"/>
      <c r="CL72" s="166"/>
      <c r="CM72" s="166"/>
      <c r="CN72" s="166"/>
      <c r="CO72" s="166"/>
      <c r="CP72" s="166"/>
      <c r="CQ72" s="166"/>
      <c r="CR72" s="166"/>
      <c r="CS72" s="166"/>
      <c r="CT72" s="166"/>
      <c r="CU72" s="166"/>
      <c r="CV72" s="166"/>
      <c r="CW72" s="166"/>
      <c r="CX72" s="166"/>
      <c r="CY72" s="166"/>
      <c r="CZ72" s="166"/>
      <c r="DA72" s="166"/>
      <c r="DB72" s="166"/>
      <c r="DC72" s="166"/>
      <c r="DD72" s="166"/>
      <c r="DE72" s="166"/>
      <c r="DF72" s="166"/>
      <c r="DG72" s="166"/>
      <c r="DH72" s="166"/>
      <c r="DI72" s="166"/>
      <c r="DJ72" s="166"/>
      <c r="DK72" s="166"/>
      <c r="DL72" s="166"/>
      <c r="DM72" s="166"/>
      <c r="DN72" s="166"/>
      <c r="DO72" s="166"/>
      <c r="DP72" s="166"/>
      <c r="DQ72" s="166"/>
      <c r="DR72" s="166"/>
      <c r="DS72" s="166"/>
      <c r="DT72" s="166"/>
      <c r="DU72" s="166"/>
      <c r="DV72" s="166"/>
      <c r="DW72" s="166"/>
      <c r="DX72" s="166"/>
      <c r="DY72" s="166"/>
      <c r="DZ72" s="166"/>
      <c r="EA72" s="166"/>
      <c r="EB72" s="166"/>
      <c r="EC72" s="166"/>
      <c r="ED72" s="166"/>
      <c r="EE72" s="166"/>
      <c r="EF72" s="166"/>
      <c r="EG72" s="166"/>
      <c r="EH72" s="166"/>
      <c r="EI72" s="166"/>
      <c r="EJ72" s="166"/>
      <c r="EK72" s="166"/>
      <c r="EL72" s="166"/>
      <c r="EM72" s="166"/>
      <c r="EN72" s="166"/>
      <c r="EO72" s="166"/>
    </row>
    <row r="73" spans="1:145" x14ac:dyDescent="0.25">
      <c r="A73" s="17" t="s">
        <v>46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66"/>
      <c r="AA73" s="166"/>
      <c r="AB73" s="166"/>
      <c r="AC73" s="166"/>
      <c r="AD73" s="166"/>
      <c r="AE73" s="166"/>
      <c r="AF73" s="166"/>
      <c r="AG73" s="166"/>
      <c r="AH73" s="166"/>
      <c r="AI73" s="166"/>
      <c r="AJ73" s="166"/>
      <c r="AK73" s="166"/>
      <c r="AL73" s="166"/>
      <c r="AM73" s="166"/>
      <c r="AN73" s="166"/>
      <c r="AO73" s="166"/>
      <c r="AP73" s="166"/>
      <c r="AQ73" s="166"/>
      <c r="AR73" s="166"/>
      <c r="AS73" s="166"/>
      <c r="AT73" s="166"/>
      <c r="AU73" s="166"/>
      <c r="AV73" s="166"/>
      <c r="AW73" s="166"/>
      <c r="AX73" s="166"/>
      <c r="AY73" s="166"/>
      <c r="AZ73" s="166"/>
      <c r="BA73" s="166"/>
      <c r="BB73" s="166"/>
      <c r="BC73" s="166"/>
      <c r="BD73" s="166"/>
      <c r="BE73" s="166"/>
      <c r="BF73" s="166"/>
      <c r="BG73" s="166"/>
      <c r="BH73" s="166"/>
      <c r="BI73" s="166"/>
      <c r="BJ73" s="166"/>
      <c r="BK73" s="166"/>
      <c r="BL73" s="166"/>
      <c r="BM73" s="166"/>
      <c r="BN73" s="166"/>
      <c r="BO73" s="166"/>
      <c r="BP73" s="166"/>
      <c r="BQ73" s="166"/>
      <c r="BR73" s="166"/>
      <c r="BS73" s="166"/>
      <c r="BT73" s="166"/>
      <c r="BU73" s="166"/>
      <c r="BV73" s="166"/>
      <c r="BW73" s="166"/>
      <c r="BX73" s="166"/>
      <c r="BY73" s="166"/>
      <c r="BZ73" s="166"/>
      <c r="CA73" s="166"/>
      <c r="CB73" s="166"/>
      <c r="CC73" s="166"/>
      <c r="CD73" s="166"/>
      <c r="CE73" s="166"/>
      <c r="CF73" s="166"/>
      <c r="CG73" s="166"/>
      <c r="CH73" s="166"/>
      <c r="CI73" s="166"/>
      <c r="CJ73" s="166"/>
      <c r="CK73" s="166"/>
      <c r="CL73" s="166"/>
      <c r="CM73" s="166"/>
      <c r="CN73" s="166"/>
      <c r="CO73" s="166"/>
      <c r="CP73" s="166"/>
      <c r="CQ73" s="166"/>
      <c r="CR73" s="166"/>
      <c r="CS73" s="166"/>
      <c r="CT73" s="166"/>
      <c r="CU73" s="166"/>
      <c r="CV73" s="166"/>
      <c r="CW73" s="166"/>
      <c r="CX73" s="166"/>
      <c r="CY73" s="166"/>
      <c r="CZ73" s="166"/>
      <c r="DA73" s="166"/>
      <c r="DB73" s="166"/>
      <c r="DC73" s="166"/>
      <c r="DD73" s="166"/>
      <c r="DE73" s="166"/>
      <c r="DF73" s="166"/>
      <c r="DG73" s="166"/>
      <c r="DH73" s="166"/>
      <c r="DI73" s="166"/>
      <c r="DJ73" s="166"/>
      <c r="DK73" s="166"/>
      <c r="DL73" s="166"/>
      <c r="DM73" s="166"/>
      <c r="DN73" s="166"/>
      <c r="DO73" s="166"/>
      <c r="DP73" s="166"/>
      <c r="DQ73" s="166"/>
      <c r="DR73" s="166"/>
      <c r="DS73" s="166"/>
      <c r="DT73" s="166"/>
      <c r="DU73" s="166"/>
      <c r="DV73" s="166"/>
      <c r="DW73" s="166"/>
      <c r="DX73" s="166"/>
      <c r="DY73" s="166"/>
      <c r="DZ73" s="166"/>
      <c r="EA73" s="166"/>
      <c r="EB73" s="166"/>
      <c r="EC73" s="166"/>
      <c r="ED73" s="166"/>
      <c r="EE73" s="166"/>
      <c r="EF73" s="166"/>
      <c r="EG73" s="166"/>
      <c r="EH73" s="166"/>
      <c r="EI73" s="166"/>
      <c r="EJ73" s="166"/>
      <c r="EK73" s="166"/>
      <c r="EL73" s="166"/>
      <c r="EM73" s="166"/>
      <c r="EN73" s="166"/>
      <c r="EO73" s="166"/>
    </row>
    <row r="74" spans="1:145" x14ac:dyDescent="0.25">
      <c r="A74" s="15" t="s">
        <v>47</v>
      </c>
      <c r="B74" s="166">
        <f ca="1">B57*$C$111+AL57*$D$111+BV57*$E$111+DF57*$F$111</f>
        <v>32555.213824961422</v>
      </c>
      <c r="C74" s="166"/>
      <c r="D74" s="166"/>
      <c r="E74" s="166"/>
      <c r="F74" s="166"/>
      <c r="G74" s="166"/>
      <c r="H74" s="166">
        <f ca="1">H57*$C$112+AR57*$D$112+CB57*$E$112+DL57*$F$112</f>
        <v>35996.671707852089</v>
      </c>
      <c r="I74" s="166"/>
      <c r="J74" s="166"/>
      <c r="K74" s="166"/>
      <c r="L74" s="166"/>
      <c r="M74" s="166"/>
      <c r="N74" s="166">
        <f ca="1">N57*$C$113+AX57*$D$113+CH57*$E$113+DR57*$F$113</f>
        <v>0</v>
      </c>
      <c r="O74" s="166"/>
      <c r="P74" s="166"/>
      <c r="Q74" s="166"/>
      <c r="R74" s="166"/>
      <c r="S74" s="166"/>
      <c r="T74" s="166">
        <f ca="1">T57*$C$110+BD57*$D$110+CN57*$E$110+DX57*$F$110</f>
        <v>1352.154960989222</v>
      </c>
      <c r="U74" s="166"/>
      <c r="V74" s="166"/>
      <c r="W74" s="166"/>
      <c r="X74" s="166"/>
      <c r="Y74" s="166"/>
      <c r="Z74" s="166">
        <f ca="1">Z57*$C$114+BJ57*$D$114+CT57*$E$114+ED57*$F$114</f>
        <v>12185.192380891658</v>
      </c>
      <c r="AA74" s="166"/>
      <c r="AB74" s="166"/>
      <c r="AC74" s="166"/>
      <c r="AD74" s="166"/>
      <c r="AE74" s="166"/>
      <c r="AF74" s="166">
        <f ca="1">AF57*$C$115+BP57*$D$115+CZ57*$E$115+EJ57*$F$115</f>
        <v>42602.796729190006</v>
      </c>
      <c r="AG74" s="166"/>
      <c r="AH74" s="166"/>
      <c r="AI74" s="166"/>
      <c r="AJ74" s="166"/>
      <c r="AK74" s="166"/>
      <c r="AL74" s="166"/>
      <c r="AM74" s="166"/>
      <c r="AN74" s="166"/>
      <c r="AO74" s="166"/>
      <c r="AP74" s="166"/>
      <c r="AQ74" s="166"/>
      <c r="AR74" s="166"/>
      <c r="AS74" s="166"/>
      <c r="AT74" s="166"/>
      <c r="AU74" s="166"/>
      <c r="AV74" s="166"/>
      <c r="AW74" s="166"/>
      <c r="AX74" s="166"/>
      <c r="AY74" s="166"/>
      <c r="AZ74" s="166"/>
      <c r="BA74" s="166"/>
      <c r="BB74" s="166"/>
      <c r="BC74" s="166"/>
      <c r="BD74" s="166"/>
      <c r="BE74" s="166"/>
      <c r="BF74" s="166"/>
      <c r="BG74" s="166"/>
      <c r="BH74" s="166"/>
      <c r="BI74" s="166"/>
      <c r="BJ74" s="166"/>
      <c r="BK74" s="166"/>
      <c r="BL74" s="166"/>
      <c r="BM74" s="166"/>
      <c r="BN74" s="166"/>
      <c r="BO74" s="166"/>
      <c r="BP74" s="166"/>
      <c r="BQ74" s="166"/>
      <c r="BR74" s="166"/>
      <c r="BS74" s="166"/>
      <c r="BT74" s="166"/>
      <c r="BU74" s="166"/>
      <c r="BV74" s="166"/>
      <c r="BW74" s="166"/>
      <c r="BX74" s="166"/>
      <c r="BY74" s="166"/>
      <c r="BZ74" s="166"/>
      <c r="CA74" s="166"/>
      <c r="CB74" s="166"/>
      <c r="CC74" s="166"/>
      <c r="CD74" s="166"/>
      <c r="CE74" s="166"/>
      <c r="CF74" s="166"/>
      <c r="CG74" s="166"/>
      <c r="CH74" s="166"/>
      <c r="CI74" s="166"/>
      <c r="CJ74" s="166"/>
      <c r="CK74" s="166"/>
      <c r="CL74" s="166"/>
      <c r="CM74" s="166"/>
      <c r="CN74" s="166"/>
      <c r="CO74" s="166"/>
      <c r="CP74" s="166"/>
      <c r="CQ74" s="166"/>
      <c r="CR74" s="166"/>
      <c r="CS74" s="166"/>
      <c r="CT74" s="166"/>
      <c r="CU74" s="166"/>
      <c r="CV74" s="166"/>
      <c r="CW74" s="166"/>
      <c r="CX74" s="166"/>
      <c r="CY74" s="166"/>
      <c r="CZ74" s="166"/>
      <c r="DA74" s="166"/>
      <c r="DB74" s="166"/>
      <c r="DC74" s="166"/>
      <c r="DD74" s="166"/>
      <c r="DE74" s="166"/>
      <c r="DF74" s="166"/>
      <c r="DG74" s="166"/>
      <c r="DH74" s="166"/>
      <c r="DI74" s="166"/>
      <c r="DJ74" s="166"/>
      <c r="DK74" s="166"/>
      <c r="DL74" s="166"/>
      <c r="DM74" s="166"/>
      <c r="DN74" s="166"/>
      <c r="DO74" s="166"/>
      <c r="DP74" s="166"/>
      <c r="DQ74" s="166"/>
      <c r="DR74" s="166"/>
      <c r="DS74" s="166"/>
      <c r="DT74" s="166"/>
      <c r="DU74" s="166"/>
      <c r="DV74" s="166"/>
      <c r="DW74" s="166"/>
      <c r="DX74" s="166"/>
      <c r="DY74" s="166"/>
      <c r="DZ74" s="166"/>
      <c r="EA74" s="166"/>
      <c r="EB74" s="166"/>
      <c r="EC74" s="166"/>
      <c r="ED74" s="166"/>
      <c r="EE74" s="166"/>
      <c r="EF74" s="166"/>
      <c r="EG74" s="166"/>
      <c r="EH74" s="166"/>
      <c r="EI74" s="166"/>
      <c r="EJ74" s="166"/>
      <c r="EK74" s="166"/>
      <c r="EL74" s="166"/>
      <c r="EM74" s="166"/>
      <c r="EN74" s="166"/>
      <c r="EO74" s="166"/>
    </row>
    <row r="75" spans="1:145" x14ac:dyDescent="0.25">
      <c r="A75" s="17" t="s">
        <v>112</v>
      </c>
      <c r="B75" s="166"/>
      <c r="C75" s="166"/>
      <c r="D75" s="166"/>
      <c r="E75" s="166"/>
      <c r="F75" s="166"/>
      <c r="G75" s="166"/>
      <c r="H75" s="166"/>
      <c r="I75" s="166"/>
      <c r="J75" s="166"/>
      <c r="K75" s="166"/>
      <c r="L75" s="166"/>
      <c r="M75" s="166"/>
      <c r="N75" s="166"/>
      <c r="O75" s="166"/>
      <c r="P75" s="166"/>
      <c r="Q75" s="166"/>
      <c r="R75" s="166"/>
      <c r="S75" s="166"/>
      <c r="T75" s="166"/>
      <c r="U75" s="166"/>
      <c r="V75" s="166"/>
      <c r="W75" s="166"/>
      <c r="X75" s="166"/>
      <c r="Y75" s="166"/>
      <c r="Z75" s="166"/>
      <c r="AA75" s="166"/>
      <c r="AB75" s="166"/>
      <c r="AC75" s="166"/>
      <c r="AD75" s="166"/>
      <c r="AE75" s="166"/>
      <c r="AF75" s="166"/>
      <c r="AG75" s="166"/>
      <c r="AH75" s="166"/>
      <c r="AI75" s="166"/>
      <c r="AJ75" s="166"/>
      <c r="AK75" s="166"/>
      <c r="AL75" s="166"/>
      <c r="AM75" s="166"/>
      <c r="AN75" s="166"/>
      <c r="AO75" s="166"/>
      <c r="AP75" s="166"/>
      <c r="AQ75" s="166"/>
      <c r="AR75" s="166"/>
      <c r="AS75" s="166"/>
      <c r="AT75" s="166"/>
      <c r="AU75" s="166"/>
      <c r="AV75" s="166"/>
      <c r="AW75" s="166"/>
      <c r="AX75" s="166"/>
      <c r="AY75" s="166"/>
      <c r="AZ75" s="166"/>
      <c r="BA75" s="166"/>
      <c r="BB75" s="166"/>
      <c r="BC75" s="166"/>
      <c r="BD75" s="166"/>
      <c r="BE75" s="166"/>
      <c r="BF75" s="166"/>
      <c r="BG75" s="166"/>
      <c r="BH75" s="166"/>
      <c r="BI75" s="166"/>
      <c r="BJ75" s="166"/>
      <c r="BK75" s="166"/>
      <c r="BL75" s="166"/>
      <c r="BM75" s="166"/>
      <c r="BN75" s="166"/>
      <c r="BO75" s="166"/>
      <c r="BP75" s="166"/>
      <c r="BQ75" s="166"/>
      <c r="BR75" s="166"/>
      <c r="BS75" s="166"/>
      <c r="BT75" s="166"/>
      <c r="BU75" s="166"/>
      <c r="BV75" s="166"/>
      <c r="BW75" s="166"/>
      <c r="BX75" s="166"/>
      <c r="BY75" s="166"/>
      <c r="BZ75" s="166"/>
      <c r="CA75" s="166"/>
      <c r="CB75" s="166"/>
      <c r="CC75" s="166"/>
      <c r="CD75" s="166"/>
      <c r="CE75" s="166"/>
      <c r="CF75" s="166"/>
      <c r="CG75" s="166"/>
      <c r="CH75" s="166"/>
      <c r="CI75" s="166"/>
      <c r="CJ75" s="166"/>
      <c r="CK75" s="166"/>
      <c r="CL75" s="166"/>
      <c r="CM75" s="166"/>
      <c r="CN75" s="166"/>
      <c r="CO75" s="166"/>
      <c r="CP75" s="166"/>
      <c r="CQ75" s="166"/>
      <c r="CR75" s="166"/>
      <c r="CS75" s="166"/>
      <c r="CT75" s="166"/>
      <c r="CU75" s="166"/>
      <c r="CV75" s="166"/>
      <c r="CW75" s="166"/>
      <c r="CX75" s="166"/>
      <c r="CY75" s="166"/>
      <c r="CZ75" s="166"/>
      <c r="DA75" s="166"/>
      <c r="DB75" s="166"/>
      <c r="DC75" s="166"/>
      <c r="DD75" s="166"/>
      <c r="DE75" s="166"/>
      <c r="DF75" s="166"/>
      <c r="DG75" s="166"/>
      <c r="DH75" s="166"/>
      <c r="DI75" s="166"/>
      <c r="DJ75" s="166"/>
      <c r="DK75" s="166"/>
      <c r="DL75" s="166"/>
      <c r="DM75" s="166"/>
      <c r="DN75" s="166"/>
      <c r="DO75" s="166"/>
      <c r="DP75" s="166"/>
      <c r="DQ75" s="166"/>
      <c r="DR75" s="166"/>
      <c r="DS75" s="166"/>
      <c r="DT75" s="166"/>
      <c r="DU75" s="166"/>
      <c r="DV75" s="166"/>
      <c r="DW75" s="166"/>
      <c r="DX75" s="166"/>
      <c r="DY75" s="166"/>
      <c r="DZ75" s="166"/>
      <c r="EA75" s="166"/>
      <c r="EB75" s="166"/>
      <c r="EC75" s="166"/>
      <c r="ED75" s="166"/>
      <c r="EE75" s="166"/>
      <c r="EF75" s="166"/>
      <c r="EG75" s="166"/>
      <c r="EH75" s="166"/>
      <c r="EI75" s="166"/>
      <c r="EJ75" s="166"/>
      <c r="EK75" s="166"/>
      <c r="EL75" s="166"/>
      <c r="EM75" s="166"/>
      <c r="EN75" s="166"/>
      <c r="EO75" s="166"/>
    </row>
    <row r="76" spans="1:145" x14ac:dyDescent="0.25">
      <c r="A76" s="15" t="s">
        <v>40</v>
      </c>
      <c r="B76" s="166">
        <f ca="1">B59*$C$111+AL59*$D$111+BV59*$E$111+DF59*$F$111</f>
        <v>70164735031.459076</v>
      </c>
      <c r="C76" s="166"/>
      <c r="D76" s="166"/>
      <c r="E76" s="166"/>
      <c r="F76" s="166"/>
      <c r="G76" s="166"/>
      <c r="H76" s="166">
        <f ca="1">H59*$C$112+AR59*$D$112+CB59*$E$112+DL59*$F$112</f>
        <v>58562448976.956902</v>
      </c>
      <c r="I76" s="166"/>
      <c r="J76" s="166"/>
      <c r="K76" s="166"/>
      <c r="L76" s="166"/>
      <c r="M76" s="166"/>
      <c r="N76" s="166">
        <f ca="1">N59*$C$113+AX59*$D$113+CH59*$E$113+DR59*$F$113</f>
        <v>0</v>
      </c>
      <c r="O76" s="166"/>
      <c r="P76" s="166"/>
      <c r="Q76" s="166"/>
      <c r="R76" s="166"/>
      <c r="S76" s="166"/>
      <c r="T76" s="166">
        <f ca="1">T59*$C$110+BD59*$D$110+CN59*$E$110+DX59*$F$110</f>
        <v>1559.6546987160566</v>
      </c>
      <c r="U76" s="166"/>
      <c r="V76" s="166"/>
      <c r="W76" s="166"/>
      <c r="X76" s="166"/>
      <c r="Y76" s="166"/>
      <c r="Z76" s="166">
        <f ca="1">Z59*$C$114+BJ59*$D$114+CT59*$E$114+ED59*$F$114</f>
        <v>2567248.6692441357</v>
      </c>
      <c r="AA76" s="166"/>
      <c r="AB76" s="166"/>
      <c r="AC76" s="166"/>
      <c r="AD76" s="166"/>
      <c r="AE76" s="166"/>
      <c r="AF76" s="166">
        <f ca="1">AF59*$C$115+BP59*$D$115+CZ59*$E$115+EJ59*$F$115</f>
        <v>775883169916.69885</v>
      </c>
      <c r="AG76" s="166"/>
      <c r="AH76" s="166"/>
      <c r="AI76" s="166"/>
      <c r="AJ76" s="166"/>
      <c r="AK76" s="166"/>
      <c r="AL76" s="166"/>
      <c r="AM76" s="166"/>
      <c r="AN76" s="166"/>
      <c r="AO76" s="166"/>
      <c r="AP76" s="166"/>
      <c r="AQ76" s="166"/>
      <c r="AR76" s="166"/>
      <c r="AS76" s="166"/>
      <c r="AT76" s="166"/>
      <c r="AU76" s="166"/>
      <c r="AV76" s="166"/>
      <c r="AW76" s="166"/>
      <c r="AX76" s="166"/>
      <c r="AY76" s="166"/>
      <c r="AZ76" s="166"/>
      <c r="BA76" s="166"/>
      <c r="BB76" s="166"/>
      <c r="BC76" s="166"/>
      <c r="BD76" s="166"/>
      <c r="BE76" s="166"/>
      <c r="BF76" s="166"/>
      <c r="BG76" s="166"/>
      <c r="BH76" s="166"/>
      <c r="BI76" s="166"/>
      <c r="BJ76" s="166"/>
      <c r="BK76" s="166"/>
      <c r="BL76" s="166"/>
      <c r="BM76" s="166"/>
      <c r="BN76" s="166"/>
      <c r="BO76" s="166"/>
      <c r="BP76" s="166"/>
      <c r="BQ76" s="166"/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6"/>
      <c r="CM76" s="166"/>
      <c r="CN76" s="166"/>
      <c r="CO76" s="166"/>
      <c r="CP76" s="166"/>
      <c r="CQ76" s="166"/>
      <c r="CR76" s="166"/>
      <c r="CS76" s="166"/>
      <c r="CT76" s="166"/>
      <c r="CU76" s="166"/>
      <c r="CV76" s="166"/>
      <c r="CW76" s="166"/>
      <c r="CX76" s="166"/>
      <c r="CY76" s="166"/>
      <c r="CZ76" s="166"/>
      <c r="DA76" s="166"/>
      <c r="DB76" s="166"/>
      <c r="DC76" s="166"/>
      <c r="DD76" s="166"/>
      <c r="DE76" s="166"/>
      <c r="DF76" s="166"/>
      <c r="DG76" s="166"/>
      <c r="DH76" s="166"/>
      <c r="DI76" s="166"/>
      <c r="DJ76" s="166"/>
      <c r="DK76" s="166"/>
      <c r="DL76" s="166"/>
      <c r="DM76" s="166"/>
      <c r="DN76" s="166"/>
      <c r="DO76" s="166"/>
      <c r="DP76" s="166"/>
      <c r="DQ76" s="166"/>
      <c r="DR76" s="166"/>
      <c r="DS76" s="166"/>
      <c r="DT76" s="166"/>
      <c r="DU76" s="166"/>
      <c r="DV76" s="166"/>
      <c r="DW76" s="166"/>
      <c r="DX76" s="166"/>
      <c r="DY76" s="166"/>
      <c r="DZ76" s="166"/>
      <c r="EA76" s="166"/>
      <c r="EB76" s="166"/>
      <c r="EC76" s="166"/>
      <c r="ED76" s="166"/>
      <c r="EE76" s="166"/>
      <c r="EF76" s="166"/>
      <c r="EG76" s="166"/>
      <c r="EH76" s="166"/>
      <c r="EI76" s="166"/>
      <c r="EJ76" s="166"/>
      <c r="EK76" s="166"/>
      <c r="EL76" s="166"/>
      <c r="EM76" s="166"/>
      <c r="EN76" s="166"/>
      <c r="EO76" s="166"/>
    </row>
    <row r="77" spans="1:145" x14ac:dyDescent="0.25">
      <c r="A77" s="17" t="s">
        <v>41</v>
      </c>
      <c r="B77" s="166"/>
      <c r="C77" s="166"/>
      <c r="D77" s="166"/>
      <c r="E77" s="166"/>
      <c r="F77" s="166"/>
      <c r="G77" s="166"/>
      <c r="H77" s="166"/>
      <c r="I77" s="166"/>
      <c r="J77" s="166"/>
      <c r="K77" s="166"/>
      <c r="L77" s="166"/>
      <c r="M77" s="166"/>
      <c r="N77" s="166"/>
      <c r="O77" s="166"/>
      <c r="P77" s="166"/>
      <c r="Q77" s="166"/>
      <c r="R77" s="166"/>
      <c r="S77" s="166"/>
      <c r="T77" s="166"/>
      <c r="U77" s="166"/>
      <c r="V77" s="166"/>
      <c r="W77" s="166"/>
      <c r="X77" s="166"/>
      <c r="Y77" s="166"/>
      <c r="Z77" s="166"/>
      <c r="AA77" s="166"/>
      <c r="AB77" s="166"/>
      <c r="AC77" s="166"/>
      <c r="AD77" s="166"/>
      <c r="AE77" s="166"/>
      <c r="AF77" s="166"/>
      <c r="AG77" s="166"/>
      <c r="AH77" s="166"/>
      <c r="AI77" s="166"/>
      <c r="AJ77" s="166"/>
      <c r="AK77" s="166"/>
      <c r="AL77" s="166"/>
      <c r="AM77" s="166"/>
      <c r="AN77" s="166"/>
      <c r="AO77" s="166"/>
      <c r="AP77" s="166"/>
      <c r="AQ77" s="166"/>
      <c r="AR77" s="166"/>
      <c r="AS77" s="166"/>
      <c r="AT77" s="166"/>
      <c r="AU77" s="166"/>
      <c r="AV77" s="166"/>
      <c r="AW77" s="166"/>
      <c r="AX77" s="166"/>
      <c r="AY77" s="166"/>
      <c r="AZ77" s="166"/>
      <c r="BA77" s="166"/>
      <c r="BB77" s="166"/>
      <c r="BC77" s="166"/>
      <c r="BD77" s="166"/>
      <c r="BE77" s="166"/>
      <c r="BF77" s="166"/>
      <c r="BG77" s="166"/>
      <c r="BH77" s="166"/>
      <c r="BI77" s="166"/>
      <c r="BJ77" s="166"/>
      <c r="BK77" s="166"/>
      <c r="BL77" s="166"/>
      <c r="BM77" s="166"/>
      <c r="BN77" s="166"/>
      <c r="BO77" s="166"/>
      <c r="BP77" s="166"/>
      <c r="BQ77" s="166"/>
      <c r="BR77" s="166"/>
      <c r="BS77" s="166"/>
      <c r="BT77" s="166"/>
      <c r="BU77" s="166"/>
      <c r="BV77" s="166"/>
      <c r="BW77" s="166"/>
      <c r="BX77" s="166"/>
      <c r="BY77" s="166"/>
      <c r="BZ77" s="166"/>
      <c r="CA77" s="166"/>
      <c r="CB77" s="166"/>
      <c r="CC77" s="166"/>
      <c r="CD77" s="166"/>
      <c r="CE77" s="166"/>
      <c r="CF77" s="166"/>
      <c r="CG77" s="166"/>
      <c r="CH77" s="166"/>
      <c r="CI77" s="166"/>
      <c r="CJ77" s="166"/>
      <c r="CK77" s="166"/>
      <c r="CL77" s="166"/>
      <c r="CM77" s="166"/>
      <c r="CN77" s="166"/>
      <c r="CO77" s="166"/>
      <c r="CP77" s="166"/>
      <c r="CQ77" s="166"/>
      <c r="CR77" s="166"/>
      <c r="CS77" s="166"/>
      <c r="CT77" s="166"/>
      <c r="CU77" s="166"/>
      <c r="CV77" s="166"/>
      <c r="CW77" s="166"/>
      <c r="CX77" s="166"/>
      <c r="CY77" s="166"/>
      <c r="CZ77" s="166"/>
      <c r="DA77" s="166"/>
      <c r="DB77" s="166"/>
      <c r="DC77" s="166"/>
      <c r="DD77" s="166"/>
      <c r="DE77" s="166"/>
      <c r="DF77" s="166"/>
      <c r="DG77" s="166"/>
      <c r="DH77" s="166"/>
      <c r="DI77" s="166"/>
      <c r="DJ77" s="166"/>
      <c r="DK77" s="166"/>
      <c r="DL77" s="166"/>
      <c r="DM77" s="166"/>
      <c r="DN77" s="166"/>
      <c r="DO77" s="166"/>
      <c r="DP77" s="166"/>
      <c r="DQ77" s="166"/>
      <c r="DR77" s="166"/>
      <c r="DS77" s="166"/>
      <c r="DT77" s="166"/>
      <c r="DU77" s="166"/>
      <c r="DV77" s="166"/>
      <c r="DW77" s="166"/>
      <c r="DX77" s="166"/>
      <c r="DY77" s="166"/>
      <c r="DZ77" s="166"/>
      <c r="EA77" s="166"/>
      <c r="EB77" s="166"/>
      <c r="EC77" s="166"/>
      <c r="ED77" s="166"/>
      <c r="EE77" s="166"/>
      <c r="EF77" s="166"/>
      <c r="EG77" s="166"/>
      <c r="EH77" s="166"/>
      <c r="EI77" s="166"/>
      <c r="EJ77" s="166"/>
      <c r="EK77" s="166"/>
      <c r="EL77" s="166"/>
      <c r="EM77" s="166"/>
      <c r="EN77" s="166"/>
      <c r="EO77" s="166"/>
    </row>
    <row r="78" spans="1:145" x14ac:dyDescent="0.25">
      <c r="A78" s="14" t="s">
        <v>42</v>
      </c>
      <c r="B78" s="166">
        <f ca="1">B61*$C$111+AL61*$D$111+BV61*$E$111+DF61*$F$111</f>
        <v>5630615068.2935829</v>
      </c>
      <c r="C78" s="166"/>
      <c r="D78" s="166"/>
      <c r="E78" s="166"/>
      <c r="F78" s="166"/>
      <c r="G78" s="166"/>
      <c r="H78" s="166">
        <f ca="1">H61*$C$112+AR61*$D$112+CB61*$E$112+DL61*$F$112</f>
        <v>7700196268.9500933</v>
      </c>
      <c r="I78" s="166"/>
      <c r="J78" s="166"/>
      <c r="K78" s="166"/>
      <c r="L78" s="166"/>
      <c r="M78" s="166"/>
      <c r="N78" s="166">
        <f ca="1">N61*$C$113+AX61*$D$113+CH61*$E$113+DR61*$F$113</f>
        <v>0</v>
      </c>
      <c r="O78" s="166"/>
      <c r="P78" s="166"/>
      <c r="Q78" s="166"/>
      <c r="R78" s="166"/>
      <c r="S78" s="166"/>
      <c r="T78" s="166">
        <f ca="1">T61*$C$110+BD61*$D$110+CN61*$E$110+DX61*$F$110</f>
        <v>1442156.3247436672</v>
      </c>
      <c r="U78" s="166"/>
      <c r="V78" s="166"/>
      <c r="W78" s="166"/>
      <c r="X78" s="166"/>
      <c r="Y78" s="166"/>
      <c r="Z78" s="166">
        <f ca="1">Z61*$C$114+BJ61*$D$114+CT61*$E$114+ED61*$F$114</f>
        <v>563395925.17023623</v>
      </c>
      <c r="AA78" s="166"/>
      <c r="AB78" s="166"/>
      <c r="AC78" s="166"/>
      <c r="AD78" s="166"/>
      <c r="AE78" s="166"/>
      <c r="AF78" s="166">
        <f ca="1">AF61*$C$115+BP61*$D$115+CZ61*$E$115+EJ61*$F$115</f>
        <v>11189439658.502205</v>
      </c>
      <c r="AG78" s="166"/>
      <c r="AH78" s="166"/>
      <c r="AI78" s="166"/>
      <c r="AJ78" s="166"/>
      <c r="AK78" s="166"/>
      <c r="AL78" s="166"/>
      <c r="AM78" s="166"/>
      <c r="AN78" s="166"/>
      <c r="AO78" s="166"/>
      <c r="AP78" s="166"/>
      <c r="AQ78" s="166"/>
      <c r="AR78" s="166"/>
      <c r="AS78" s="166"/>
      <c r="AT78" s="166"/>
      <c r="AU78" s="166"/>
      <c r="AV78" s="166"/>
      <c r="AW78" s="166"/>
      <c r="AX78" s="166"/>
      <c r="AY78" s="166"/>
      <c r="AZ78" s="166"/>
      <c r="BA78" s="166"/>
      <c r="BB78" s="166"/>
      <c r="BC78" s="166"/>
      <c r="BD78" s="166"/>
      <c r="BE78" s="166"/>
      <c r="BF78" s="166"/>
      <c r="BG78" s="166"/>
      <c r="BH78" s="166"/>
      <c r="BI78" s="166"/>
      <c r="BJ78" s="166"/>
      <c r="BK78" s="166"/>
      <c r="BL78" s="166"/>
      <c r="BM78" s="166"/>
      <c r="BN78" s="166"/>
      <c r="BO78" s="166"/>
      <c r="BP78" s="166"/>
      <c r="BQ78" s="166"/>
      <c r="BR78" s="166"/>
      <c r="BS78" s="166"/>
      <c r="BT78" s="166"/>
      <c r="BU78" s="166"/>
      <c r="BV78" s="166"/>
      <c r="BW78" s="166"/>
      <c r="BX78" s="166"/>
      <c r="BY78" s="166"/>
      <c r="BZ78" s="166"/>
      <c r="CA78" s="166"/>
      <c r="CB78" s="166"/>
      <c r="CC78" s="166"/>
      <c r="CD78" s="166"/>
      <c r="CE78" s="166"/>
      <c r="CF78" s="166"/>
      <c r="CG78" s="166"/>
      <c r="CH78" s="166"/>
      <c r="CI78" s="166"/>
      <c r="CJ78" s="166"/>
      <c r="CK78" s="166"/>
      <c r="CL78" s="166"/>
      <c r="CM78" s="166"/>
      <c r="CN78" s="166"/>
      <c r="CO78" s="166"/>
      <c r="CP78" s="166"/>
      <c r="CQ78" s="166"/>
      <c r="CR78" s="166"/>
      <c r="CS78" s="166"/>
      <c r="CT78" s="166"/>
      <c r="CU78" s="166"/>
      <c r="CV78" s="166"/>
      <c r="CW78" s="166"/>
      <c r="CX78" s="166"/>
      <c r="CY78" s="166"/>
      <c r="CZ78" s="166"/>
      <c r="DA78" s="166"/>
      <c r="DB78" s="166"/>
      <c r="DC78" s="166"/>
      <c r="DD78" s="166"/>
      <c r="DE78" s="166"/>
      <c r="DF78" s="166"/>
      <c r="DG78" s="166"/>
      <c r="DH78" s="166"/>
      <c r="DI78" s="166"/>
      <c r="DJ78" s="166"/>
      <c r="DK78" s="166"/>
      <c r="DL78" s="166"/>
      <c r="DM78" s="166"/>
      <c r="DN78" s="166"/>
      <c r="DO78" s="166"/>
      <c r="DP78" s="166"/>
      <c r="DQ78" s="166"/>
      <c r="DR78" s="166"/>
      <c r="DS78" s="166"/>
      <c r="DT78" s="166"/>
      <c r="DU78" s="166"/>
      <c r="DV78" s="166"/>
      <c r="DW78" s="166"/>
      <c r="DX78" s="166"/>
      <c r="DY78" s="166"/>
      <c r="DZ78" s="166"/>
      <c r="EA78" s="166"/>
      <c r="EB78" s="166"/>
      <c r="EC78" s="166"/>
      <c r="ED78" s="166"/>
      <c r="EE78" s="166"/>
      <c r="EF78" s="166"/>
      <c r="EG78" s="166"/>
      <c r="EH78" s="166"/>
      <c r="EI78" s="166"/>
      <c r="EJ78" s="166"/>
      <c r="EK78" s="166"/>
      <c r="EL78" s="166"/>
      <c r="EM78" s="166"/>
      <c r="EN78" s="166"/>
      <c r="EO78" s="166"/>
    </row>
    <row r="79" spans="1:145" x14ac:dyDescent="0.25">
      <c r="A79" s="16" t="s">
        <v>36</v>
      </c>
      <c r="B79" s="166"/>
      <c r="C79" s="166"/>
      <c r="D79" s="166"/>
      <c r="E79" s="166"/>
      <c r="F79" s="166"/>
      <c r="G79" s="166"/>
      <c r="H79" s="166"/>
      <c r="I79" s="166"/>
      <c r="J79" s="166"/>
      <c r="K79" s="166"/>
      <c r="L79" s="166"/>
      <c r="M79" s="166"/>
      <c r="N79" s="166"/>
      <c r="O79" s="166"/>
      <c r="P79" s="166"/>
      <c r="Q79" s="166"/>
      <c r="R79" s="166"/>
      <c r="S79" s="166"/>
      <c r="T79" s="166"/>
      <c r="U79" s="166"/>
      <c r="V79" s="166"/>
      <c r="W79" s="166"/>
      <c r="X79" s="166"/>
      <c r="Y79" s="166"/>
      <c r="Z79" s="166"/>
      <c r="AA79" s="166"/>
      <c r="AB79" s="166"/>
      <c r="AC79" s="166"/>
      <c r="AD79" s="166"/>
      <c r="AE79" s="166"/>
      <c r="AF79" s="166"/>
      <c r="AG79" s="166"/>
      <c r="AH79" s="166"/>
      <c r="AI79" s="166"/>
      <c r="AJ79" s="166"/>
      <c r="AK79" s="166"/>
      <c r="AL79" s="166"/>
      <c r="AM79" s="166"/>
      <c r="AN79" s="166"/>
      <c r="AO79" s="166"/>
      <c r="AP79" s="166"/>
      <c r="AQ79" s="166"/>
      <c r="AR79" s="166"/>
      <c r="AS79" s="166"/>
      <c r="AT79" s="166"/>
      <c r="AU79" s="166"/>
      <c r="AV79" s="166"/>
      <c r="AW79" s="166"/>
      <c r="AX79" s="166"/>
      <c r="AY79" s="166"/>
      <c r="AZ79" s="166"/>
      <c r="BA79" s="166"/>
      <c r="BB79" s="166"/>
      <c r="BC79" s="166"/>
      <c r="BD79" s="166"/>
      <c r="BE79" s="166"/>
      <c r="BF79" s="166"/>
      <c r="BG79" s="166"/>
      <c r="BH79" s="166"/>
      <c r="BI79" s="166"/>
      <c r="BJ79" s="166"/>
      <c r="BK79" s="166"/>
      <c r="BL79" s="166"/>
      <c r="BM79" s="166"/>
      <c r="BN79" s="166"/>
      <c r="BO79" s="166"/>
      <c r="BP79" s="166"/>
      <c r="BQ79" s="166"/>
      <c r="BR79" s="166"/>
      <c r="BS79" s="166"/>
      <c r="BT79" s="166"/>
      <c r="BU79" s="166"/>
      <c r="BV79" s="166"/>
      <c r="BW79" s="166"/>
      <c r="BX79" s="166"/>
      <c r="BY79" s="166"/>
      <c r="BZ79" s="166"/>
      <c r="CA79" s="166"/>
      <c r="CB79" s="166"/>
      <c r="CC79" s="166"/>
      <c r="CD79" s="166"/>
      <c r="CE79" s="166"/>
      <c r="CF79" s="166"/>
      <c r="CG79" s="166"/>
      <c r="CH79" s="166"/>
      <c r="CI79" s="166"/>
      <c r="CJ79" s="166"/>
      <c r="CK79" s="166"/>
      <c r="CL79" s="166"/>
      <c r="CM79" s="166"/>
      <c r="CN79" s="166"/>
      <c r="CO79" s="166"/>
      <c r="CP79" s="166"/>
      <c r="CQ79" s="166"/>
      <c r="CR79" s="166"/>
      <c r="CS79" s="166"/>
      <c r="CT79" s="166"/>
      <c r="CU79" s="166"/>
      <c r="CV79" s="166"/>
      <c r="CW79" s="166"/>
      <c r="CX79" s="166"/>
      <c r="CY79" s="166"/>
      <c r="CZ79" s="166"/>
      <c r="DA79" s="166"/>
      <c r="DB79" s="166"/>
      <c r="DC79" s="166"/>
      <c r="DD79" s="166"/>
      <c r="DE79" s="166"/>
      <c r="DF79" s="166"/>
      <c r="DG79" s="166"/>
      <c r="DH79" s="166"/>
      <c r="DI79" s="166"/>
      <c r="DJ79" s="166"/>
      <c r="DK79" s="166"/>
      <c r="DL79" s="166"/>
      <c r="DM79" s="166"/>
      <c r="DN79" s="166"/>
      <c r="DO79" s="166"/>
      <c r="DP79" s="166"/>
      <c r="DQ79" s="166"/>
      <c r="DR79" s="166"/>
      <c r="DS79" s="166"/>
      <c r="DT79" s="166"/>
      <c r="DU79" s="166"/>
      <c r="DV79" s="166"/>
      <c r="DW79" s="166"/>
      <c r="DX79" s="166"/>
      <c r="DY79" s="166"/>
      <c r="DZ79" s="166"/>
      <c r="EA79" s="166"/>
      <c r="EB79" s="166"/>
      <c r="EC79" s="166"/>
      <c r="ED79" s="166"/>
      <c r="EE79" s="166"/>
      <c r="EF79" s="166"/>
      <c r="EG79" s="166"/>
      <c r="EH79" s="166"/>
      <c r="EI79" s="166"/>
      <c r="EJ79" s="166"/>
      <c r="EK79" s="166"/>
      <c r="EL79" s="166"/>
      <c r="EM79" s="166"/>
      <c r="EN79" s="166"/>
      <c r="EO79" s="166"/>
    </row>
    <row r="80" spans="1:145" x14ac:dyDescent="0.25">
      <c r="A80" s="14" t="s">
        <v>38</v>
      </c>
      <c r="B80" s="166">
        <f ca="1">B63*$C$111+AL63*$D$111+BV63*$E$111+DF63*$F$111</f>
        <v>344002764.33703959</v>
      </c>
      <c r="C80" s="166"/>
      <c r="D80" s="166"/>
      <c r="E80" s="166"/>
      <c r="F80" s="166"/>
      <c r="G80" s="166"/>
      <c r="H80" s="166">
        <f ca="1">H63*$C$112+AR63*$D$112+CB63*$E$112+DL63*$F$112</f>
        <v>424768275.22357571</v>
      </c>
      <c r="I80" s="166"/>
      <c r="J80" s="166"/>
      <c r="K80" s="166"/>
      <c r="L80" s="166"/>
      <c r="M80" s="166"/>
      <c r="N80" s="166">
        <f ca="1">N63*$C$113+AX63*$D$113+CH63*$E$113+DR63*$F$113</f>
        <v>0</v>
      </c>
      <c r="O80" s="166"/>
      <c r="P80" s="166"/>
      <c r="Q80" s="166"/>
      <c r="R80" s="166"/>
      <c r="S80" s="166"/>
      <c r="T80" s="166">
        <f ca="1">T63*$C$110+BD63*$D$110+CN63*$E$110+DX63*$F$110</f>
        <v>1393804.3546170106</v>
      </c>
      <c r="U80" s="166"/>
      <c r="V80" s="166"/>
      <c r="W80" s="166"/>
      <c r="X80" s="166"/>
      <c r="Y80" s="166"/>
      <c r="Z80" s="166">
        <f ca="1">Z63*$C$114+BJ63*$D$114+CT63*$E$114+ED63*$F$114</f>
        <v>74355822.409984857</v>
      </c>
      <c r="AA80" s="166"/>
      <c r="AB80" s="166"/>
      <c r="AC80" s="166"/>
      <c r="AD80" s="166"/>
      <c r="AE80" s="166"/>
      <c r="AF80" s="166">
        <f ca="1">AF63*$C$115+BP63*$D$115+CZ63*$E$115+EJ63*$F$115</f>
        <v>545713925.11257601</v>
      </c>
      <c r="AG80" s="166"/>
      <c r="AH80" s="166"/>
      <c r="AI80" s="166"/>
      <c r="AJ80" s="166"/>
      <c r="AK80" s="166"/>
      <c r="AL80" s="166"/>
      <c r="AM80" s="166"/>
      <c r="AN80" s="166"/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6"/>
      <c r="BI80" s="166"/>
      <c r="BJ80" s="166"/>
      <c r="BK80" s="166"/>
      <c r="BL80" s="166"/>
      <c r="BM80" s="166"/>
      <c r="BN80" s="166"/>
      <c r="BO80" s="166"/>
      <c r="BP80" s="166"/>
      <c r="BQ80" s="166"/>
      <c r="BR80" s="166"/>
      <c r="BS80" s="166"/>
      <c r="BT80" s="166"/>
      <c r="BU80" s="166"/>
      <c r="BV80" s="166"/>
      <c r="BW80" s="166"/>
      <c r="BX80" s="166"/>
      <c r="BY80" s="166"/>
      <c r="BZ80" s="166"/>
      <c r="CA80" s="166"/>
      <c r="CB80" s="166"/>
      <c r="CC80" s="166"/>
      <c r="CD80" s="166"/>
      <c r="CE80" s="166"/>
      <c r="CF80" s="166"/>
      <c r="CG80" s="166"/>
      <c r="CH80" s="166"/>
      <c r="CI80" s="166"/>
      <c r="CJ80" s="166"/>
      <c r="CK80" s="166"/>
      <c r="CL80" s="166"/>
      <c r="CM80" s="166"/>
      <c r="CN80" s="166"/>
      <c r="CO80" s="166"/>
      <c r="CP80" s="166"/>
      <c r="CQ80" s="166"/>
      <c r="CR80" s="166"/>
      <c r="CS80" s="166"/>
      <c r="CT80" s="166"/>
      <c r="CU80" s="166"/>
      <c r="CV80" s="166"/>
      <c r="CW80" s="166"/>
      <c r="CX80" s="166"/>
      <c r="CY80" s="166"/>
      <c r="CZ80" s="166"/>
      <c r="DA80" s="166"/>
      <c r="DB80" s="166"/>
      <c r="DC80" s="166"/>
      <c r="DD80" s="166"/>
      <c r="DE80" s="166"/>
      <c r="DF80" s="166"/>
      <c r="DG80" s="166"/>
      <c r="DH80" s="166"/>
      <c r="DI80" s="166"/>
      <c r="DJ80" s="166"/>
      <c r="DK80" s="166"/>
      <c r="DL80" s="166"/>
      <c r="DM80" s="166"/>
      <c r="DN80" s="166"/>
      <c r="DO80" s="166"/>
      <c r="DP80" s="166"/>
      <c r="DQ80" s="166"/>
      <c r="DR80" s="166"/>
      <c r="DS80" s="166"/>
      <c r="DT80" s="166"/>
      <c r="DU80" s="166"/>
      <c r="DV80" s="166"/>
      <c r="DW80" s="166"/>
      <c r="DX80" s="166"/>
      <c r="DY80" s="166"/>
      <c r="DZ80" s="166"/>
      <c r="EA80" s="166"/>
      <c r="EB80" s="166"/>
      <c r="EC80" s="166"/>
      <c r="ED80" s="166"/>
      <c r="EE80" s="166"/>
      <c r="EF80" s="166"/>
      <c r="EG80" s="166"/>
      <c r="EH80" s="166"/>
      <c r="EI80" s="166"/>
      <c r="EJ80" s="166"/>
      <c r="EK80" s="166"/>
      <c r="EL80" s="166"/>
      <c r="EM80" s="166"/>
      <c r="EN80" s="166"/>
      <c r="EO80" s="166"/>
    </row>
    <row r="81" spans="1:145" x14ac:dyDescent="0.25">
      <c r="A81" s="17" t="s">
        <v>43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6"/>
      <c r="P81" s="166"/>
      <c r="Q81" s="166"/>
      <c r="R81" s="166"/>
      <c r="S81" s="166"/>
      <c r="T81" s="166"/>
      <c r="U81" s="166"/>
      <c r="V81" s="166"/>
      <c r="W81" s="166"/>
      <c r="X81" s="166"/>
      <c r="Y81" s="166"/>
      <c r="Z81" s="166"/>
      <c r="AA81" s="166"/>
      <c r="AB81" s="166"/>
      <c r="AC81" s="166"/>
      <c r="AD81" s="166"/>
      <c r="AE81" s="166"/>
      <c r="AF81" s="166"/>
      <c r="AG81" s="166"/>
      <c r="AH81" s="166"/>
      <c r="AI81" s="166"/>
      <c r="AJ81" s="166"/>
      <c r="AK81" s="166"/>
      <c r="AL81" s="166"/>
      <c r="AM81" s="166"/>
      <c r="AN81" s="166"/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6"/>
      <c r="BI81" s="166"/>
      <c r="BJ81" s="166"/>
      <c r="BK81" s="166"/>
      <c r="BL81" s="166"/>
      <c r="BM81" s="166"/>
      <c r="BN81" s="166"/>
      <c r="BO81" s="166"/>
      <c r="BP81" s="166"/>
      <c r="BQ81" s="166"/>
      <c r="BR81" s="166"/>
      <c r="BS81" s="166"/>
      <c r="BT81" s="166"/>
      <c r="BU81" s="166"/>
      <c r="BV81" s="166"/>
      <c r="BW81" s="166"/>
      <c r="BX81" s="166"/>
      <c r="BY81" s="166"/>
      <c r="BZ81" s="166"/>
      <c r="CA81" s="166"/>
      <c r="CB81" s="166"/>
      <c r="CC81" s="166"/>
      <c r="CD81" s="166"/>
      <c r="CE81" s="166"/>
      <c r="CF81" s="166"/>
      <c r="CG81" s="166"/>
      <c r="CH81" s="166"/>
      <c r="CI81" s="166"/>
      <c r="CJ81" s="166"/>
      <c r="CK81" s="166"/>
      <c r="CL81" s="166"/>
      <c r="CM81" s="166"/>
      <c r="CN81" s="166"/>
      <c r="CO81" s="166"/>
      <c r="CP81" s="166"/>
      <c r="CQ81" s="166"/>
      <c r="CR81" s="166"/>
      <c r="CS81" s="166"/>
      <c r="CT81" s="166"/>
      <c r="CU81" s="166"/>
      <c r="CV81" s="166"/>
      <c r="CW81" s="166"/>
      <c r="CX81" s="166"/>
      <c r="CY81" s="166"/>
      <c r="CZ81" s="166"/>
      <c r="DA81" s="166"/>
      <c r="DB81" s="166"/>
      <c r="DC81" s="166"/>
      <c r="DD81" s="166"/>
      <c r="DE81" s="166"/>
      <c r="DF81" s="166"/>
      <c r="DG81" s="166"/>
      <c r="DH81" s="166"/>
      <c r="DI81" s="166"/>
      <c r="DJ81" s="166"/>
      <c r="DK81" s="166"/>
      <c r="DL81" s="166"/>
      <c r="DM81" s="166"/>
      <c r="DN81" s="166"/>
      <c r="DO81" s="166"/>
      <c r="DP81" s="166"/>
      <c r="DQ81" s="166"/>
      <c r="DR81" s="166"/>
      <c r="DS81" s="166"/>
      <c r="DT81" s="166"/>
      <c r="DU81" s="166"/>
      <c r="DV81" s="166"/>
      <c r="DW81" s="166"/>
      <c r="DX81" s="166"/>
      <c r="DY81" s="166"/>
      <c r="DZ81" s="166"/>
      <c r="EA81" s="166"/>
      <c r="EB81" s="166"/>
      <c r="EC81" s="166"/>
      <c r="ED81" s="166"/>
      <c r="EE81" s="166"/>
      <c r="EF81" s="166"/>
      <c r="EG81" s="166"/>
      <c r="EH81" s="166"/>
      <c r="EI81" s="166"/>
      <c r="EJ81" s="166"/>
      <c r="EK81" s="166"/>
      <c r="EL81" s="166"/>
      <c r="EM81" s="166"/>
      <c r="EN81" s="166"/>
      <c r="EO81" s="166"/>
    </row>
    <row r="82" spans="1:145" x14ac:dyDescent="0.25">
      <c r="A82" s="15" t="s">
        <v>45</v>
      </c>
      <c r="B82" s="166">
        <f ca="1">B65*$C$111+AL65*$D$111+BV65*$E$111+DF65*$F$111</f>
        <v>6.9459355380332974E-2</v>
      </c>
      <c r="C82" s="166"/>
      <c r="D82" s="166"/>
      <c r="E82" s="166"/>
      <c r="F82" s="166"/>
      <c r="G82" s="166"/>
      <c r="H82" s="166">
        <f ca="1">H65*$C$112+AR65*$D$112+CB65*$E$112+DL65*$F$112</f>
        <v>3.0257010181901557E-2</v>
      </c>
      <c r="I82" s="166"/>
      <c r="J82" s="166"/>
      <c r="K82" s="166"/>
      <c r="L82" s="166"/>
      <c r="M82" s="166"/>
      <c r="N82" s="166">
        <f ca="1">N65*$C$113+AX65*$D$113+CH65*$E$113+DR65*$F$113</f>
        <v>0</v>
      </c>
      <c r="O82" s="166"/>
      <c r="P82" s="166"/>
      <c r="Q82" s="166"/>
      <c r="R82" s="166"/>
      <c r="S82" s="166"/>
      <c r="T82" s="166">
        <f ca="1">T65*$C$110+BD65*$D$110+CN65*$E$110+DX65*$F$110</f>
        <v>2.4995596903136425E-2</v>
      </c>
      <c r="U82" s="166"/>
      <c r="V82" s="166"/>
      <c r="W82" s="166"/>
      <c r="X82" s="166"/>
      <c r="Y82" s="166"/>
      <c r="Z82" s="166">
        <f ca="1">Z65*$C$114+BJ65*$D$114+CT65*$E$114+ED65*$F$114</f>
        <v>3.871242450261092E-2</v>
      </c>
      <c r="AA82" s="166"/>
      <c r="AB82" s="166"/>
      <c r="AC82" s="166"/>
      <c r="AD82" s="166"/>
      <c r="AE82" s="166"/>
      <c r="AF82" s="166">
        <f ca="1">AF65*$C$115+BP65*$D$115+CZ65*$E$115+EJ65*$F$115</f>
        <v>3.0187470864927755E-2</v>
      </c>
      <c r="AG82" s="166"/>
      <c r="AH82" s="166"/>
      <c r="AI82" s="166"/>
      <c r="AJ82" s="166"/>
      <c r="AK82" s="166"/>
      <c r="AL82" s="166"/>
      <c r="AM82" s="166"/>
      <c r="AN82" s="166"/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6"/>
      <c r="BI82" s="166"/>
      <c r="BJ82" s="166"/>
      <c r="BK82" s="166"/>
      <c r="BL82" s="166"/>
      <c r="BM82" s="166"/>
      <c r="BN82" s="166"/>
      <c r="BO82" s="166"/>
      <c r="BP82" s="166"/>
      <c r="BQ82" s="166"/>
      <c r="BR82" s="166"/>
      <c r="BS82" s="166"/>
      <c r="BT82" s="166"/>
      <c r="BU82" s="166"/>
      <c r="BV82" s="166"/>
      <c r="BW82" s="166"/>
      <c r="BX82" s="166"/>
      <c r="BY82" s="166"/>
      <c r="BZ82" s="166"/>
      <c r="CA82" s="166"/>
      <c r="CB82" s="166"/>
      <c r="CC82" s="166"/>
      <c r="CD82" s="166"/>
      <c r="CE82" s="166"/>
      <c r="CF82" s="166"/>
      <c r="CG82" s="166"/>
      <c r="CH82" s="166"/>
      <c r="CI82" s="166"/>
      <c r="CJ82" s="166"/>
      <c r="CK82" s="166"/>
      <c r="CL82" s="166"/>
      <c r="CM82" s="166"/>
      <c r="CN82" s="166"/>
      <c r="CO82" s="166"/>
      <c r="CP82" s="166"/>
      <c r="CQ82" s="166"/>
      <c r="CR82" s="166"/>
      <c r="CS82" s="166"/>
      <c r="CT82" s="166"/>
      <c r="CU82" s="166"/>
      <c r="CV82" s="166"/>
      <c r="CW82" s="166"/>
      <c r="CX82" s="166"/>
      <c r="CY82" s="166"/>
      <c r="CZ82" s="166"/>
      <c r="DA82" s="166"/>
      <c r="DB82" s="166"/>
      <c r="DC82" s="166"/>
      <c r="DD82" s="166"/>
      <c r="DE82" s="166"/>
      <c r="DF82" s="166"/>
      <c r="DG82" s="166"/>
      <c r="DH82" s="166"/>
      <c r="DI82" s="166"/>
      <c r="DJ82" s="166"/>
      <c r="DK82" s="166"/>
      <c r="DL82" s="166"/>
      <c r="DM82" s="166"/>
      <c r="DN82" s="166"/>
      <c r="DO82" s="166"/>
      <c r="DP82" s="166"/>
      <c r="DQ82" s="166"/>
      <c r="DR82" s="166"/>
      <c r="DS82" s="166"/>
      <c r="DT82" s="166"/>
      <c r="DU82" s="166"/>
      <c r="DV82" s="166"/>
      <c r="DW82" s="166"/>
      <c r="DX82" s="166"/>
      <c r="DY82" s="166"/>
      <c r="DZ82" s="166"/>
      <c r="EA82" s="166"/>
      <c r="EB82" s="166"/>
      <c r="EC82" s="166"/>
      <c r="ED82" s="166"/>
      <c r="EE82" s="166"/>
      <c r="EF82" s="166"/>
      <c r="EG82" s="166"/>
      <c r="EH82" s="166"/>
      <c r="EI82" s="166"/>
      <c r="EJ82" s="166"/>
      <c r="EK82" s="166"/>
      <c r="EL82" s="166"/>
      <c r="EM82" s="166"/>
      <c r="EN82" s="166"/>
      <c r="EO82" s="166"/>
    </row>
    <row r="83" spans="1:145" x14ac:dyDescent="0.25">
      <c r="A83" s="15" t="s">
        <v>116</v>
      </c>
      <c r="B83" s="166"/>
      <c r="C83" s="166"/>
      <c r="D83" s="166"/>
      <c r="E83" s="166"/>
      <c r="F83" s="166"/>
      <c r="G83" s="166"/>
      <c r="H83" s="166"/>
      <c r="I83" s="166"/>
      <c r="J83" s="166"/>
      <c r="K83" s="166"/>
      <c r="L83" s="166"/>
      <c r="M83" s="166"/>
      <c r="N83" s="166"/>
      <c r="O83" s="166"/>
      <c r="P83" s="166"/>
      <c r="Q83" s="166"/>
      <c r="R83" s="166"/>
      <c r="S83" s="166"/>
      <c r="T83" s="166"/>
      <c r="U83" s="166"/>
      <c r="V83" s="166"/>
      <c r="W83" s="166"/>
      <c r="X83" s="166"/>
      <c r="Y83" s="166"/>
      <c r="Z83" s="166"/>
      <c r="AA83" s="166"/>
      <c r="AB83" s="166"/>
      <c r="AC83" s="166"/>
      <c r="AD83" s="166"/>
      <c r="AE83" s="166"/>
      <c r="AF83" s="166"/>
      <c r="AG83" s="166"/>
      <c r="AH83" s="166"/>
      <c r="AI83" s="166"/>
      <c r="AJ83" s="166"/>
      <c r="AK83" s="166"/>
      <c r="AL83" s="166"/>
      <c r="AM83" s="166"/>
      <c r="AN83" s="166"/>
      <c r="AO83" s="166"/>
      <c r="AP83" s="166"/>
      <c r="AQ83" s="166"/>
      <c r="AR83" s="166"/>
      <c r="AS83" s="166"/>
      <c r="AT83" s="166"/>
      <c r="AU83" s="166"/>
      <c r="AV83" s="166"/>
      <c r="AW83" s="166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6"/>
      <c r="BI83" s="166"/>
      <c r="BJ83" s="166"/>
      <c r="BK83" s="166"/>
      <c r="BL83" s="166"/>
      <c r="BM83" s="166"/>
      <c r="BN83" s="166"/>
      <c r="BO83" s="166"/>
      <c r="BP83" s="166"/>
      <c r="BQ83" s="166"/>
      <c r="BR83" s="166"/>
      <c r="BS83" s="166"/>
      <c r="BT83" s="166"/>
      <c r="BU83" s="166"/>
      <c r="BV83" s="166"/>
      <c r="BW83" s="166"/>
      <c r="BX83" s="166"/>
      <c r="BY83" s="166"/>
      <c r="BZ83" s="166"/>
      <c r="CA83" s="166"/>
      <c r="CB83" s="166"/>
      <c r="CC83" s="166"/>
      <c r="CD83" s="166"/>
      <c r="CE83" s="166"/>
      <c r="CF83" s="166"/>
      <c r="CG83" s="166"/>
      <c r="CH83" s="166"/>
      <c r="CI83" s="166"/>
      <c r="CJ83" s="166"/>
      <c r="CK83" s="166"/>
      <c r="CL83" s="166"/>
      <c r="CM83" s="166"/>
      <c r="CN83" s="166"/>
      <c r="CO83" s="166"/>
      <c r="CP83" s="166"/>
      <c r="CQ83" s="166"/>
      <c r="CR83" s="166"/>
      <c r="CS83" s="166"/>
      <c r="CT83" s="166"/>
      <c r="CU83" s="166"/>
      <c r="CV83" s="166"/>
      <c r="CW83" s="166"/>
      <c r="CX83" s="166"/>
      <c r="CY83" s="166"/>
      <c r="CZ83" s="166"/>
      <c r="DA83" s="166"/>
      <c r="DB83" s="166"/>
      <c r="DC83" s="166"/>
      <c r="DD83" s="166"/>
      <c r="DE83" s="166"/>
      <c r="DF83" s="166"/>
      <c r="DG83" s="166"/>
      <c r="DH83" s="166"/>
      <c r="DI83" s="166"/>
      <c r="DJ83" s="166"/>
      <c r="DK83" s="166"/>
      <c r="DL83" s="166"/>
      <c r="DM83" s="166"/>
      <c r="DN83" s="166"/>
      <c r="DO83" s="166"/>
      <c r="DP83" s="166"/>
      <c r="DQ83" s="166"/>
      <c r="DR83" s="166"/>
      <c r="DS83" s="166"/>
      <c r="DT83" s="166"/>
      <c r="DU83" s="166"/>
      <c r="DV83" s="166"/>
      <c r="DW83" s="166"/>
      <c r="DX83" s="166"/>
      <c r="DY83" s="166"/>
      <c r="DZ83" s="166"/>
      <c r="EA83" s="166"/>
      <c r="EB83" s="166"/>
      <c r="EC83" s="166"/>
      <c r="ED83" s="166"/>
      <c r="EE83" s="166"/>
      <c r="EF83" s="166"/>
      <c r="EG83" s="166"/>
      <c r="EH83" s="166"/>
      <c r="EI83" s="166"/>
      <c r="EJ83" s="166"/>
      <c r="EK83" s="166"/>
      <c r="EL83" s="166"/>
      <c r="EM83" s="166"/>
      <c r="EN83" s="166"/>
      <c r="EO83" s="166"/>
    </row>
    <row r="84" spans="1:145" x14ac:dyDescent="0.25">
      <c r="A84" s="16" t="s">
        <v>26</v>
      </c>
      <c r="B84" s="166"/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66"/>
      <c r="AJ84" s="166"/>
      <c r="AK84" s="166"/>
      <c r="AL84" s="166"/>
      <c r="AM84" s="166"/>
      <c r="AN84" s="166"/>
      <c r="AO84" s="166"/>
      <c r="AP84" s="166"/>
      <c r="AQ84" s="166"/>
      <c r="AR84" s="166"/>
      <c r="AS84" s="166"/>
      <c r="AT84" s="166"/>
      <c r="AU84" s="166"/>
      <c r="AV84" s="166"/>
      <c r="AW84" s="166"/>
      <c r="AX84" s="166"/>
      <c r="AY84" s="166"/>
      <c r="AZ84" s="166"/>
      <c r="BA84" s="166"/>
      <c r="BB84" s="166"/>
      <c r="BC84" s="166"/>
      <c r="BD84" s="166"/>
      <c r="BE84" s="166"/>
      <c r="BF84" s="166"/>
      <c r="BG84" s="166"/>
      <c r="BH84" s="166"/>
      <c r="BI84" s="166"/>
      <c r="BJ84" s="166"/>
      <c r="BK84" s="166"/>
      <c r="BL84" s="166"/>
      <c r="BM84" s="166"/>
      <c r="BN84" s="166"/>
      <c r="BO84" s="166"/>
      <c r="BP84" s="166"/>
      <c r="BQ84" s="166"/>
      <c r="BR84" s="166"/>
      <c r="BS84" s="166"/>
      <c r="BT84" s="166"/>
      <c r="BU84" s="166"/>
      <c r="BV84" s="166"/>
      <c r="BW84" s="166"/>
      <c r="BX84" s="166"/>
      <c r="BY84" s="166"/>
      <c r="BZ84" s="166"/>
      <c r="CA84" s="166"/>
      <c r="CB84" s="166"/>
      <c r="CC84" s="166"/>
      <c r="CD84" s="166"/>
      <c r="CE84" s="166"/>
      <c r="CF84" s="166"/>
      <c r="CG84" s="166"/>
      <c r="CH84" s="166"/>
      <c r="CI84" s="166"/>
      <c r="CJ84" s="166"/>
      <c r="CK84" s="166"/>
      <c r="CL84" s="166"/>
      <c r="CM84" s="166"/>
      <c r="CN84" s="166"/>
      <c r="CO84" s="166"/>
      <c r="CP84" s="166"/>
      <c r="CQ84" s="166"/>
      <c r="CR84" s="166"/>
      <c r="CS84" s="166"/>
      <c r="CT84" s="166"/>
      <c r="CU84" s="166"/>
      <c r="CV84" s="166"/>
      <c r="CW84" s="166"/>
      <c r="CX84" s="166"/>
      <c r="CY84" s="166"/>
      <c r="CZ84" s="166"/>
      <c r="DA84" s="166"/>
      <c r="DB84" s="166"/>
      <c r="DC84" s="166"/>
      <c r="DD84" s="166"/>
      <c r="DE84" s="166"/>
      <c r="DF84" s="166"/>
      <c r="DG84" s="166"/>
      <c r="DH84" s="166"/>
      <c r="DI84" s="166"/>
      <c r="DJ84" s="166"/>
      <c r="DK84" s="166"/>
      <c r="DL84" s="166"/>
      <c r="DM84" s="166"/>
      <c r="DN84" s="166"/>
      <c r="DO84" s="166"/>
      <c r="DP84" s="166"/>
      <c r="DQ84" s="166"/>
      <c r="DR84" s="166"/>
      <c r="DS84" s="166"/>
      <c r="DT84" s="166"/>
      <c r="DU84" s="166"/>
      <c r="DV84" s="166"/>
      <c r="DW84" s="166"/>
      <c r="DX84" s="166"/>
      <c r="DY84" s="166"/>
      <c r="DZ84" s="166"/>
      <c r="EA84" s="166"/>
      <c r="EB84" s="166"/>
      <c r="EC84" s="166"/>
      <c r="ED84" s="166"/>
      <c r="EE84" s="166"/>
      <c r="EF84" s="166"/>
      <c r="EG84" s="166"/>
      <c r="EH84" s="166"/>
      <c r="EI84" s="166"/>
      <c r="EJ84" s="166"/>
      <c r="EK84" s="166"/>
      <c r="EL84" s="166"/>
      <c r="EM84" s="166"/>
      <c r="EN84" s="166"/>
      <c r="EO84" s="166"/>
    </row>
    <row r="85" spans="1:145" x14ac:dyDescent="0.25">
      <c r="A85" s="14" t="s">
        <v>29</v>
      </c>
      <c r="B85" s="166">
        <f ca="1">B68*$B$111+H68*$B$112+N68*$B$113+T68*$B$110+Z68*$B$114+AF68*$B$115</f>
        <v>185068.11810645214</v>
      </c>
      <c r="C85" s="166"/>
      <c r="D85" s="166"/>
      <c r="E85" s="166"/>
      <c r="F85" s="166"/>
      <c r="G85" s="166"/>
      <c r="H85" s="166"/>
      <c r="I85" s="166"/>
      <c r="J85" s="166"/>
      <c r="K85" s="166"/>
      <c r="L85" s="166"/>
      <c r="M85" s="166"/>
      <c r="N85" s="166"/>
      <c r="O85" s="166"/>
      <c r="P85" s="166"/>
      <c r="Q85" s="166"/>
      <c r="R85" s="166"/>
      <c r="S85" s="166"/>
      <c r="T85" s="166"/>
      <c r="U85" s="166"/>
      <c r="V85" s="166"/>
      <c r="W85" s="166"/>
      <c r="X85" s="166"/>
      <c r="Y85" s="166"/>
      <c r="Z85" s="166"/>
      <c r="AA85" s="166"/>
      <c r="AB85" s="166"/>
      <c r="AC85" s="166"/>
      <c r="AD85" s="166"/>
      <c r="AE85" s="166"/>
      <c r="AF85" s="166"/>
      <c r="AG85" s="166"/>
      <c r="AH85" s="166"/>
      <c r="AI85" s="166"/>
      <c r="AJ85" s="166"/>
      <c r="AK85" s="166"/>
      <c r="AL85" s="166"/>
      <c r="AM85" s="166"/>
      <c r="AN85" s="166"/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66"/>
      <c r="BD85" s="166"/>
      <c r="BE85" s="166"/>
      <c r="BF85" s="166"/>
      <c r="BG85" s="166"/>
      <c r="BH85" s="166"/>
      <c r="BI85" s="166"/>
      <c r="BJ85" s="166"/>
      <c r="BK85" s="166"/>
      <c r="BL85" s="166"/>
      <c r="BM85" s="166"/>
      <c r="BN85" s="166"/>
      <c r="BO85" s="166"/>
      <c r="BP85" s="166"/>
      <c r="BQ85" s="166"/>
      <c r="BR85" s="166"/>
      <c r="BS85" s="166"/>
      <c r="BT85" s="166"/>
      <c r="BU85" s="166"/>
      <c r="BV85" s="166"/>
      <c r="BW85" s="166"/>
      <c r="BX85" s="166"/>
      <c r="BY85" s="166"/>
      <c r="BZ85" s="166"/>
      <c r="CA85" s="166"/>
      <c r="CB85" s="166"/>
      <c r="CC85" s="166"/>
      <c r="CD85" s="166"/>
      <c r="CE85" s="166"/>
      <c r="CF85" s="166"/>
      <c r="CG85" s="166"/>
      <c r="CH85" s="166"/>
      <c r="CI85" s="166"/>
      <c r="CJ85" s="166"/>
      <c r="CK85" s="166"/>
      <c r="CL85" s="166"/>
      <c r="CM85" s="166"/>
      <c r="CN85" s="166"/>
      <c r="CO85" s="166"/>
      <c r="CP85" s="166"/>
      <c r="CQ85" s="166"/>
      <c r="CR85" s="166"/>
      <c r="CS85" s="166"/>
      <c r="CT85" s="166"/>
      <c r="CU85" s="166"/>
      <c r="CV85" s="166"/>
      <c r="CW85" s="166"/>
      <c r="CX85" s="166"/>
      <c r="CY85" s="166"/>
      <c r="CZ85" s="166"/>
      <c r="DA85" s="166"/>
      <c r="DB85" s="166"/>
      <c r="DC85" s="166"/>
      <c r="DD85" s="166"/>
      <c r="DE85" s="166"/>
      <c r="DF85" s="166"/>
      <c r="DG85" s="166"/>
      <c r="DH85" s="166"/>
      <c r="DI85" s="166"/>
      <c r="DJ85" s="166"/>
      <c r="DK85" s="166"/>
      <c r="DL85" s="166"/>
      <c r="DM85" s="166"/>
      <c r="DN85" s="166"/>
      <c r="DO85" s="166"/>
      <c r="DP85" s="166"/>
      <c r="DQ85" s="166"/>
      <c r="DR85" s="166"/>
      <c r="DS85" s="166"/>
      <c r="DT85" s="166"/>
      <c r="DU85" s="166"/>
      <c r="DV85" s="166"/>
      <c r="DW85" s="166"/>
      <c r="DX85" s="166"/>
      <c r="DY85" s="166"/>
      <c r="DZ85" s="166"/>
      <c r="EA85" s="166"/>
      <c r="EB85" s="166"/>
      <c r="EC85" s="166"/>
      <c r="ED85" s="166"/>
      <c r="EE85" s="166"/>
      <c r="EF85" s="166"/>
      <c r="EG85" s="166"/>
      <c r="EH85" s="166"/>
      <c r="EI85" s="166"/>
      <c r="EJ85" s="166"/>
      <c r="EK85" s="166"/>
      <c r="EL85" s="166"/>
      <c r="EM85" s="166"/>
      <c r="EN85" s="166"/>
      <c r="EO85" s="166"/>
    </row>
    <row r="86" spans="1:145" x14ac:dyDescent="0.25">
      <c r="A86" s="16" t="s">
        <v>31</v>
      </c>
      <c r="B86" s="166"/>
      <c r="C86" s="166"/>
      <c r="D86" s="166"/>
      <c r="E86" s="166"/>
      <c r="F86" s="166"/>
      <c r="G86" s="166"/>
      <c r="H86" s="166"/>
      <c r="I86" s="166"/>
      <c r="J86" s="166"/>
      <c r="K86" s="166"/>
      <c r="L86" s="166"/>
      <c r="M86" s="166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  <c r="Y86" s="166"/>
      <c r="Z86" s="166"/>
      <c r="AA86" s="166"/>
      <c r="AB86" s="166"/>
      <c r="AC86" s="166"/>
      <c r="AD86" s="166"/>
      <c r="AE86" s="166"/>
      <c r="AF86" s="166"/>
      <c r="AG86" s="166"/>
      <c r="AH86" s="166"/>
      <c r="AI86" s="166"/>
      <c r="AJ86" s="166"/>
      <c r="AK86" s="166"/>
      <c r="AL86" s="166"/>
      <c r="AM86" s="166"/>
      <c r="AN86" s="166"/>
      <c r="AO86" s="166"/>
      <c r="AP86" s="166"/>
      <c r="AQ86" s="166"/>
      <c r="AR86" s="166"/>
      <c r="AS86" s="166"/>
      <c r="AT86" s="166"/>
      <c r="AU86" s="166"/>
      <c r="AV86" s="166"/>
      <c r="AW86" s="166"/>
      <c r="AX86" s="166"/>
      <c r="AY86" s="166"/>
      <c r="AZ86" s="166"/>
      <c r="BA86" s="166"/>
      <c r="BB86" s="166"/>
      <c r="BC86" s="166"/>
      <c r="BD86" s="166"/>
      <c r="BE86" s="166"/>
      <c r="BF86" s="166"/>
      <c r="BG86" s="166"/>
      <c r="BH86" s="166"/>
      <c r="BI86" s="166"/>
      <c r="BJ86" s="166"/>
      <c r="BK86" s="166"/>
      <c r="BL86" s="166"/>
      <c r="BM86" s="166"/>
      <c r="BN86" s="166"/>
      <c r="BO86" s="166"/>
      <c r="BP86" s="166"/>
      <c r="BQ86" s="166"/>
      <c r="BR86" s="166"/>
      <c r="BS86" s="166"/>
      <c r="BT86" s="166"/>
      <c r="BU86" s="166"/>
      <c r="BV86" s="166"/>
      <c r="BW86" s="166"/>
      <c r="BX86" s="166"/>
      <c r="BY86" s="166"/>
      <c r="BZ86" s="166"/>
      <c r="CA86" s="166"/>
      <c r="CB86" s="166"/>
      <c r="CC86" s="166"/>
      <c r="CD86" s="166"/>
      <c r="CE86" s="166"/>
      <c r="CF86" s="166"/>
      <c r="CG86" s="166"/>
      <c r="CH86" s="166"/>
      <c r="CI86" s="166"/>
      <c r="CJ86" s="166"/>
      <c r="CK86" s="166"/>
      <c r="CL86" s="166"/>
      <c r="CM86" s="166"/>
      <c r="CN86" s="166"/>
      <c r="CO86" s="166"/>
      <c r="CP86" s="166"/>
      <c r="CQ86" s="166"/>
      <c r="CR86" s="166"/>
      <c r="CS86" s="166"/>
      <c r="CT86" s="166"/>
      <c r="CU86" s="166"/>
      <c r="CV86" s="166"/>
      <c r="CW86" s="166"/>
      <c r="CX86" s="166"/>
      <c r="CY86" s="166"/>
      <c r="CZ86" s="166"/>
      <c r="DA86" s="166"/>
      <c r="DB86" s="166"/>
      <c r="DC86" s="166"/>
      <c r="DD86" s="166"/>
      <c r="DE86" s="166"/>
      <c r="DF86" s="166"/>
      <c r="DG86" s="166"/>
      <c r="DH86" s="166"/>
      <c r="DI86" s="166"/>
      <c r="DJ86" s="166"/>
      <c r="DK86" s="166"/>
      <c r="DL86" s="166"/>
      <c r="DM86" s="166"/>
      <c r="DN86" s="166"/>
      <c r="DO86" s="166"/>
      <c r="DP86" s="166"/>
      <c r="DQ86" s="166"/>
      <c r="DR86" s="166"/>
      <c r="DS86" s="166"/>
      <c r="DT86" s="166"/>
      <c r="DU86" s="166"/>
      <c r="DV86" s="166"/>
      <c r="DW86" s="166"/>
      <c r="DX86" s="166"/>
      <c r="DY86" s="166"/>
      <c r="DZ86" s="166"/>
      <c r="EA86" s="166"/>
      <c r="EB86" s="166"/>
      <c r="EC86" s="166"/>
      <c r="ED86" s="166"/>
      <c r="EE86" s="166"/>
      <c r="EF86" s="166"/>
      <c r="EG86" s="166"/>
      <c r="EH86" s="166"/>
      <c r="EI86" s="166"/>
      <c r="EJ86" s="166"/>
      <c r="EK86" s="166"/>
      <c r="EL86" s="166"/>
      <c r="EM86" s="166"/>
      <c r="EN86" s="166"/>
      <c r="EO86" s="166"/>
    </row>
    <row r="87" spans="1:145" x14ac:dyDescent="0.25">
      <c r="A87" s="14" t="s">
        <v>34</v>
      </c>
      <c r="B87" s="166">
        <f ca="1">B70*$B$111+H70*$B$112+N70*$B$113+T70*$B$110+Z70*$B$114+AF70*$B$115</f>
        <v>5710408214.2378817</v>
      </c>
      <c r="C87" s="166"/>
      <c r="D87" s="166"/>
      <c r="E87" s="166"/>
      <c r="F87" s="166"/>
      <c r="G87" s="166"/>
      <c r="H87" s="166"/>
      <c r="I87" s="166"/>
      <c r="J87" s="166"/>
      <c r="K87" s="166"/>
      <c r="L87" s="166"/>
      <c r="M87" s="166"/>
      <c r="N87" s="166"/>
      <c r="O87" s="166"/>
      <c r="P87" s="166"/>
      <c r="Q87" s="166"/>
      <c r="R87" s="166"/>
      <c r="S87" s="166"/>
      <c r="T87" s="166"/>
      <c r="U87" s="166"/>
      <c r="V87" s="166"/>
      <c r="W87" s="166"/>
      <c r="X87" s="166"/>
      <c r="Y87" s="166"/>
      <c r="Z87" s="166"/>
      <c r="AA87" s="166"/>
      <c r="AB87" s="166"/>
      <c r="AC87" s="166"/>
      <c r="AD87" s="166"/>
      <c r="AE87" s="166"/>
      <c r="AF87" s="166"/>
      <c r="AG87" s="166"/>
      <c r="AH87" s="166"/>
      <c r="AI87" s="166"/>
      <c r="AJ87" s="166"/>
      <c r="AK87" s="166"/>
      <c r="AL87" s="166"/>
      <c r="AM87" s="166"/>
      <c r="AN87" s="166"/>
      <c r="AO87" s="166"/>
      <c r="AP87" s="166"/>
      <c r="AQ87" s="166"/>
      <c r="AR87" s="166"/>
      <c r="AS87" s="166"/>
      <c r="AT87" s="166"/>
      <c r="AU87" s="166"/>
      <c r="AV87" s="166"/>
      <c r="AW87" s="166"/>
      <c r="AX87" s="166"/>
      <c r="AY87" s="166"/>
      <c r="AZ87" s="166"/>
      <c r="BA87" s="166"/>
      <c r="BB87" s="166"/>
      <c r="BC87" s="166"/>
      <c r="BD87" s="166"/>
      <c r="BE87" s="166"/>
      <c r="BF87" s="166"/>
      <c r="BG87" s="166"/>
      <c r="BH87" s="166"/>
      <c r="BI87" s="166"/>
      <c r="BJ87" s="166"/>
      <c r="BK87" s="166"/>
      <c r="BL87" s="166"/>
      <c r="BM87" s="166"/>
      <c r="BN87" s="166"/>
      <c r="BO87" s="166"/>
      <c r="BP87" s="166"/>
      <c r="BQ87" s="166"/>
      <c r="BR87" s="166"/>
      <c r="BS87" s="166"/>
      <c r="BT87" s="166"/>
      <c r="BU87" s="166"/>
      <c r="BV87" s="166"/>
      <c r="BW87" s="166"/>
      <c r="BX87" s="166"/>
      <c r="BY87" s="166"/>
      <c r="BZ87" s="166"/>
      <c r="CA87" s="166"/>
      <c r="CB87" s="166"/>
      <c r="CC87" s="166"/>
      <c r="CD87" s="166"/>
      <c r="CE87" s="166"/>
      <c r="CF87" s="166"/>
      <c r="CG87" s="166"/>
      <c r="CH87" s="166"/>
      <c r="CI87" s="166"/>
      <c r="CJ87" s="166"/>
      <c r="CK87" s="166"/>
      <c r="CL87" s="166"/>
      <c r="CM87" s="166"/>
      <c r="CN87" s="166"/>
      <c r="CO87" s="166"/>
      <c r="CP87" s="166"/>
      <c r="CQ87" s="166"/>
      <c r="CR87" s="166"/>
      <c r="CS87" s="166"/>
      <c r="CT87" s="166"/>
      <c r="CU87" s="166"/>
      <c r="CV87" s="166"/>
      <c r="CW87" s="166"/>
      <c r="CX87" s="166"/>
      <c r="CY87" s="166"/>
      <c r="CZ87" s="166"/>
      <c r="DA87" s="166"/>
      <c r="DB87" s="166"/>
      <c r="DC87" s="166"/>
      <c r="DD87" s="166"/>
      <c r="DE87" s="166"/>
      <c r="DF87" s="166"/>
      <c r="DG87" s="166"/>
      <c r="DH87" s="166"/>
      <c r="DI87" s="166"/>
      <c r="DJ87" s="166"/>
      <c r="DK87" s="166"/>
      <c r="DL87" s="166"/>
      <c r="DM87" s="166"/>
      <c r="DN87" s="166"/>
      <c r="DO87" s="166"/>
      <c r="DP87" s="166"/>
      <c r="DQ87" s="166"/>
      <c r="DR87" s="166"/>
      <c r="DS87" s="166"/>
      <c r="DT87" s="166"/>
      <c r="DU87" s="166"/>
      <c r="DV87" s="166"/>
      <c r="DW87" s="166"/>
      <c r="DX87" s="166"/>
      <c r="DY87" s="166"/>
      <c r="DZ87" s="166"/>
      <c r="EA87" s="166"/>
      <c r="EB87" s="166"/>
      <c r="EC87" s="166"/>
      <c r="ED87" s="166"/>
      <c r="EE87" s="166"/>
      <c r="EF87" s="166"/>
      <c r="EG87" s="166"/>
      <c r="EH87" s="166"/>
      <c r="EI87" s="166"/>
      <c r="EJ87" s="166"/>
      <c r="EK87" s="166"/>
      <c r="EL87" s="166"/>
      <c r="EM87" s="166"/>
      <c r="EN87" s="166"/>
      <c r="EO87" s="166"/>
    </row>
    <row r="88" spans="1:145" x14ac:dyDescent="0.25">
      <c r="A88" s="16" t="s">
        <v>30</v>
      </c>
      <c r="B88" s="166"/>
      <c r="C88" s="166"/>
      <c r="D88" s="166"/>
      <c r="E88" s="166"/>
      <c r="F88" s="166"/>
      <c r="G88" s="166"/>
      <c r="H88" s="166"/>
      <c r="I88" s="166"/>
      <c r="J88" s="166"/>
      <c r="K88" s="166"/>
      <c r="L88" s="166"/>
      <c r="M88" s="166"/>
      <c r="N88" s="166"/>
      <c r="O88" s="166"/>
      <c r="P88" s="166"/>
      <c r="Q88" s="166"/>
      <c r="R88" s="166"/>
      <c r="S88" s="166"/>
      <c r="T88" s="166"/>
      <c r="U88" s="166"/>
      <c r="V88" s="166"/>
      <c r="W88" s="166"/>
      <c r="X88" s="166"/>
      <c r="Y88" s="166"/>
      <c r="Z88" s="166"/>
      <c r="AA88" s="166"/>
      <c r="AB88" s="166"/>
      <c r="AC88" s="166"/>
      <c r="AD88" s="166"/>
      <c r="AE88" s="166"/>
      <c r="AF88" s="166"/>
      <c r="AG88" s="166"/>
      <c r="AH88" s="166"/>
      <c r="AI88" s="166"/>
      <c r="AJ88" s="166"/>
      <c r="AK88" s="166"/>
      <c r="AL88" s="166"/>
      <c r="AM88" s="166"/>
      <c r="AN88" s="166"/>
      <c r="AO88" s="166"/>
      <c r="AP88" s="166"/>
      <c r="AQ88" s="166"/>
      <c r="AR88" s="166"/>
      <c r="AS88" s="166"/>
      <c r="AT88" s="166"/>
      <c r="AU88" s="166"/>
      <c r="AV88" s="166"/>
      <c r="AW88" s="166"/>
      <c r="AX88" s="166"/>
      <c r="AY88" s="166"/>
      <c r="AZ88" s="166"/>
      <c r="BA88" s="166"/>
      <c r="BB88" s="166"/>
      <c r="BC88" s="166"/>
      <c r="BD88" s="166"/>
      <c r="BE88" s="166"/>
      <c r="BF88" s="166"/>
      <c r="BG88" s="166"/>
      <c r="BH88" s="166"/>
      <c r="BI88" s="166"/>
      <c r="BJ88" s="166"/>
      <c r="BK88" s="166"/>
      <c r="BL88" s="166"/>
      <c r="BM88" s="166"/>
      <c r="BN88" s="166"/>
      <c r="BO88" s="166"/>
      <c r="BP88" s="166"/>
      <c r="BQ88" s="166"/>
      <c r="BR88" s="166"/>
      <c r="BS88" s="166"/>
      <c r="BT88" s="166"/>
      <c r="BU88" s="166"/>
      <c r="BV88" s="166"/>
      <c r="BW88" s="166"/>
      <c r="BX88" s="166"/>
      <c r="BY88" s="166"/>
      <c r="BZ88" s="166"/>
      <c r="CA88" s="166"/>
      <c r="CB88" s="166"/>
      <c r="CC88" s="166"/>
      <c r="CD88" s="166"/>
      <c r="CE88" s="166"/>
      <c r="CF88" s="166"/>
      <c r="CG88" s="166"/>
      <c r="CH88" s="166"/>
      <c r="CI88" s="166"/>
      <c r="CJ88" s="166"/>
      <c r="CK88" s="166"/>
      <c r="CL88" s="166"/>
      <c r="CM88" s="166"/>
      <c r="CN88" s="166"/>
      <c r="CO88" s="166"/>
      <c r="CP88" s="166"/>
      <c r="CQ88" s="166"/>
      <c r="CR88" s="166"/>
      <c r="CS88" s="166"/>
      <c r="CT88" s="166"/>
      <c r="CU88" s="166"/>
      <c r="CV88" s="166"/>
      <c r="CW88" s="166"/>
      <c r="CX88" s="166"/>
      <c r="CY88" s="166"/>
      <c r="CZ88" s="166"/>
      <c r="DA88" s="166"/>
      <c r="DB88" s="166"/>
      <c r="DC88" s="166"/>
      <c r="DD88" s="166"/>
      <c r="DE88" s="166"/>
      <c r="DF88" s="166"/>
      <c r="DG88" s="166"/>
      <c r="DH88" s="166"/>
      <c r="DI88" s="166"/>
      <c r="DJ88" s="166"/>
      <c r="DK88" s="166"/>
      <c r="DL88" s="166"/>
      <c r="DM88" s="166"/>
      <c r="DN88" s="166"/>
      <c r="DO88" s="166"/>
      <c r="DP88" s="166"/>
      <c r="DQ88" s="166"/>
      <c r="DR88" s="166"/>
      <c r="DS88" s="166"/>
      <c r="DT88" s="166"/>
      <c r="DU88" s="166"/>
      <c r="DV88" s="166"/>
      <c r="DW88" s="166"/>
      <c r="DX88" s="166"/>
      <c r="DY88" s="166"/>
      <c r="DZ88" s="166"/>
      <c r="EA88" s="166"/>
      <c r="EB88" s="166"/>
      <c r="EC88" s="166"/>
      <c r="ED88" s="166"/>
      <c r="EE88" s="166"/>
      <c r="EF88" s="166"/>
      <c r="EG88" s="166"/>
      <c r="EH88" s="166"/>
      <c r="EI88" s="166"/>
      <c r="EJ88" s="166"/>
      <c r="EK88" s="166"/>
      <c r="EL88" s="166"/>
      <c r="EM88" s="166"/>
      <c r="EN88" s="166"/>
      <c r="EO88" s="166"/>
    </row>
    <row r="89" spans="1:145" x14ac:dyDescent="0.25">
      <c r="A89" s="14" t="s">
        <v>35</v>
      </c>
      <c r="B89" s="166">
        <f ca="1">B72*$B$111+H72*$B$112+N72*$B$113+T72*$B$110+Z72*$B$114+AF72*$B$115</f>
        <v>5710379076.3497629</v>
      </c>
      <c r="C89" s="166"/>
      <c r="D89" s="166"/>
      <c r="E89" s="166"/>
      <c r="F89" s="166"/>
      <c r="G89" s="166"/>
      <c r="H89" s="166"/>
      <c r="I89" s="166"/>
      <c r="J89" s="166"/>
      <c r="K89" s="166"/>
      <c r="L89" s="166"/>
      <c r="M89" s="166"/>
      <c r="N89" s="166"/>
      <c r="O89" s="166"/>
      <c r="P89" s="166"/>
      <c r="Q89" s="166"/>
      <c r="R89" s="166"/>
      <c r="S89" s="166"/>
      <c r="T89" s="166"/>
      <c r="U89" s="166"/>
      <c r="V89" s="166"/>
      <c r="W89" s="166"/>
      <c r="X89" s="166"/>
      <c r="Y89" s="166"/>
      <c r="Z89" s="166"/>
      <c r="AA89" s="166"/>
      <c r="AB89" s="166"/>
      <c r="AC89" s="166"/>
      <c r="AD89" s="166"/>
      <c r="AE89" s="166"/>
      <c r="AF89" s="166"/>
      <c r="AG89" s="166"/>
      <c r="AH89" s="166"/>
      <c r="AI89" s="166"/>
      <c r="AJ89" s="166"/>
      <c r="AK89" s="166"/>
      <c r="AL89" s="166"/>
      <c r="AM89" s="166"/>
      <c r="AN89" s="166"/>
      <c r="AO89" s="166"/>
      <c r="AP89" s="166"/>
      <c r="AQ89" s="166"/>
      <c r="AR89" s="166"/>
      <c r="AS89" s="166"/>
      <c r="AT89" s="166"/>
      <c r="AU89" s="166"/>
      <c r="AV89" s="166"/>
      <c r="AW89" s="166"/>
      <c r="AX89" s="166"/>
      <c r="AY89" s="166"/>
      <c r="AZ89" s="166"/>
      <c r="BA89" s="166"/>
      <c r="BB89" s="166"/>
      <c r="BC89" s="166"/>
      <c r="BD89" s="166"/>
      <c r="BE89" s="166"/>
      <c r="BF89" s="166"/>
      <c r="BG89" s="166"/>
      <c r="BH89" s="166"/>
      <c r="BI89" s="166"/>
      <c r="BJ89" s="166"/>
      <c r="BK89" s="166"/>
      <c r="BL89" s="166"/>
      <c r="BM89" s="166"/>
      <c r="BN89" s="166"/>
      <c r="BO89" s="166"/>
      <c r="BP89" s="166"/>
      <c r="BQ89" s="166"/>
      <c r="BR89" s="166"/>
      <c r="BS89" s="166"/>
      <c r="BT89" s="166"/>
      <c r="BU89" s="166"/>
      <c r="BV89" s="166"/>
      <c r="BW89" s="166"/>
      <c r="BX89" s="166"/>
      <c r="BY89" s="166"/>
      <c r="BZ89" s="166"/>
      <c r="CA89" s="166"/>
      <c r="CB89" s="166"/>
      <c r="CC89" s="166"/>
      <c r="CD89" s="166"/>
      <c r="CE89" s="166"/>
      <c r="CF89" s="166"/>
      <c r="CG89" s="166"/>
      <c r="CH89" s="166"/>
      <c r="CI89" s="166"/>
      <c r="CJ89" s="166"/>
      <c r="CK89" s="166"/>
      <c r="CL89" s="166"/>
      <c r="CM89" s="166"/>
      <c r="CN89" s="166"/>
      <c r="CO89" s="166"/>
      <c r="CP89" s="166"/>
      <c r="CQ89" s="166"/>
      <c r="CR89" s="166"/>
      <c r="CS89" s="166"/>
      <c r="CT89" s="166"/>
      <c r="CU89" s="166"/>
      <c r="CV89" s="166"/>
      <c r="CW89" s="166"/>
      <c r="CX89" s="166"/>
      <c r="CY89" s="166"/>
      <c r="CZ89" s="166"/>
      <c r="DA89" s="166"/>
      <c r="DB89" s="166"/>
      <c r="DC89" s="166"/>
      <c r="DD89" s="166"/>
      <c r="DE89" s="166"/>
      <c r="DF89" s="166"/>
      <c r="DG89" s="166"/>
      <c r="DH89" s="166"/>
      <c r="DI89" s="166"/>
      <c r="DJ89" s="166"/>
      <c r="DK89" s="166"/>
      <c r="DL89" s="166"/>
      <c r="DM89" s="166"/>
      <c r="DN89" s="166"/>
      <c r="DO89" s="166"/>
      <c r="DP89" s="166"/>
      <c r="DQ89" s="166"/>
      <c r="DR89" s="166"/>
      <c r="DS89" s="166"/>
      <c r="DT89" s="166"/>
      <c r="DU89" s="166"/>
      <c r="DV89" s="166"/>
      <c r="DW89" s="166"/>
      <c r="DX89" s="166"/>
      <c r="DY89" s="166"/>
      <c r="DZ89" s="166"/>
      <c r="EA89" s="166"/>
      <c r="EB89" s="166"/>
      <c r="EC89" s="166"/>
      <c r="ED89" s="166"/>
      <c r="EE89" s="166"/>
      <c r="EF89" s="166"/>
      <c r="EG89" s="166"/>
      <c r="EH89" s="166"/>
      <c r="EI89" s="166"/>
      <c r="EJ89" s="166"/>
      <c r="EK89" s="166"/>
      <c r="EL89" s="166"/>
      <c r="EM89" s="166"/>
      <c r="EN89" s="166"/>
      <c r="EO89" s="166"/>
    </row>
    <row r="90" spans="1:145" x14ac:dyDescent="0.25">
      <c r="A90" s="17" t="s">
        <v>46</v>
      </c>
      <c r="B90" s="166"/>
      <c r="C90" s="166"/>
      <c r="D90" s="166"/>
      <c r="E90" s="166"/>
      <c r="F90" s="166"/>
      <c r="G90" s="166"/>
      <c r="H90" s="166"/>
      <c r="I90" s="166"/>
      <c r="J90" s="166"/>
      <c r="K90" s="166"/>
      <c r="L90" s="166"/>
      <c r="M90" s="166"/>
      <c r="N90" s="166"/>
      <c r="O90" s="166"/>
      <c r="P90" s="166"/>
      <c r="Q90" s="166"/>
      <c r="R90" s="166"/>
      <c r="S90" s="166"/>
      <c r="T90" s="166"/>
      <c r="U90" s="166"/>
      <c r="V90" s="166"/>
      <c r="W90" s="166"/>
      <c r="X90" s="166"/>
      <c r="Y90" s="166"/>
      <c r="Z90" s="166"/>
      <c r="AA90" s="166"/>
      <c r="AB90" s="166"/>
      <c r="AC90" s="166"/>
      <c r="AD90" s="166"/>
      <c r="AE90" s="166"/>
      <c r="AF90" s="166"/>
      <c r="AG90" s="166"/>
      <c r="AH90" s="166"/>
      <c r="AI90" s="166"/>
      <c r="AJ90" s="166"/>
      <c r="AK90" s="166"/>
      <c r="AL90" s="166"/>
      <c r="AM90" s="166"/>
      <c r="AN90" s="166"/>
      <c r="AO90" s="166"/>
      <c r="AP90" s="166"/>
      <c r="AQ90" s="166"/>
      <c r="AR90" s="166"/>
      <c r="AS90" s="166"/>
      <c r="AT90" s="166"/>
      <c r="AU90" s="166"/>
      <c r="AV90" s="166"/>
      <c r="AW90" s="166"/>
      <c r="AX90" s="166"/>
      <c r="AY90" s="166"/>
      <c r="AZ90" s="166"/>
      <c r="BA90" s="166"/>
      <c r="BB90" s="166"/>
      <c r="BC90" s="166"/>
      <c r="BD90" s="166"/>
      <c r="BE90" s="166"/>
      <c r="BF90" s="166"/>
      <c r="BG90" s="166"/>
      <c r="BH90" s="166"/>
      <c r="BI90" s="166"/>
      <c r="BJ90" s="166"/>
      <c r="BK90" s="166"/>
      <c r="BL90" s="166"/>
      <c r="BM90" s="166"/>
      <c r="BN90" s="166"/>
      <c r="BO90" s="166"/>
      <c r="BP90" s="166"/>
      <c r="BQ90" s="166"/>
      <c r="BR90" s="166"/>
      <c r="BS90" s="166"/>
      <c r="BT90" s="166"/>
      <c r="BU90" s="166"/>
      <c r="BV90" s="166"/>
      <c r="BW90" s="166"/>
      <c r="BX90" s="166"/>
      <c r="BY90" s="166"/>
      <c r="BZ90" s="166"/>
      <c r="CA90" s="166"/>
      <c r="CB90" s="166"/>
      <c r="CC90" s="166"/>
      <c r="CD90" s="166"/>
      <c r="CE90" s="166"/>
      <c r="CF90" s="166"/>
      <c r="CG90" s="166"/>
      <c r="CH90" s="166"/>
      <c r="CI90" s="166"/>
      <c r="CJ90" s="166"/>
      <c r="CK90" s="166"/>
      <c r="CL90" s="166"/>
      <c r="CM90" s="166"/>
      <c r="CN90" s="166"/>
      <c r="CO90" s="166"/>
      <c r="CP90" s="166"/>
      <c r="CQ90" s="166"/>
      <c r="CR90" s="166"/>
      <c r="CS90" s="166"/>
      <c r="CT90" s="166"/>
      <c r="CU90" s="166"/>
      <c r="CV90" s="166"/>
      <c r="CW90" s="166"/>
      <c r="CX90" s="166"/>
      <c r="CY90" s="166"/>
      <c r="CZ90" s="166"/>
      <c r="DA90" s="166"/>
      <c r="DB90" s="166"/>
      <c r="DC90" s="166"/>
      <c r="DD90" s="166"/>
      <c r="DE90" s="166"/>
      <c r="DF90" s="166"/>
      <c r="DG90" s="166"/>
      <c r="DH90" s="166"/>
      <c r="DI90" s="166"/>
      <c r="DJ90" s="166"/>
      <c r="DK90" s="166"/>
      <c r="DL90" s="166"/>
      <c r="DM90" s="166"/>
      <c r="DN90" s="166"/>
      <c r="DO90" s="166"/>
      <c r="DP90" s="166"/>
      <c r="DQ90" s="166"/>
      <c r="DR90" s="166"/>
      <c r="DS90" s="166"/>
      <c r="DT90" s="166"/>
      <c r="DU90" s="166"/>
      <c r="DV90" s="166"/>
      <c r="DW90" s="166"/>
      <c r="DX90" s="166"/>
      <c r="DY90" s="166"/>
      <c r="DZ90" s="166"/>
      <c r="EA90" s="166"/>
      <c r="EB90" s="166"/>
      <c r="EC90" s="166"/>
      <c r="ED90" s="166"/>
      <c r="EE90" s="166"/>
      <c r="EF90" s="166"/>
      <c r="EG90" s="166"/>
      <c r="EH90" s="166"/>
      <c r="EI90" s="166"/>
      <c r="EJ90" s="166"/>
      <c r="EK90" s="166"/>
      <c r="EL90" s="166"/>
      <c r="EM90" s="166"/>
      <c r="EN90" s="166"/>
      <c r="EO90" s="166"/>
    </row>
    <row r="91" spans="1:145" x14ac:dyDescent="0.25">
      <c r="A91" s="15" t="s">
        <v>47</v>
      </c>
      <c r="B91" s="166">
        <f ca="1">B74*$B$111+H74*$B$112+N74*$B$113+T74*$B$110+Z74*$B$114+AF74*$B$115</f>
        <v>32163.770328239334</v>
      </c>
      <c r="C91" s="166"/>
      <c r="D91" s="166"/>
      <c r="E91" s="166"/>
      <c r="F91" s="166"/>
      <c r="G91" s="166"/>
      <c r="H91" s="166"/>
      <c r="I91" s="166"/>
      <c r="J91" s="166"/>
      <c r="K91" s="166"/>
      <c r="L91" s="166"/>
      <c r="M91" s="166"/>
      <c r="N91" s="166"/>
      <c r="O91" s="166"/>
      <c r="P91" s="166"/>
      <c r="Q91" s="166"/>
      <c r="R91" s="166"/>
      <c r="S91" s="166"/>
      <c r="T91" s="166"/>
      <c r="U91" s="166"/>
      <c r="V91" s="166"/>
      <c r="W91" s="166"/>
      <c r="X91" s="166"/>
      <c r="Y91" s="166"/>
      <c r="Z91" s="166"/>
      <c r="AA91" s="166"/>
      <c r="AB91" s="166"/>
      <c r="AC91" s="166"/>
      <c r="AD91" s="166"/>
      <c r="AE91" s="166"/>
      <c r="AF91" s="166"/>
      <c r="AG91" s="166"/>
      <c r="AH91" s="166"/>
      <c r="AI91" s="166"/>
      <c r="AJ91" s="166"/>
      <c r="AK91" s="166"/>
      <c r="AL91" s="166"/>
      <c r="AM91" s="166"/>
      <c r="AN91" s="166"/>
      <c r="AO91" s="166"/>
      <c r="AP91" s="166"/>
      <c r="AQ91" s="166"/>
      <c r="AR91" s="166"/>
      <c r="AS91" s="166"/>
      <c r="AT91" s="166"/>
      <c r="AU91" s="166"/>
      <c r="AV91" s="166"/>
      <c r="AW91" s="166"/>
      <c r="AX91" s="166"/>
      <c r="AY91" s="166"/>
      <c r="AZ91" s="166"/>
      <c r="BA91" s="166"/>
      <c r="BB91" s="166"/>
      <c r="BC91" s="166"/>
      <c r="BD91" s="166"/>
      <c r="BE91" s="166"/>
      <c r="BF91" s="166"/>
      <c r="BG91" s="166"/>
      <c r="BH91" s="166"/>
      <c r="BI91" s="166"/>
      <c r="BJ91" s="166"/>
      <c r="BK91" s="166"/>
      <c r="BL91" s="166"/>
      <c r="BM91" s="166"/>
      <c r="BN91" s="166"/>
      <c r="BO91" s="166"/>
      <c r="BP91" s="166"/>
      <c r="BQ91" s="166"/>
      <c r="BR91" s="166"/>
      <c r="BS91" s="166"/>
      <c r="BT91" s="166"/>
      <c r="BU91" s="166"/>
      <c r="BV91" s="166"/>
      <c r="BW91" s="166"/>
      <c r="BX91" s="166"/>
      <c r="BY91" s="166"/>
      <c r="BZ91" s="166"/>
      <c r="CA91" s="166"/>
      <c r="CB91" s="166"/>
      <c r="CC91" s="166"/>
      <c r="CD91" s="166"/>
      <c r="CE91" s="166"/>
      <c r="CF91" s="166"/>
      <c r="CG91" s="166"/>
      <c r="CH91" s="166"/>
      <c r="CI91" s="166"/>
      <c r="CJ91" s="166"/>
      <c r="CK91" s="166"/>
      <c r="CL91" s="166"/>
      <c r="CM91" s="166"/>
      <c r="CN91" s="166"/>
      <c r="CO91" s="166"/>
      <c r="CP91" s="166"/>
      <c r="CQ91" s="166"/>
      <c r="CR91" s="166"/>
      <c r="CS91" s="166"/>
      <c r="CT91" s="166"/>
      <c r="CU91" s="166"/>
      <c r="CV91" s="166"/>
      <c r="CW91" s="166"/>
      <c r="CX91" s="166"/>
      <c r="CY91" s="166"/>
      <c r="CZ91" s="166"/>
      <c r="DA91" s="166"/>
      <c r="DB91" s="166"/>
      <c r="DC91" s="166"/>
      <c r="DD91" s="166"/>
      <c r="DE91" s="166"/>
      <c r="DF91" s="166"/>
      <c r="DG91" s="166"/>
      <c r="DH91" s="166"/>
      <c r="DI91" s="166"/>
      <c r="DJ91" s="166"/>
      <c r="DK91" s="166"/>
      <c r="DL91" s="166"/>
      <c r="DM91" s="166"/>
      <c r="DN91" s="166"/>
      <c r="DO91" s="166"/>
      <c r="DP91" s="166"/>
      <c r="DQ91" s="166"/>
      <c r="DR91" s="166"/>
      <c r="DS91" s="166"/>
      <c r="DT91" s="166"/>
      <c r="DU91" s="166"/>
      <c r="DV91" s="166"/>
      <c r="DW91" s="166"/>
      <c r="DX91" s="166"/>
      <c r="DY91" s="166"/>
      <c r="DZ91" s="166"/>
      <c r="EA91" s="166"/>
      <c r="EB91" s="166"/>
      <c r="EC91" s="166"/>
      <c r="ED91" s="166"/>
      <c r="EE91" s="166"/>
      <c r="EF91" s="166"/>
      <c r="EG91" s="166"/>
      <c r="EH91" s="166"/>
      <c r="EI91" s="166"/>
      <c r="EJ91" s="166"/>
      <c r="EK91" s="166"/>
      <c r="EL91" s="166"/>
      <c r="EM91" s="166"/>
      <c r="EN91" s="166"/>
      <c r="EO91" s="166"/>
    </row>
    <row r="92" spans="1:145" x14ac:dyDescent="0.25">
      <c r="A92" s="17" t="s">
        <v>112</v>
      </c>
      <c r="B92" s="166"/>
      <c r="C92" s="166"/>
      <c r="D92" s="166"/>
      <c r="E92" s="166"/>
      <c r="F92" s="166"/>
      <c r="G92" s="166"/>
      <c r="H92" s="166"/>
      <c r="I92" s="166"/>
      <c r="J92" s="166"/>
      <c r="K92" s="166"/>
      <c r="L92" s="166"/>
      <c r="M92" s="166"/>
      <c r="N92" s="166"/>
      <c r="O92" s="166"/>
      <c r="P92" s="166"/>
      <c r="Q92" s="166"/>
      <c r="R92" s="166"/>
      <c r="S92" s="166"/>
      <c r="T92" s="166"/>
      <c r="U92" s="166"/>
      <c r="V92" s="166"/>
      <c r="W92" s="166"/>
      <c r="X92" s="166"/>
      <c r="Y92" s="166"/>
      <c r="Z92" s="166"/>
      <c r="AA92" s="166"/>
      <c r="AB92" s="166"/>
      <c r="AC92" s="166"/>
      <c r="AD92" s="166"/>
      <c r="AE92" s="166"/>
      <c r="AF92" s="166"/>
      <c r="AG92" s="166"/>
      <c r="AH92" s="166"/>
      <c r="AI92" s="166"/>
      <c r="AJ92" s="166"/>
      <c r="AK92" s="166"/>
      <c r="AL92" s="166"/>
      <c r="AM92" s="166"/>
      <c r="AN92" s="166"/>
      <c r="AO92" s="166"/>
      <c r="AP92" s="166"/>
      <c r="AQ92" s="166"/>
      <c r="AR92" s="166"/>
      <c r="AS92" s="166"/>
      <c r="AT92" s="166"/>
      <c r="AU92" s="166"/>
      <c r="AV92" s="166"/>
      <c r="AW92" s="166"/>
      <c r="AX92" s="166"/>
      <c r="AY92" s="166"/>
      <c r="AZ92" s="166"/>
      <c r="BA92" s="166"/>
      <c r="BB92" s="166"/>
      <c r="BC92" s="166"/>
      <c r="BD92" s="166"/>
      <c r="BE92" s="166"/>
      <c r="BF92" s="166"/>
      <c r="BG92" s="166"/>
      <c r="BH92" s="166"/>
      <c r="BI92" s="166"/>
      <c r="BJ92" s="166"/>
      <c r="BK92" s="166"/>
      <c r="BL92" s="166"/>
      <c r="BM92" s="166"/>
      <c r="BN92" s="166"/>
      <c r="BO92" s="166"/>
      <c r="BP92" s="166"/>
      <c r="BQ92" s="166"/>
      <c r="BR92" s="166"/>
      <c r="BS92" s="166"/>
      <c r="BT92" s="166"/>
      <c r="BU92" s="166"/>
      <c r="BV92" s="166"/>
      <c r="BW92" s="166"/>
      <c r="BX92" s="166"/>
      <c r="BY92" s="166"/>
      <c r="BZ92" s="166"/>
      <c r="CA92" s="166"/>
      <c r="CB92" s="166"/>
      <c r="CC92" s="166"/>
      <c r="CD92" s="166"/>
      <c r="CE92" s="166"/>
      <c r="CF92" s="166"/>
      <c r="CG92" s="166"/>
      <c r="CH92" s="166"/>
      <c r="CI92" s="166"/>
      <c r="CJ92" s="166"/>
      <c r="CK92" s="166"/>
      <c r="CL92" s="166"/>
      <c r="CM92" s="166"/>
      <c r="CN92" s="166"/>
      <c r="CO92" s="166"/>
      <c r="CP92" s="166"/>
      <c r="CQ92" s="166"/>
      <c r="CR92" s="166"/>
      <c r="CS92" s="166"/>
      <c r="CT92" s="166"/>
      <c r="CU92" s="166"/>
      <c r="CV92" s="166"/>
      <c r="CW92" s="166"/>
      <c r="CX92" s="166"/>
      <c r="CY92" s="166"/>
      <c r="CZ92" s="166"/>
      <c r="DA92" s="166"/>
      <c r="DB92" s="166"/>
      <c r="DC92" s="166"/>
      <c r="DD92" s="166"/>
      <c r="DE92" s="166"/>
      <c r="DF92" s="166"/>
      <c r="DG92" s="166"/>
      <c r="DH92" s="166"/>
      <c r="DI92" s="166"/>
      <c r="DJ92" s="166"/>
      <c r="DK92" s="166"/>
      <c r="DL92" s="166"/>
      <c r="DM92" s="166"/>
      <c r="DN92" s="166"/>
      <c r="DO92" s="166"/>
      <c r="DP92" s="166"/>
      <c r="DQ92" s="166"/>
      <c r="DR92" s="166"/>
      <c r="DS92" s="166"/>
      <c r="DT92" s="166"/>
      <c r="DU92" s="166"/>
      <c r="DV92" s="166"/>
      <c r="DW92" s="166"/>
      <c r="DX92" s="166"/>
      <c r="DY92" s="166"/>
      <c r="DZ92" s="166"/>
      <c r="EA92" s="166"/>
      <c r="EB92" s="166"/>
      <c r="EC92" s="166"/>
      <c r="ED92" s="166"/>
      <c r="EE92" s="166"/>
      <c r="EF92" s="166"/>
      <c r="EG92" s="166"/>
      <c r="EH92" s="166"/>
      <c r="EI92" s="166"/>
      <c r="EJ92" s="166"/>
      <c r="EK92" s="166"/>
      <c r="EL92" s="166"/>
      <c r="EM92" s="166"/>
      <c r="EN92" s="166"/>
      <c r="EO92" s="166"/>
    </row>
    <row r="93" spans="1:145" x14ac:dyDescent="0.25">
      <c r="A93" s="15" t="s">
        <v>40</v>
      </c>
      <c r="B93" s="166">
        <f ca="1">B76*$B$111+H76*$B$112+N76*$B$113+T76*$B$110+Z76*$B$114+AF76*$B$115</f>
        <v>96172533219.059662</v>
      </c>
      <c r="C93" s="166"/>
      <c r="D93" s="166"/>
      <c r="E93" s="166"/>
      <c r="F93" s="166"/>
      <c r="G93" s="166"/>
      <c r="H93" s="166"/>
      <c r="I93" s="166"/>
      <c r="J93" s="166"/>
      <c r="K93" s="166"/>
      <c r="L93" s="166"/>
      <c r="M93" s="166"/>
      <c r="N93" s="166"/>
      <c r="O93" s="166"/>
      <c r="P93" s="166"/>
      <c r="Q93" s="166"/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  <c r="AD93" s="166"/>
      <c r="AE93" s="166"/>
      <c r="AF93" s="166"/>
      <c r="AG93" s="166"/>
      <c r="AH93" s="166"/>
      <c r="AI93" s="166"/>
      <c r="AJ93" s="166"/>
      <c r="AK93" s="166"/>
      <c r="AL93" s="166"/>
      <c r="AM93" s="166"/>
      <c r="AN93" s="166"/>
      <c r="AO93" s="166"/>
      <c r="AP93" s="166"/>
      <c r="AQ93" s="166"/>
      <c r="AR93" s="166"/>
      <c r="AS93" s="166"/>
      <c r="AT93" s="166"/>
      <c r="AU93" s="166"/>
      <c r="AV93" s="166"/>
      <c r="AW93" s="166"/>
      <c r="AX93" s="166"/>
      <c r="AY93" s="166"/>
      <c r="AZ93" s="166"/>
      <c r="BA93" s="166"/>
      <c r="BB93" s="166"/>
      <c r="BC93" s="166"/>
      <c r="BD93" s="166"/>
      <c r="BE93" s="166"/>
      <c r="BF93" s="166"/>
      <c r="BG93" s="166"/>
      <c r="BH93" s="166"/>
      <c r="BI93" s="166"/>
      <c r="BJ93" s="166"/>
      <c r="BK93" s="166"/>
      <c r="BL93" s="166"/>
      <c r="BM93" s="166"/>
      <c r="BN93" s="166"/>
      <c r="BO93" s="166"/>
      <c r="BP93" s="166"/>
      <c r="BQ93" s="166"/>
      <c r="BR93" s="166"/>
      <c r="BS93" s="166"/>
      <c r="BT93" s="166"/>
      <c r="BU93" s="166"/>
      <c r="BV93" s="166"/>
      <c r="BW93" s="166"/>
      <c r="BX93" s="166"/>
      <c r="BY93" s="166"/>
      <c r="BZ93" s="166"/>
      <c r="CA93" s="166"/>
      <c r="CB93" s="166"/>
      <c r="CC93" s="166"/>
      <c r="CD93" s="166"/>
      <c r="CE93" s="166"/>
      <c r="CF93" s="166"/>
      <c r="CG93" s="166"/>
      <c r="CH93" s="166"/>
      <c r="CI93" s="166"/>
      <c r="CJ93" s="166"/>
      <c r="CK93" s="166"/>
      <c r="CL93" s="166"/>
      <c r="CM93" s="166"/>
      <c r="CN93" s="166"/>
      <c r="CO93" s="166"/>
      <c r="CP93" s="166"/>
      <c r="CQ93" s="166"/>
      <c r="CR93" s="166"/>
      <c r="CS93" s="166"/>
      <c r="CT93" s="166"/>
      <c r="CU93" s="166"/>
      <c r="CV93" s="166"/>
      <c r="CW93" s="166"/>
      <c r="CX93" s="166"/>
      <c r="CY93" s="166"/>
      <c r="CZ93" s="166"/>
      <c r="DA93" s="166"/>
      <c r="DB93" s="166"/>
      <c r="DC93" s="166"/>
      <c r="DD93" s="166"/>
      <c r="DE93" s="166"/>
      <c r="DF93" s="166"/>
      <c r="DG93" s="166"/>
      <c r="DH93" s="166"/>
      <c r="DI93" s="166"/>
      <c r="DJ93" s="166"/>
      <c r="DK93" s="166"/>
      <c r="DL93" s="166"/>
      <c r="DM93" s="166"/>
      <c r="DN93" s="166"/>
      <c r="DO93" s="166"/>
      <c r="DP93" s="166"/>
      <c r="DQ93" s="166"/>
      <c r="DR93" s="166"/>
      <c r="DS93" s="166"/>
      <c r="DT93" s="166"/>
      <c r="DU93" s="166"/>
      <c r="DV93" s="166"/>
      <c r="DW93" s="166"/>
      <c r="DX93" s="166"/>
      <c r="DY93" s="166"/>
      <c r="DZ93" s="166"/>
      <c r="EA93" s="166"/>
      <c r="EB93" s="166"/>
      <c r="EC93" s="166"/>
      <c r="ED93" s="166"/>
      <c r="EE93" s="166"/>
      <c r="EF93" s="166"/>
      <c r="EG93" s="166"/>
      <c r="EH93" s="166"/>
      <c r="EI93" s="166"/>
      <c r="EJ93" s="166"/>
      <c r="EK93" s="166"/>
      <c r="EL93" s="166"/>
      <c r="EM93" s="166"/>
      <c r="EN93" s="166"/>
      <c r="EO93" s="166"/>
    </row>
    <row r="94" spans="1:145" x14ac:dyDescent="0.25">
      <c r="A94" s="17" t="s">
        <v>41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6"/>
      <c r="P94" s="166"/>
      <c r="Q94" s="166"/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  <c r="AD94" s="166"/>
      <c r="AE94" s="166"/>
      <c r="AF94" s="166"/>
      <c r="AG94" s="166"/>
      <c r="AH94" s="166"/>
      <c r="AI94" s="166"/>
      <c r="AJ94" s="166"/>
      <c r="AK94" s="166"/>
      <c r="AL94" s="166"/>
      <c r="AM94" s="166"/>
      <c r="AN94" s="166"/>
      <c r="AO94" s="166"/>
      <c r="AP94" s="166"/>
      <c r="AQ94" s="166"/>
      <c r="AR94" s="166"/>
      <c r="AS94" s="166"/>
      <c r="AT94" s="166"/>
      <c r="AU94" s="166"/>
      <c r="AV94" s="166"/>
      <c r="AW94" s="166"/>
      <c r="AX94" s="166"/>
      <c r="AY94" s="166"/>
      <c r="AZ94" s="166"/>
      <c r="BA94" s="166"/>
      <c r="BB94" s="166"/>
      <c r="BC94" s="166"/>
      <c r="BD94" s="166"/>
      <c r="BE94" s="166"/>
      <c r="BF94" s="166"/>
      <c r="BG94" s="166"/>
      <c r="BH94" s="166"/>
      <c r="BI94" s="166"/>
      <c r="BJ94" s="166"/>
      <c r="BK94" s="166"/>
      <c r="BL94" s="166"/>
      <c r="BM94" s="166"/>
      <c r="BN94" s="166"/>
      <c r="BO94" s="166"/>
      <c r="BP94" s="166"/>
      <c r="BQ94" s="166"/>
      <c r="BR94" s="166"/>
      <c r="BS94" s="166"/>
      <c r="BT94" s="166"/>
      <c r="BU94" s="166"/>
      <c r="BV94" s="166"/>
      <c r="BW94" s="166"/>
      <c r="BX94" s="166"/>
      <c r="BY94" s="166"/>
      <c r="BZ94" s="166"/>
      <c r="CA94" s="166"/>
      <c r="CB94" s="166"/>
      <c r="CC94" s="166"/>
      <c r="CD94" s="166"/>
      <c r="CE94" s="166"/>
      <c r="CF94" s="166"/>
      <c r="CG94" s="166"/>
      <c r="CH94" s="166"/>
      <c r="CI94" s="166"/>
      <c r="CJ94" s="166"/>
      <c r="CK94" s="166"/>
      <c r="CL94" s="166"/>
      <c r="CM94" s="166"/>
      <c r="CN94" s="166"/>
      <c r="CO94" s="166"/>
      <c r="CP94" s="166"/>
      <c r="CQ94" s="166"/>
      <c r="CR94" s="166"/>
      <c r="CS94" s="166"/>
      <c r="CT94" s="166"/>
      <c r="CU94" s="166"/>
      <c r="CV94" s="166"/>
      <c r="CW94" s="166"/>
      <c r="CX94" s="166"/>
      <c r="CY94" s="166"/>
      <c r="CZ94" s="166"/>
      <c r="DA94" s="166"/>
      <c r="DB94" s="166"/>
      <c r="DC94" s="166"/>
      <c r="DD94" s="166"/>
      <c r="DE94" s="166"/>
      <c r="DF94" s="166"/>
      <c r="DG94" s="166"/>
      <c r="DH94" s="166"/>
      <c r="DI94" s="166"/>
      <c r="DJ94" s="166"/>
      <c r="DK94" s="166"/>
      <c r="DL94" s="166"/>
      <c r="DM94" s="166"/>
      <c r="DN94" s="166"/>
      <c r="DO94" s="166"/>
      <c r="DP94" s="166"/>
      <c r="DQ94" s="166"/>
      <c r="DR94" s="166"/>
      <c r="DS94" s="166"/>
      <c r="DT94" s="166"/>
      <c r="DU94" s="166"/>
      <c r="DV94" s="166"/>
      <c r="DW94" s="166"/>
      <c r="DX94" s="166"/>
      <c r="DY94" s="166"/>
      <c r="DZ94" s="166"/>
      <c r="EA94" s="166"/>
      <c r="EB94" s="166"/>
      <c r="EC94" s="166"/>
      <c r="ED94" s="166"/>
      <c r="EE94" s="166"/>
      <c r="EF94" s="166"/>
      <c r="EG94" s="166"/>
      <c r="EH94" s="166"/>
      <c r="EI94" s="166"/>
      <c r="EJ94" s="166"/>
      <c r="EK94" s="166"/>
      <c r="EL94" s="166"/>
      <c r="EM94" s="166"/>
      <c r="EN94" s="166"/>
      <c r="EO94" s="166"/>
    </row>
    <row r="95" spans="1:145" x14ac:dyDescent="0.25">
      <c r="A95" s="14" t="s">
        <v>42</v>
      </c>
      <c r="B95" s="166">
        <f ca="1">B78*$B$111+H78*$B$112+N78*$B$113+T78*$B$110+Z78*$B$114+AF78*$B$115</f>
        <v>5710408214.2378817</v>
      </c>
      <c r="C95" s="166"/>
      <c r="D95" s="166"/>
      <c r="E95" s="166"/>
      <c r="F95" s="166"/>
      <c r="G95" s="166"/>
      <c r="H95" s="166"/>
      <c r="I95" s="166"/>
      <c r="J95" s="166"/>
      <c r="K95" s="166"/>
      <c r="L95" s="166"/>
      <c r="M95" s="166"/>
      <c r="N95" s="166"/>
      <c r="O95" s="166"/>
      <c r="P95" s="166"/>
      <c r="Q95" s="166"/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166"/>
      <c r="AO95" s="166"/>
      <c r="AP95" s="166"/>
      <c r="AQ95" s="166"/>
      <c r="AR95" s="166"/>
      <c r="AS95" s="166"/>
      <c r="AT95" s="166"/>
      <c r="AU95" s="166"/>
      <c r="AV95" s="166"/>
      <c r="AW95" s="166"/>
      <c r="AX95" s="166"/>
      <c r="AY95" s="166"/>
      <c r="AZ95" s="166"/>
      <c r="BA95" s="166"/>
      <c r="BB95" s="166"/>
      <c r="BC95" s="166"/>
      <c r="BD95" s="166"/>
      <c r="BE95" s="166"/>
      <c r="BF95" s="166"/>
      <c r="BG95" s="166"/>
      <c r="BH95" s="166"/>
      <c r="BI95" s="166"/>
      <c r="BJ95" s="166"/>
      <c r="BK95" s="166"/>
      <c r="BL95" s="166"/>
      <c r="BM95" s="166"/>
      <c r="BN95" s="166"/>
      <c r="BO95" s="166"/>
      <c r="BP95" s="166"/>
      <c r="BQ95" s="166"/>
      <c r="BR95" s="166"/>
      <c r="BS95" s="166"/>
      <c r="BT95" s="166"/>
      <c r="BU95" s="166"/>
      <c r="BV95" s="166"/>
      <c r="BW95" s="166"/>
      <c r="BX95" s="166"/>
      <c r="BY95" s="166"/>
      <c r="BZ95" s="166"/>
      <c r="CA95" s="166"/>
      <c r="CB95" s="166"/>
      <c r="CC95" s="166"/>
      <c r="CD95" s="166"/>
      <c r="CE95" s="166"/>
      <c r="CF95" s="166"/>
      <c r="CG95" s="166"/>
      <c r="CH95" s="166"/>
      <c r="CI95" s="166"/>
      <c r="CJ95" s="166"/>
      <c r="CK95" s="166"/>
      <c r="CL95" s="166"/>
      <c r="CM95" s="166"/>
      <c r="CN95" s="166"/>
      <c r="CO95" s="166"/>
      <c r="CP95" s="166"/>
      <c r="CQ95" s="166"/>
      <c r="CR95" s="166"/>
      <c r="CS95" s="166"/>
      <c r="CT95" s="166"/>
      <c r="CU95" s="166"/>
      <c r="CV95" s="166"/>
      <c r="CW95" s="166"/>
      <c r="CX95" s="166"/>
      <c r="CY95" s="166"/>
      <c r="CZ95" s="166"/>
      <c r="DA95" s="166"/>
      <c r="DB95" s="166"/>
      <c r="DC95" s="166"/>
      <c r="DD95" s="166"/>
      <c r="DE95" s="166"/>
      <c r="DF95" s="166"/>
      <c r="DG95" s="166"/>
      <c r="DH95" s="166"/>
      <c r="DI95" s="166"/>
      <c r="DJ95" s="166"/>
      <c r="DK95" s="166"/>
      <c r="DL95" s="166"/>
      <c r="DM95" s="166"/>
      <c r="DN95" s="166"/>
      <c r="DO95" s="166"/>
      <c r="DP95" s="166"/>
      <c r="DQ95" s="166"/>
      <c r="DR95" s="166"/>
      <c r="DS95" s="166"/>
      <c r="DT95" s="166"/>
      <c r="DU95" s="166"/>
      <c r="DV95" s="166"/>
      <c r="DW95" s="166"/>
      <c r="DX95" s="166"/>
      <c r="DY95" s="166"/>
      <c r="DZ95" s="166"/>
      <c r="EA95" s="166"/>
      <c r="EB95" s="166"/>
      <c r="EC95" s="166"/>
      <c r="ED95" s="166"/>
      <c r="EE95" s="166"/>
      <c r="EF95" s="166"/>
      <c r="EG95" s="166"/>
      <c r="EH95" s="166"/>
      <c r="EI95" s="166"/>
      <c r="EJ95" s="166"/>
      <c r="EK95" s="166"/>
      <c r="EL95" s="166"/>
      <c r="EM95" s="166"/>
      <c r="EN95" s="166"/>
      <c r="EO95" s="166"/>
    </row>
    <row r="96" spans="1:145" x14ac:dyDescent="0.25">
      <c r="A96" s="16" t="s">
        <v>36</v>
      </c>
      <c r="B96" s="166"/>
      <c r="C96" s="166"/>
      <c r="D96" s="166"/>
      <c r="E96" s="166"/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6"/>
      <c r="CT96" s="166"/>
      <c r="CU96" s="166"/>
      <c r="CV96" s="166"/>
      <c r="CW96" s="166"/>
      <c r="CX96" s="166"/>
      <c r="CY96" s="166"/>
      <c r="CZ96" s="166"/>
      <c r="DA96" s="166"/>
      <c r="DB96" s="166"/>
      <c r="DC96" s="166"/>
      <c r="DD96" s="166"/>
      <c r="DE96" s="166"/>
      <c r="DF96" s="166"/>
      <c r="DG96" s="166"/>
      <c r="DH96" s="166"/>
      <c r="DI96" s="166"/>
      <c r="DJ96" s="166"/>
      <c r="DK96" s="166"/>
      <c r="DL96" s="166"/>
      <c r="DM96" s="166"/>
      <c r="DN96" s="166"/>
      <c r="DO96" s="166"/>
      <c r="DP96" s="166"/>
      <c r="DQ96" s="166"/>
      <c r="DR96" s="166"/>
      <c r="DS96" s="166"/>
      <c r="DT96" s="166"/>
      <c r="DU96" s="166"/>
      <c r="DV96" s="166"/>
      <c r="DW96" s="166"/>
      <c r="DX96" s="166"/>
      <c r="DY96" s="166"/>
      <c r="DZ96" s="166"/>
      <c r="EA96" s="166"/>
      <c r="EB96" s="166"/>
      <c r="EC96" s="166"/>
      <c r="ED96" s="166"/>
      <c r="EE96" s="166"/>
      <c r="EF96" s="166"/>
      <c r="EG96" s="166"/>
      <c r="EH96" s="166"/>
      <c r="EI96" s="166"/>
      <c r="EJ96" s="166"/>
      <c r="EK96" s="166"/>
      <c r="EL96" s="166"/>
      <c r="EM96" s="166"/>
      <c r="EN96" s="166"/>
      <c r="EO96" s="166"/>
    </row>
    <row r="97" spans="1:145" x14ac:dyDescent="0.25">
      <c r="A97" s="14" t="s">
        <v>38</v>
      </c>
      <c r="B97" s="166">
        <f ca="1">B80*$B$111+H80*$B$112+N80*$B$113+T80*$B$110+Z80*$B$114+AF80*$B$115</f>
        <v>343330217.25800741</v>
      </c>
      <c r="C97" s="166"/>
      <c r="D97" s="166"/>
      <c r="E97" s="166"/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6"/>
      <c r="CT97" s="166"/>
      <c r="CU97" s="166"/>
      <c r="CV97" s="166"/>
      <c r="CW97" s="166"/>
      <c r="CX97" s="166"/>
      <c r="CY97" s="166"/>
      <c r="CZ97" s="166"/>
      <c r="DA97" s="166"/>
      <c r="DB97" s="166"/>
      <c r="DC97" s="166"/>
      <c r="DD97" s="166"/>
      <c r="DE97" s="166"/>
      <c r="DF97" s="166"/>
      <c r="DG97" s="166"/>
      <c r="DH97" s="166"/>
      <c r="DI97" s="166"/>
      <c r="DJ97" s="166"/>
      <c r="DK97" s="166"/>
      <c r="DL97" s="166"/>
      <c r="DM97" s="166"/>
      <c r="DN97" s="166"/>
      <c r="DO97" s="166"/>
      <c r="DP97" s="166"/>
      <c r="DQ97" s="166"/>
      <c r="DR97" s="166"/>
      <c r="DS97" s="166"/>
      <c r="DT97" s="166"/>
      <c r="DU97" s="166"/>
      <c r="DV97" s="166"/>
      <c r="DW97" s="166"/>
      <c r="DX97" s="166"/>
      <c r="DY97" s="166"/>
      <c r="DZ97" s="166"/>
      <c r="EA97" s="166"/>
      <c r="EB97" s="166"/>
      <c r="EC97" s="166"/>
      <c r="ED97" s="166"/>
      <c r="EE97" s="166"/>
      <c r="EF97" s="166"/>
      <c r="EG97" s="166"/>
      <c r="EH97" s="166"/>
      <c r="EI97" s="166"/>
      <c r="EJ97" s="166"/>
      <c r="EK97" s="166"/>
      <c r="EL97" s="166"/>
      <c r="EM97" s="166"/>
      <c r="EN97" s="166"/>
      <c r="EO97" s="166"/>
    </row>
    <row r="98" spans="1:145" ht="14.25" customHeight="1" x14ac:dyDescent="0.25">
      <c r="A98" s="17" t="s">
        <v>43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</row>
    <row r="99" spans="1:145" x14ac:dyDescent="0.25">
      <c r="A99" s="15" t="s">
        <v>45</v>
      </c>
      <c r="B99" s="166">
        <f ca="1">B82*$B$111+H82*$B$112+N82*$B$113+T82*$B$110+Z82*$B$114+AF82*$B$115</f>
        <v>6.6299712069411307E-2</v>
      </c>
      <c r="C99" s="166"/>
      <c r="D99" s="166"/>
      <c r="E99" s="166"/>
      <c r="F99" s="166"/>
      <c r="G99" s="166"/>
      <c r="H99" s="166"/>
      <c r="I99" s="166"/>
      <c r="J99" s="166"/>
      <c r="K99" s="166"/>
      <c r="L99" s="166"/>
      <c r="M99" s="166"/>
      <c r="N99" s="166"/>
      <c r="O99" s="166"/>
      <c r="P99" s="166"/>
      <c r="Q99" s="166"/>
      <c r="R99" s="166"/>
      <c r="S99" s="166"/>
      <c r="T99" s="166"/>
      <c r="U99" s="166"/>
      <c r="V99" s="166"/>
      <c r="W99" s="166"/>
      <c r="X99" s="166"/>
      <c r="Y99" s="166"/>
      <c r="Z99" s="166"/>
      <c r="AA99" s="166"/>
      <c r="AB99" s="166"/>
      <c r="AC99" s="166"/>
      <c r="AD99" s="166"/>
      <c r="AE99" s="166"/>
      <c r="AF99" s="166"/>
      <c r="AG99" s="166"/>
      <c r="AH99" s="166"/>
      <c r="AI99" s="166"/>
      <c r="AJ99" s="166"/>
      <c r="AK99" s="166"/>
    </row>
    <row r="101" spans="1:145" x14ac:dyDescent="0.25">
      <c r="A101" s="21" t="s">
        <v>58</v>
      </c>
      <c r="B101" s="167" t="s">
        <v>61</v>
      </c>
    </row>
    <row r="102" spans="1:145" ht="23.25" customHeight="1" x14ac:dyDescent="0.25">
      <c r="A102" s="21" t="s">
        <v>59</v>
      </c>
      <c r="B102" s="167">
        <v>180</v>
      </c>
    </row>
    <row r="103" spans="1:145" ht="35.25" customHeight="1" x14ac:dyDescent="0.25">
      <c r="A103" s="21" t="s">
        <v>63</v>
      </c>
      <c r="B103" s="167">
        <v>1</v>
      </c>
    </row>
    <row r="104" spans="1:145" x14ac:dyDescent="0.25">
      <c r="A104" s="21" t="s">
        <v>60</v>
      </c>
      <c r="B104" s="167">
        <v>1</v>
      </c>
    </row>
    <row r="105" spans="1:145" x14ac:dyDescent="0.25">
      <c r="A105" s="137" t="s">
        <v>62</v>
      </c>
      <c r="B105" s="147">
        <v>0.65</v>
      </c>
      <c r="C105" s="261" t="str">
        <f>IF(B105+B106+B107=1,"доли плана ВЕРНЫ","доли плана НЕ ВЕРНЫ")</f>
        <v>доли плана ВЕРНЫ</v>
      </c>
    </row>
    <row r="106" spans="1:145" x14ac:dyDescent="0.25">
      <c r="A106" s="137" t="s">
        <v>117</v>
      </c>
      <c r="B106" s="147">
        <v>0.3</v>
      </c>
      <c r="C106" s="261"/>
    </row>
    <row r="107" spans="1:145" ht="22.5" customHeight="1" x14ac:dyDescent="0.25">
      <c r="A107" s="137" t="s">
        <v>118</v>
      </c>
      <c r="B107" s="147">
        <v>0.05</v>
      </c>
      <c r="C107" s="262"/>
    </row>
    <row r="108" spans="1:145" ht="22.5" customHeight="1" x14ac:dyDescent="0.25">
      <c r="A108" s="266" t="s">
        <v>64</v>
      </c>
      <c r="B108" s="268" t="s">
        <v>70</v>
      </c>
      <c r="C108" s="270" t="s">
        <v>81</v>
      </c>
      <c r="D108" s="270" t="s">
        <v>82</v>
      </c>
      <c r="E108" s="270" t="s">
        <v>83</v>
      </c>
      <c r="F108" s="270" t="s">
        <v>71</v>
      </c>
      <c r="G108" s="274" t="s">
        <v>107</v>
      </c>
      <c r="H108" s="273" t="s">
        <v>105</v>
      </c>
      <c r="I108" s="273"/>
      <c r="J108" s="273" t="s">
        <v>106</v>
      </c>
      <c r="K108" s="273"/>
    </row>
    <row r="109" spans="1:145" ht="31.5" customHeight="1" x14ac:dyDescent="0.25">
      <c r="A109" s="267"/>
      <c r="B109" s="269"/>
      <c r="C109" s="270"/>
      <c r="D109" s="270"/>
      <c r="E109" s="270"/>
      <c r="F109" s="270"/>
      <c r="G109" s="275"/>
      <c r="H109" s="137" t="s">
        <v>103</v>
      </c>
      <c r="I109" s="137" t="s">
        <v>104</v>
      </c>
      <c r="J109" s="137" t="s">
        <v>103</v>
      </c>
      <c r="K109" s="137" t="s">
        <v>104</v>
      </c>
    </row>
    <row r="110" spans="1:145" ht="53.25" customHeight="1" x14ac:dyDescent="0.25">
      <c r="A110" s="23" t="s">
        <v>65</v>
      </c>
      <c r="B110" s="24">
        <v>0.02</v>
      </c>
      <c r="C110" s="28">
        <v>0</v>
      </c>
      <c r="D110" s="28">
        <v>0</v>
      </c>
      <c r="E110" s="28">
        <v>1</v>
      </c>
      <c r="F110" s="28">
        <v>0</v>
      </c>
      <c r="G110" s="28" t="str">
        <f>IF(B110=0,(IF(C110+D110+E110+F110=0,"доли скорости ВЕРНЫ","доли скорости НЕ ВЕРНЫ")),(IF(C110+D110+E110+F110=1,"доли скорости ВЕРНЫ","доли скорости НЕ ВЕРНЫ")))</f>
        <v>доли скорости ВЕРНЫ</v>
      </c>
      <c r="H110" s="28">
        <v>1</v>
      </c>
      <c r="I110" s="28">
        <v>1</v>
      </c>
      <c r="J110" s="28">
        <v>1</v>
      </c>
      <c r="K110" s="28">
        <v>1</v>
      </c>
    </row>
    <row r="111" spans="1:145" ht="51" customHeight="1" x14ac:dyDescent="0.25">
      <c r="A111" s="23" t="s">
        <v>66</v>
      </c>
      <c r="B111" s="24">
        <v>0.92</v>
      </c>
      <c r="C111" s="29">
        <v>0</v>
      </c>
      <c r="D111" s="29">
        <v>0.4</v>
      </c>
      <c r="E111" s="29">
        <v>0.6</v>
      </c>
      <c r="F111" s="29">
        <v>0</v>
      </c>
      <c r="G111" s="29" t="str">
        <f t="shared" ref="G111:G115" si="551">IF(B111=0,(IF(C111+D111+E111+F111=0,"доли скорости ВЕРНЫ","доли скорости НЕ ВЕРНЫ")),(IF(C111+D111+E111+F111=1,"доли скорости ВЕРНЫ","доли скорости НЕ ВЕРНЫ")))</f>
        <v>доли скорости ВЕРНЫ</v>
      </c>
      <c r="H111" s="29">
        <v>1</v>
      </c>
      <c r="I111" s="29">
        <v>1</v>
      </c>
      <c r="J111" s="29">
        <v>1</v>
      </c>
      <c r="K111" s="29">
        <v>1</v>
      </c>
    </row>
    <row r="112" spans="1:145" ht="47.25" customHeight="1" x14ac:dyDescent="0.25">
      <c r="A112" s="23" t="s">
        <v>67</v>
      </c>
      <c r="B112" s="24">
        <v>0.01</v>
      </c>
      <c r="C112" s="30">
        <v>0</v>
      </c>
      <c r="D112" s="30">
        <v>0</v>
      </c>
      <c r="E112" s="30">
        <v>1</v>
      </c>
      <c r="F112" s="30">
        <v>0</v>
      </c>
      <c r="G112" s="30" t="str">
        <f t="shared" si="551"/>
        <v>доли скорости ВЕРНЫ</v>
      </c>
      <c r="H112" s="30">
        <v>1</v>
      </c>
      <c r="I112" s="30">
        <v>1</v>
      </c>
      <c r="J112" s="30">
        <v>1</v>
      </c>
      <c r="K112" s="30">
        <v>1</v>
      </c>
    </row>
    <row r="113" spans="1:11" ht="48" customHeight="1" x14ac:dyDescent="0.25">
      <c r="A113" s="23" t="s">
        <v>68</v>
      </c>
      <c r="B113" s="24">
        <v>0</v>
      </c>
      <c r="C113" s="31">
        <v>0</v>
      </c>
      <c r="D113" s="31">
        <v>0</v>
      </c>
      <c r="E113" s="31">
        <v>0</v>
      </c>
      <c r="F113" s="31">
        <v>0</v>
      </c>
      <c r="G113" s="31" t="str">
        <f t="shared" si="551"/>
        <v>доли скорости ВЕРНЫ</v>
      </c>
      <c r="H113" s="31">
        <v>1</v>
      </c>
      <c r="I113" s="31">
        <v>1</v>
      </c>
      <c r="J113" s="31">
        <v>1</v>
      </c>
      <c r="K113" s="31">
        <v>1</v>
      </c>
    </row>
    <row r="114" spans="1:11" ht="42.75" customHeight="1" x14ac:dyDescent="0.25">
      <c r="A114" s="23" t="s">
        <v>72</v>
      </c>
      <c r="B114" s="24">
        <v>0.01</v>
      </c>
      <c r="C114" s="32">
        <v>0</v>
      </c>
      <c r="D114" s="32">
        <v>0</v>
      </c>
      <c r="E114" s="32">
        <v>0.5</v>
      </c>
      <c r="F114" s="32">
        <v>0.5</v>
      </c>
      <c r="G114" s="32" t="str">
        <f t="shared" si="551"/>
        <v>доли скорости ВЕРНЫ</v>
      </c>
      <c r="H114" s="32">
        <v>1</v>
      </c>
      <c r="I114" s="32">
        <v>1</v>
      </c>
      <c r="J114" s="32">
        <v>1</v>
      </c>
      <c r="K114" s="32">
        <v>1</v>
      </c>
    </row>
    <row r="115" spans="1:11" ht="45.75" customHeight="1" x14ac:dyDescent="0.25">
      <c r="A115" s="23" t="s">
        <v>69</v>
      </c>
      <c r="B115" s="24">
        <v>0.04</v>
      </c>
      <c r="C115" s="33">
        <v>0</v>
      </c>
      <c r="D115" s="33">
        <v>0.1</v>
      </c>
      <c r="E115" s="33">
        <v>0.6</v>
      </c>
      <c r="F115" s="33">
        <v>0.3</v>
      </c>
      <c r="G115" s="33" t="str">
        <f t="shared" si="551"/>
        <v>доли скорости ВЕРНЫ</v>
      </c>
      <c r="H115" s="33">
        <v>1</v>
      </c>
      <c r="I115" s="33">
        <v>1</v>
      </c>
      <c r="J115" s="33">
        <v>1</v>
      </c>
      <c r="K115" s="33">
        <v>1</v>
      </c>
    </row>
    <row r="116" spans="1:11" ht="52.5" customHeight="1" x14ac:dyDescent="0.25">
      <c r="A116" s="15"/>
      <c r="B116" s="132" t="str">
        <f>IF(SUM(B110:B115)=1,"доли в потоке ВЕРНЫ","доли в потоке НЕ ВЕРНЫ")</f>
        <v>доли в потоке ВЕРНЫ</v>
      </c>
      <c r="C116" s="15"/>
      <c r="D116" s="15"/>
      <c r="E116" s="15"/>
      <c r="F116" s="15"/>
      <c r="G116" s="136"/>
      <c r="H116" s="168"/>
    </row>
    <row r="117" spans="1:11" ht="52.5" customHeight="1" x14ac:dyDescent="0.25">
      <c r="A117" s="137" t="s">
        <v>143</v>
      </c>
      <c r="B117" s="137">
        <f>B110*6+B111*23.5+B112*25+B113*27+B114*16+B115*25</f>
        <v>23.150000000000002</v>
      </c>
      <c r="C117" s="15"/>
      <c r="D117" s="15"/>
      <c r="E117" s="15"/>
      <c r="F117" s="15"/>
      <c r="G117" s="136"/>
      <c r="H117" s="168"/>
    </row>
    <row r="118" spans="1:11" ht="63" customHeight="1" x14ac:dyDescent="0.25">
      <c r="A118" s="15"/>
      <c r="B118" s="271" t="s">
        <v>74</v>
      </c>
      <c r="C118" s="270" t="s">
        <v>73</v>
      </c>
      <c r="D118" s="270"/>
      <c r="E118" s="270"/>
      <c r="F118" s="270"/>
      <c r="G118" s="270"/>
      <c r="H118" s="270"/>
      <c r="I118" s="274" t="s">
        <v>149</v>
      </c>
      <c r="J118" s="276" t="s">
        <v>150</v>
      </c>
    </row>
    <row r="119" spans="1:11" ht="62.25" customHeight="1" x14ac:dyDescent="0.25">
      <c r="B119" s="272"/>
      <c r="C119" s="138" t="s">
        <v>75</v>
      </c>
      <c r="D119" s="138" t="s">
        <v>76</v>
      </c>
      <c r="E119" s="138" t="s">
        <v>77</v>
      </c>
      <c r="F119" s="138" t="s">
        <v>78</v>
      </c>
      <c r="G119" s="138" t="s">
        <v>79</v>
      </c>
      <c r="H119" s="138" t="s">
        <v>80</v>
      </c>
      <c r="I119" s="275"/>
      <c r="J119" s="277"/>
    </row>
    <row r="120" spans="1:11" ht="20.25" customHeight="1" x14ac:dyDescent="0.25">
      <c r="A120" s="24" t="s">
        <v>283</v>
      </c>
      <c r="B120" s="138">
        <f ca="1">B85</f>
        <v>185068.11810645214</v>
      </c>
      <c r="C120" s="169">
        <f>рельсы!N14</f>
        <v>1.0737000000000001E-63</v>
      </c>
      <c r="D120" s="169">
        <f>рельсы!N15</f>
        <v>-1.81314E-50</v>
      </c>
      <c r="E120" s="169">
        <f>рельсы!N16</f>
        <v>1.4607900000000001E-37</v>
      </c>
      <c r="F120" s="169">
        <f>рельсы!N17</f>
        <v>-4.5002700000000004E-25</v>
      </c>
      <c r="G120" s="169">
        <f>рельсы!N18</f>
        <v>8.5547699999999999E-13</v>
      </c>
      <c r="H120" s="138">
        <f>рельсы!N19</f>
        <v>0</v>
      </c>
      <c r="I120" s="170">
        <f>'Единичные ставки+критерии'!C65</f>
        <v>32.928750000000001</v>
      </c>
      <c r="J120" s="138">
        <v>0.01</v>
      </c>
    </row>
    <row r="121" spans="1:11" ht="20.25" customHeight="1" x14ac:dyDescent="0.25">
      <c r="A121" s="24" t="s">
        <v>284</v>
      </c>
      <c r="B121" s="138">
        <f ca="1">B120</f>
        <v>185068.11810645214</v>
      </c>
      <c r="C121" s="169">
        <f>рельсы!O14</f>
        <v>1.193E-64</v>
      </c>
      <c r="D121" s="169">
        <f>рельсы!O15</f>
        <v>-2.0146E-51</v>
      </c>
      <c r="E121" s="169">
        <f>рельсы!O16</f>
        <v>1.6231000000000001E-38</v>
      </c>
      <c r="F121" s="169">
        <f>рельсы!O17</f>
        <v>-5.0003000000000004E-26</v>
      </c>
      <c r="G121" s="169">
        <f>рельсы!O18</f>
        <v>9.5052999999999999E-14</v>
      </c>
      <c r="H121" s="138">
        <v>0</v>
      </c>
      <c r="I121" s="170">
        <f>I120</f>
        <v>32.928750000000001</v>
      </c>
      <c r="J121" s="138">
        <v>0.02</v>
      </c>
    </row>
    <row r="122" spans="1:11" ht="16.5" customHeight="1" x14ac:dyDescent="0.25">
      <c r="A122" s="24" t="s">
        <v>31</v>
      </c>
      <c r="B122" s="138">
        <f ca="1">B87</f>
        <v>5710408214.2378817</v>
      </c>
      <c r="C122" s="169">
        <f>скрепления!N14</f>
        <v>-1.9979000000000001E-86</v>
      </c>
      <c r="D122" s="169">
        <f>скрепления!N15</f>
        <v>3.4085E-68</v>
      </c>
      <c r="E122" s="169">
        <f>скрепления!N16</f>
        <v>-1.9800999999999999E-50</v>
      </c>
      <c r="F122" s="169">
        <f>скрепления!N17</f>
        <v>4.4174000000000003E-33</v>
      </c>
      <c r="G122" s="169">
        <f>скрепления!N18</f>
        <v>-1.1569000000000001E-16</v>
      </c>
      <c r="H122" s="138">
        <v>0</v>
      </c>
      <c r="I122" s="170">
        <f>'Единичные ставки+критерии'!C105</f>
        <v>3.2423999999999999</v>
      </c>
      <c r="J122" s="138">
        <v>1E-3</v>
      </c>
    </row>
    <row r="123" spans="1:11" ht="19.5" customHeight="1" x14ac:dyDescent="0.25">
      <c r="A123" s="24" t="s">
        <v>30</v>
      </c>
      <c r="B123" s="138">
        <f ca="1">B89</f>
        <v>5710379076.3497629</v>
      </c>
      <c r="C123" s="169">
        <f>Шпалы!N14</f>
        <v>-1.248E-86</v>
      </c>
      <c r="D123" s="169">
        <f>Шпалы!N15</f>
        <v>2.1293999999999999E-68</v>
      </c>
      <c r="E123" s="169">
        <f>Шпалы!N16</f>
        <v>-1.2371E-50</v>
      </c>
      <c r="F123" s="169">
        <f>Шпалы!N17</f>
        <v>2.7604000000000001E-33</v>
      </c>
      <c r="G123" s="169">
        <f>Шпалы!N18</f>
        <v>-7.2329000000000004E-17</v>
      </c>
      <c r="H123" s="138">
        <f>скрепления!N19</f>
        <v>0</v>
      </c>
      <c r="I123" s="170">
        <f>'Единичные ставки+критерии'!C39</f>
        <v>5.43</v>
      </c>
      <c r="J123" s="139">
        <v>1E-3</v>
      </c>
    </row>
    <row r="124" spans="1:11" ht="18" customHeight="1" x14ac:dyDescent="0.25">
      <c r="A124" s="133" t="s">
        <v>317</v>
      </c>
      <c r="B124" s="138">
        <f ca="1">B91</f>
        <v>32163.770328239334</v>
      </c>
      <c r="C124" s="169">
        <f>балласт!N14</f>
        <v>1.5542999999999999E-59</v>
      </c>
      <c r="D124" s="169">
        <f>балласт!N15</f>
        <v>-9.9424999999999991E-47</v>
      </c>
      <c r="E124" s="169">
        <f>балласт!N16</f>
        <v>2.3518E-34</v>
      </c>
      <c r="F124" s="169">
        <f>балласт!N17</f>
        <v>-2.5819999999999998E-22</v>
      </c>
      <c r="G124" s="169">
        <f>балласт!N18</f>
        <v>1.3875000000000001E-10</v>
      </c>
      <c r="H124" s="138">
        <f>балласт!N19</f>
        <v>0</v>
      </c>
      <c r="I124" s="170">
        <f>'Единичные ставки+критерии'!C113</f>
        <v>1.5951562500000001</v>
      </c>
      <c r="J124" s="139">
        <v>0.05</v>
      </c>
    </row>
    <row r="125" spans="1:11" ht="17.25" customHeight="1" x14ac:dyDescent="0.25">
      <c r="A125" s="133" t="s">
        <v>287</v>
      </c>
      <c r="B125" s="138">
        <f ca="1">B93</f>
        <v>96172533219.059662</v>
      </c>
      <c r="C125" s="138">
        <v>0</v>
      </c>
      <c r="D125" s="138">
        <v>0</v>
      </c>
      <c r="E125" s="138">
        <v>0</v>
      </c>
      <c r="F125" s="138">
        <v>0</v>
      </c>
      <c r="G125" s="138">
        <v>0</v>
      </c>
      <c r="H125" s="138">
        <v>0</v>
      </c>
      <c r="I125" s="170">
        <v>0</v>
      </c>
      <c r="J125" s="93">
        <v>0</v>
      </c>
    </row>
    <row r="126" spans="1:11" s="171" customFormat="1" ht="15.75" customHeight="1" x14ac:dyDescent="0.25">
      <c r="A126" s="24" t="s">
        <v>94</v>
      </c>
      <c r="B126" s="137">
        <f ca="1">B95</f>
        <v>5710408214.2378817</v>
      </c>
      <c r="C126" s="137">
        <f>'Неисправности Колеи(КБ-65)'!I25</f>
        <v>0</v>
      </c>
      <c r="D126" s="137">
        <f>'Неисправности Колеи(КБ-65)'!I26</f>
        <v>-2.511E-70</v>
      </c>
      <c r="E126" s="137">
        <f>'Неисправности Колеи(КБ-65)'!I27</f>
        <v>2.1139999999999999E-52</v>
      </c>
      <c r="F126" s="137">
        <f>'Неисправности Колеи(КБ-65)'!I28</f>
        <v>3.9890000000000001E-35</v>
      </c>
      <c r="G126" s="137">
        <f>'Неисправности Колеи(КБ-65)'!I29</f>
        <v>6.4889999999999999E-18</v>
      </c>
      <c r="H126" s="137">
        <f>'Неисправности Колеи(КБ-65)'!I30</f>
        <v>0</v>
      </c>
      <c r="I126" s="170">
        <f>I127*0.75</f>
        <v>0.67640624999999999</v>
      </c>
      <c r="J126" s="137">
        <v>5.0000000000000001E-3</v>
      </c>
    </row>
    <row r="127" spans="1:11" s="171" customFormat="1" ht="15.75" customHeight="1" x14ac:dyDescent="0.25">
      <c r="A127" s="24" t="s">
        <v>95</v>
      </c>
      <c r="B127" s="137">
        <f ca="1">B95</f>
        <v>5710408214.2378817</v>
      </c>
      <c r="C127" s="137">
        <f>'Неисправности Колеи(КБ-65)'!I51</f>
        <v>0</v>
      </c>
      <c r="D127" s="137">
        <f>'Неисправности Колеи(КБ-65)'!I52</f>
        <v>-8.3690000000000008E-71</v>
      </c>
      <c r="E127" s="137">
        <f>'Неисправности Колеи(КБ-65)'!I53</f>
        <v>7.0469999999999997E-53</v>
      </c>
      <c r="F127" s="137">
        <f>'Неисправности Колеи(КБ-65)'!I54</f>
        <v>1.3299999999999999E-35</v>
      </c>
      <c r="G127" s="137">
        <f>'Неисправности Колеи(КБ-65)'!I55</f>
        <v>2.163E-18</v>
      </c>
      <c r="H127" s="137">
        <f>'Неисправности Колеи(КБ-65)'!I56</f>
        <v>0</v>
      </c>
      <c r="I127" s="170">
        <f>'Единичные ставки+критерии'!C56</f>
        <v>0.90187499999999998</v>
      </c>
      <c r="J127" s="137">
        <v>0.01</v>
      </c>
    </row>
    <row r="128" spans="1:11" s="171" customFormat="1" ht="15.75" customHeight="1" x14ac:dyDescent="0.25">
      <c r="A128" s="24" t="s">
        <v>96</v>
      </c>
      <c r="B128" s="137">
        <f ca="1">B95</f>
        <v>5710408214.2378817</v>
      </c>
      <c r="C128" s="137">
        <f>'Неисправности Колеи(КБ-65)'!I78</f>
        <v>0</v>
      </c>
      <c r="D128" s="137">
        <f>'Неисправности Колеи(КБ-65)'!I79</f>
        <v>-2.0919999999999999E-71</v>
      </c>
      <c r="E128" s="137">
        <f>'Неисправности Колеи(КБ-65)'!I80</f>
        <v>1.7619999999999999E-53</v>
      </c>
      <c r="F128" s="137">
        <f>'Неисправности Колеи(КБ-65)'!I81</f>
        <v>3.3239999999999997E-36</v>
      </c>
      <c r="G128" s="137">
        <f>'Неисправности Колеи(КБ-65)'!I82</f>
        <v>5.4080000000000004E-19</v>
      </c>
      <c r="H128" s="137">
        <f>'Неисправности Колеи(КБ-65)'!I83</f>
        <v>0</v>
      </c>
      <c r="I128" s="170">
        <f>I127*1.25</f>
        <v>1.1273437500000001</v>
      </c>
      <c r="J128" s="137">
        <v>0.03</v>
      </c>
    </row>
    <row r="129" spans="1:42" ht="19.5" customHeight="1" x14ac:dyDescent="0.25">
      <c r="A129" s="24" t="s">
        <v>97</v>
      </c>
      <c r="B129" s="138">
        <f ca="1">B97</f>
        <v>343330217.25800741</v>
      </c>
      <c r="C129" s="138">
        <f>'Неисправности Колеи(КБ-65)'!AN24</f>
        <v>-4E-79</v>
      </c>
      <c r="D129" s="138">
        <f>'Неисправности Колеи(КБ-65)'!AN25</f>
        <v>1E-62</v>
      </c>
      <c r="E129" s="138">
        <f>'Неисправности Колеи(КБ-65)'!AN26</f>
        <v>-1E-46</v>
      </c>
      <c r="F129" s="138">
        <f>'Неисправности Колеи(КБ-65)'!AN27</f>
        <v>2.0000000000000002E-31</v>
      </c>
      <c r="G129" s="138">
        <f>'Неисправности Колеи(КБ-65)'!AN28</f>
        <v>2.9999999999999998E-15</v>
      </c>
      <c r="H129" s="138">
        <f>'Неисправности Колеи(КБ-65)'!AN29</f>
        <v>0</v>
      </c>
      <c r="I129" s="170">
        <f>I130*0.75</f>
        <v>7.4215124999999986</v>
      </c>
      <c r="J129" s="138">
        <v>5.0000000000000001E-3</v>
      </c>
    </row>
    <row r="130" spans="1:42" ht="19.5" customHeight="1" x14ac:dyDescent="0.25">
      <c r="A130" s="24" t="s">
        <v>99</v>
      </c>
      <c r="B130" s="138">
        <f ca="1">B97</f>
        <v>343330217.25800741</v>
      </c>
      <c r="C130" s="138">
        <f>'Неисправности Колеи(КБ-65)'!AN51</f>
        <v>-1.2278E-79</v>
      </c>
      <c r="D130" s="138">
        <f>'Неисправности Колеи(КБ-65)'!AN52</f>
        <v>4.6375000000000002E-63</v>
      </c>
      <c r="E130" s="138">
        <f>'Неисправности Колеи(КБ-65)'!AN53</f>
        <v>-4.6063000000000004E-47</v>
      </c>
      <c r="F130" s="138">
        <f>'Неисправности Колеи(КБ-65)'!AN54</f>
        <v>5.1679999999999995E-32</v>
      </c>
      <c r="G130" s="138">
        <f>'Неисправности Колеи(КБ-65)'!AN55</f>
        <v>1.1414E-15</v>
      </c>
      <c r="H130" s="138">
        <f>'Неисправности Колеи(КБ-65)'!AN56</f>
        <v>0</v>
      </c>
      <c r="I130" s="170">
        <f>'Единичные ставки+критерии'!D22</f>
        <v>9.8953499999999988</v>
      </c>
      <c r="J130" s="138">
        <v>0.01</v>
      </c>
    </row>
    <row r="131" spans="1:42" ht="19.5" customHeight="1" x14ac:dyDescent="0.25">
      <c r="A131" s="24" t="s">
        <v>98</v>
      </c>
      <c r="B131" s="138">
        <f ca="1">B97</f>
        <v>343330217.25800741</v>
      </c>
      <c r="C131" s="138">
        <f>'Неисправности Колеи(КБ-65)'!AN78</f>
        <v>-4.6040000000000002E-80</v>
      </c>
      <c r="D131" s="138">
        <f>'Неисправности Колеи(КБ-65)'!AN79</f>
        <v>1.7390000000000001E-63</v>
      </c>
      <c r="E131" s="138">
        <f>'Неисправности Колеи(КБ-65)'!AN80</f>
        <v>-1.727E-47</v>
      </c>
      <c r="F131" s="138">
        <f>'Неисправности Колеи(КБ-65)'!AN81</f>
        <v>1.9380000000000001E-32</v>
      </c>
      <c r="G131" s="138">
        <f>'Неисправности Колеи(КБ-65)'!AN82</f>
        <v>4.28E-16</v>
      </c>
      <c r="H131" s="138">
        <f>'Неисправности Колеи(КБ-65)'!AN83</f>
        <v>0</v>
      </c>
      <c r="I131" s="170">
        <f>I130*1.25</f>
        <v>12.369187499999999</v>
      </c>
      <c r="J131" s="138">
        <v>0.03</v>
      </c>
    </row>
    <row r="132" spans="1:42" ht="18.75" customHeight="1" x14ac:dyDescent="0.25">
      <c r="A132" s="24" t="s">
        <v>100</v>
      </c>
      <c r="B132" s="138">
        <f ca="1">B99</f>
        <v>6.6299712069411307E-2</v>
      </c>
      <c r="C132" s="138">
        <f>'Неисправности Колеи(КБ-65)'!AC24</f>
        <v>0</v>
      </c>
      <c r="D132" s="138">
        <f>'Неисправности Колеи(КБ-65)'!AC25</f>
        <v>-2.6739999999999998E-30</v>
      </c>
      <c r="E132" s="138">
        <f>'Неисправности Колеи(КБ-65)'!AC26</f>
        <v>7.8929999999999993E-21</v>
      </c>
      <c r="F132" s="138">
        <f>'Неисправности Колеи(КБ-65)'!AC27</f>
        <v>-1.342E-13</v>
      </c>
      <c r="G132" s="138">
        <f>'Неисправности Колеи(КБ-65)'!AC28</f>
        <v>8.2939999999999995E-7</v>
      </c>
      <c r="H132" s="138">
        <f>'Неисправности Колеи(КБ-65)'!AC29</f>
        <v>0</v>
      </c>
      <c r="I132" s="170">
        <f>I133*0.75</f>
        <v>0.85218749999999999</v>
      </c>
      <c r="J132" s="138">
        <v>5.0000000000000001E-3</v>
      </c>
    </row>
    <row r="133" spans="1:42" ht="18.75" customHeight="1" x14ac:dyDescent="0.25">
      <c r="A133" s="24" t="s">
        <v>101</v>
      </c>
      <c r="B133" s="138">
        <f ca="1">B99</f>
        <v>6.6299712069411307E-2</v>
      </c>
      <c r="C133" s="138">
        <f>'Неисправности Колеи(КБ-65)'!AC51</f>
        <v>0</v>
      </c>
      <c r="D133" s="169">
        <f>'Неисправности Колеи(КБ-65)'!AC52</f>
        <v>-8.9129999999999997E-31</v>
      </c>
      <c r="E133" s="169">
        <f>'Неисправности Колеи(КБ-65)'!AC53</f>
        <v>2.6309999999999999E-21</v>
      </c>
      <c r="F133" s="169">
        <f>'Неисправности Колеи(КБ-65)'!AC54</f>
        <v>-4.4730000000000002E-14</v>
      </c>
      <c r="G133" s="169">
        <f>'Неисправности Колеи(КБ-65)'!AC55</f>
        <v>2.7650000000000002E-7</v>
      </c>
      <c r="H133" s="138">
        <f>'Неисправности Колеи(КБ-65)'!AC56</f>
        <v>0</v>
      </c>
      <c r="I133" s="170">
        <f>'Единичные ставки+критерии'!C47</f>
        <v>1.13625</v>
      </c>
      <c r="J133" s="138">
        <v>0.01</v>
      </c>
    </row>
    <row r="134" spans="1:42" ht="18.75" customHeight="1" x14ac:dyDescent="0.25">
      <c r="A134" s="24" t="s">
        <v>102</v>
      </c>
      <c r="B134" s="138">
        <f ca="1">B99</f>
        <v>6.6299712069411307E-2</v>
      </c>
      <c r="C134" s="138">
        <f>'Неисправности Колеи(КБ-65)'!AC78</f>
        <v>0</v>
      </c>
      <c r="D134" s="169">
        <f>'Неисправности Колеи(КБ-65)'!AC79</f>
        <v>-8.9129999999999997E-31</v>
      </c>
      <c r="E134" s="169">
        <f>'Неисправности Колеи(КБ-65)'!AC80</f>
        <v>2.6309999999999999E-21</v>
      </c>
      <c r="F134" s="169">
        <f>'Неисправности Колеи(КБ-65)'!AC81</f>
        <v>-4.4730000000000002E-14</v>
      </c>
      <c r="G134" s="169">
        <f>'Неисправности Колеи(КБ-65)'!AC82</f>
        <v>2.7650000000000002E-7</v>
      </c>
      <c r="H134" s="138">
        <f>'Неисправности Колеи(КБ-65)'!AC83</f>
        <v>0</v>
      </c>
      <c r="I134" s="170">
        <f>I133*1.25</f>
        <v>1.4203125000000001</v>
      </c>
      <c r="J134" s="138">
        <v>0.03</v>
      </c>
    </row>
    <row r="136" spans="1:42" ht="15.75" hidden="1" x14ac:dyDescent="0.25">
      <c r="A136" s="37" t="s">
        <v>84</v>
      </c>
      <c r="B136" s="172">
        <v>1</v>
      </c>
      <c r="C136" s="172">
        <f>B136+1</f>
        <v>2</v>
      </c>
      <c r="D136" s="172">
        <f t="shared" ref="D136:AP136" si="552">C136+1</f>
        <v>3</v>
      </c>
      <c r="E136" s="172">
        <f t="shared" si="552"/>
        <v>4</v>
      </c>
      <c r="F136" s="172">
        <f t="shared" si="552"/>
        <v>5</v>
      </c>
      <c r="G136" s="172">
        <f t="shared" si="552"/>
        <v>6</v>
      </c>
      <c r="H136" s="172">
        <f t="shared" si="552"/>
        <v>7</v>
      </c>
      <c r="I136" s="172">
        <f t="shared" si="552"/>
        <v>8</v>
      </c>
      <c r="J136" s="172">
        <f t="shared" si="552"/>
        <v>9</v>
      </c>
      <c r="K136" s="173">
        <f t="shared" si="552"/>
        <v>10</v>
      </c>
      <c r="L136" s="172">
        <f t="shared" si="552"/>
        <v>11</v>
      </c>
      <c r="M136" s="172">
        <f t="shared" si="552"/>
        <v>12</v>
      </c>
      <c r="N136" s="172">
        <f t="shared" si="552"/>
        <v>13</v>
      </c>
      <c r="O136" s="172">
        <f t="shared" si="552"/>
        <v>14</v>
      </c>
      <c r="P136" s="172">
        <f t="shared" si="552"/>
        <v>15</v>
      </c>
      <c r="Q136" s="172">
        <f t="shared" si="552"/>
        <v>16</v>
      </c>
      <c r="R136" s="172">
        <f t="shared" si="552"/>
        <v>17</v>
      </c>
      <c r="S136" s="172">
        <f t="shared" si="552"/>
        <v>18</v>
      </c>
      <c r="T136" s="172">
        <f t="shared" si="552"/>
        <v>19</v>
      </c>
      <c r="U136" s="172">
        <f t="shared" si="552"/>
        <v>20</v>
      </c>
      <c r="V136" s="172">
        <f t="shared" si="552"/>
        <v>21</v>
      </c>
      <c r="W136" s="172">
        <f t="shared" si="552"/>
        <v>22</v>
      </c>
      <c r="X136" s="172">
        <f t="shared" si="552"/>
        <v>23</v>
      </c>
      <c r="Y136" s="172">
        <f t="shared" si="552"/>
        <v>24</v>
      </c>
      <c r="Z136" s="172">
        <f t="shared" si="552"/>
        <v>25</v>
      </c>
      <c r="AA136" s="172">
        <f t="shared" si="552"/>
        <v>26</v>
      </c>
      <c r="AB136" s="172">
        <f t="shared" si="552"/>
        <v>27</v>
      </c>
      <c r="AC136" s="172">
        <f t="shared" si="552"/>
        <v>28</v>
      </c>
      <c r="AD136" s="172">
        <f t="shared" si="552"/>
        <v>29</v>
      </c>
      <c r="AE136" s="172">
        <f t="shared" si="552"/>
        <v>30</v>
      </c>
      <c r="AF136" s="172">
        <f t="shared" si="552"/>
        <v>31</v>
      </c>
      <c r="AG136" s="172">
        <f t="shared" si="552"/>
        <v>32</v>
      </c>
      <c r="AH136" s="172">
        <f t="shared" si="552"/>
        <v>33</v>
      </c>
      <c r="AI136" s="172">
        <f t="shared" si="552"/>
        <v>34</v>
      </c>
      <c r="AJ136" s="172">
        <f t="shared" si="552"/>
        <v>35</v>
      </c>
      <c r="AK136" s="172">
        <f t="shared" si="552"/>
        <v>36</v>
      </c>
      <c r="AL136" s="172">
        <f t="shared" si="552"/>
        <v>37</v>
      </c>
      <c r="AM136" s="172">
        <f t="shared" si="552"/>
        <v>38</v>
      </c>
      <c r="AN136" s="172">
        <f t="shared" si="552"/>
        <v>39</v>
      </c>
      <c r="AO136" s="172">
        <f t="shared" si="552"/>
        <v>40</v>
      </c>
      <c r="AP136" s="172">
        <f t="shared" si="552"/>
        <v>41</v>
      </c>
    </row>
    <row r="137" spans="1:42" ht="15.75" hidden="1" x14ac:dyDescent="0.25">
      <c r="A137" s="37" t="s">
        <v>85</v>
      </c>
      <c r="B137" s="172">
        <f>B136*$B$102</f>
        <v>180</v>
      </c>
      <c r="C137" s="172">
        <f t="shared" ref="C137:AP137" si="553">C136*$B$102</f>
        <v>360</v>
      </c>
      <c r="D137" s="172">
        <f t="shared" si="553"/>
        <v>540</v>
      </c>
      <c r="E137" s="172">
        <f t="shared" si="553"/>
        <v>720</v>
      </c>
      <c r="F137" s="172">
        <f t="shared" si="553"/>
        <v>900</v>
      </c>
      <c r="G137" s="172">
        <f t="shared" si="553"/>
        <v>1080</v>
      </c>
      <c r="H137" s="172">
        <f t="shared" si="553"/>
        <v>1260</v>
      </c>
      <c r="I137" s="172">
        <f t="shared" si="553"/>
        <v>1440</v>
      </c>
      <c r="J137" s="172">
        <f t="shared" si="553"/>
        <v>1620</v>
      </c>
      <c r="K137" s="172">
        <f t="shared" si="553"/>
        <v>1800</v>
      </c>
      <c r="L137" s="172">
        <f t="shared" si="553"/>
        <v>1980</v>
      </c>
      <c r="M137" s="172">
        <f t="shared" si="553"/>
        <v>2160</v>
      </c>
      <c r="N137" s="172">
        <f t="shared" si="553"/>
        <v>2340</v>
      </c>
      <c r="O137" s="172">
        <f t="shared" si="553"/>
        <v>2520</v>
      </c>
      <c r="P137" s="172">
        <f t="shared" si="553"/>
        <v>2700</v>
      </c>
      <c r="Q137" s="172">
        <f t="shared" si="553"/>
        <v>2880</v>
      </c>
      <c r="R137" s="172">
        <f t="shared" si="553"/>
        <v>3060</v>
      </c>
      <c r="S137" s="172">
        <f t="shared" si="553"/>
        <v>3240</v>
      </c>
      <c r="T137" s="172">
        <f t="shared" si="553"/>
        <v>3420</v>
      </c>
      <c r="U137" s="172">
        <f t="shared" si="553"/>
        <v>3600</v>
      </c>
      <c r="V137" s="172">
        <f t="shared" si="553"/>
        <v>3780</v>
      </c>
      <c r="W137" s="172">
        <f t="shared" si="553"/>
        <v>3960</v>
      </c>
      <c r="X137" s="172">
        <f t="shared" si="553"/>
        <v>4140</v>
      </c>
      <c r="Y137" s="172">
        <f t="shared" si="553"/>
        <v>4320</v>
      </c>
      <c r="Z137" s="172">
        <f t="shared" si="553"/>
        <v>4500</v>
      </c>
      <c r="AA137" s="172">
        <f t="shared" si="553"/>
        <v>4680</v>
      </c>
      <c r="AB137" s="172">
        <f t="shared" si="553"/>
        <v>4860</v>
      </c>
      <c r="AC137" s="172">
        <f t="shared" si="553"/>
        <v>5040</v>
      </c>
      <c r="AD137" s="172">
        <f t="shared" si="553"/>
        <v>5220</v>
      </c>
      <c r="AE137" s="172">
        <f t="shared" si="553"/>
        <v>5400</v>
      </c>
      <c r="AF137" s="172">
        <f t="shared" si="553"/>
        <v>5580</v>
      </c>
      <c r="AG137" s="172">
        <f t="shared" si="553"/>
        <v>5760</v>
      </c>
      <c r="AH137" s="172">
        <f t="shared" si="553"/>
        <v>5940</v>
      </c>
      <c r="AI137" s="172">
        <f t="shared" si="553"/>
        <v>6120</v>
      </c>
      <c r="AJ137" s="172">
        <f t="shared" si="553"/>
        <v>6300</v>
      </c>
      <c r="AK137" s="172">
        <f t="shared" si="553"/>
        <v>6480</v>
      </c>
      <c r="AL137" s="172">
        <f t="shared" si="553"/>
        <v>6660</v>
      </c>
      <c r="AM137" s="172">
        <f t="shared" si="553"/>
        <v>6840</v>
      </c>
      <c r="AN137" s="172">
        <f t="shared" si="553"/>
        <v>7020</v>
      </c>
      <c r="AO137" s="172">
        <f t="shared" si="553"/>
        <v>7200</v>
      </c>
      <c r="AP137" s="172">
        <f t="shared" si="553"/>
        <v>7380</v>
      </c>
    </row>
    <row r="138" spans="1:42" ht="15.75" hidden="1" x14ac:dyDescent="0.25">
      <c r="A138" s="37" t="s">
        <v>143</v>
      </c>
      <c r="B138" s="172">
        <f>$B$117</f>
        <v>23.150000000000002</v>
      </c>
      <c r="C138" s="172">
        <f t="shared" ref="C138:AP138" si="554">$B$117</f>
        <v>23.150000000000002</v>
      </c>
      <c r="D138" s="172">
        <f t="shared" si="554"/>
        <v>23.150000000000002</v>
      </c>
      <c r="E138" s="172">
        <f t="shared" si="554"/>
        <v>23.150000000000002</v>
      </c>
      <c r="F138" s="172">
        <f t="shared" si="554"/>
        <v>23.150000000000002</v>
      </c>
      <c r="G138" s="172">
        <f t="shared" si="554"/>
        <v>23.150000000000002</v>
      </c>
      <c r="H138" s="172">
        <f t="shared" si="554"/>
        <v>23.150000000000002</v>
      </c>
      <c r="I138" s="172">
        <f t="shared" si="554"/>
        <v>23.150000000000002</v>
      </c>
      <c r="J138" s="172">
        <f t="shared" si="554"/>
        <v>23.150000000000002</v>
      </c>
      <c r="K138" s="172">
        <f t="shared" si="554"/>
        <v>23.150000000000002</v>
      </c>
      <c r="L138" s="172">
        <f t="shared" si="554"/>
        <v>23.150000000000002</v>
      </c>
      <c r="M138" s="172">
        <f t="shared" si="554"/>
        <v>23.150000000000002</v>
      </c>
      <c r="N138" s="172">
        <f t="shared" si="554"/>
        <v>23.150000000000002</v>
      </c>
      <c r="O138" s="172">
        <f t="shared" si="554"/>
        <v>23.150000000000002</v>
      </c>
      <c r="P138" s="172">
        <f t="shared" si="554"/>
        <v>23.150000000000002</v>
      </c>
      <c r="Q138" s="172">
        <f t="shared" si="554"/>
        <v>23.150000000000002</v>
      </c>
      <c r="R138" s="172">
        <f t="shared" si="554"/>
        <v>23.150000000000002</v>
      </c>
      <c r="S138" s="172">
        <f t="shared" si="554"/>
        <v>23.150000000000002</v>
      </c>
      <c r="T138" s="172">
        <f t="shared" si="554"/>
        <v>23.150000000000002</v>
      </c>
      <c r="U138" s="172">
        <f t="shared" si="554"/>
        <v>23.150000000000002</v>
      </c>
      <c r="V138" s="172">
        <f t="shared" si="554"/>
        <v>23.150000000000002</v>
      </c>
      <c r="W138" s="172">
        <f t="shared" si="554"/>
        <v>23.150000000000002</v>
      </c>
      <c r="X138" s="172">
        <f t="shared" si="554"/>
        <v>23.150000000000002</v>
      </c>
      <c r="Y138" s="172">
        <f t="shared" si="554"/>
        <v>23.150000000000002</v>
      </c>
      <c r="Z138" s="172">
        <f t="shared" si="554"/>
        <v>23.150000000000002</v>
      </c>
      <c r="AA138" s="172">
        <f t="shared" si="554"/>
        <v>23.150000000000002</v>
      </c>
      <c r="AB138" s="172">
        <f t="shared" si="554"/>
        <v>23.150000000000002</v>
      </c>
      <c r="AC138" s="172">
        <f t="shared" si="554"/>
        <v>23.150000000000002</v>
      </c>
      <c r="AD138" s="172">
        <f t="shared" si="554"/>
        <v>23.150000000000002</v>
      </c>
      <c r="AE138" s="172">
        <f t="shared" si="554"/>
        <v>23.150000000000002</v>
      </c>
      <c r="AF138" s="172">
        <f t="shared" si="554"/>
        <v>23.150000000000002</v>
      </c>
      <c r="AG138" s="172">
        <f t="shared" si="554"/>
        <v>23.150000000000002</v>
      </c>
      <c r="AH138" s="172">
        <f t="shared" si="554"/>
        <v>23.150000000000002</v>
      </c>
      <c r="AI138" s="172">
        <f t="shared" si="554"/>
        <v>23.150000000000002</v>
      </c>
      <c r="AJ138" s="172">
        <f t="shared" si="554"/>
        <v>23.150000000000002</v>
      </c>
      <c r="AK138" s="172">
        <f t="shared" si="554"/>
        <v>23.150000000000002</v>
      </c>
      <c r="AL138" s="172">
        <f t="shared" si="554"/>
        <v>23.150000000000002</v>
      </c>
      <c r="AM138" s="172">
        <f t="shared" si="554"/>
        <v>23.150000000000002</v>
      </c>
      <c r="AN138" s="172">
        <f t="shared" si="554"/>
        <v>23.150000000000002</v>
      </c>
      <c r="AO138" s="172">
        <f t="shared" si="554"/>
        <v>23.150000000000002</v>
      </c>
      <c r="AP138" s="172">
        <f t="shared" si="554"/>
        <v>23.150000000000002</v>
      </c>
    </row>
    <row r="139" spans="1:42" ht="15.75" hidden="1" x14ac:dyDescent="0.25">
      <c r="A139" s="37" t="s">
        <v>144</v>
      </c>
      <c r="B139" s="172">
        <f>(B137/B138)*1000000</f>
        <v>7775377.9697624184</v>
      </c>
      <c r="C139" s="172">
        <f t="shared" ref="C139:AP139" si="555">(C137/C138)*1000000</f>
        <v>15550755.939524837</v>
      </c>
      <c r="D139" s="172">
        <f t="shared" si="555"/>
        <v>23326133.909287255</v>
      </c>
      <c r="E139" s="172">
        <f t="shared" si="555"/>
        <v>31101511.879049674</v>
      </c>
      <c r="F139" s="172">
        <f>(F137/F138)*1000000</f>
        <v>38876889.848812088</v>
      </c>
      <c r="G139" s="172">
        <f t="shared" si="555"/>
        <v>46652267.818574511</v>
      </c>
      <c r="H139" s="172">
        <f t="shared" si="555"/>
        <v>54427645.788336925</v>
      </c>
      <c r="I139" s="172">
        <f t="shared" si="555"/>
        <v>62203023.758099347</v>
      </c>
      <c r="J139" s="172">
        <f t="shared" si="555"/>
        <v>69978401.727861762</v>
      </c>
      <c r="K139" s="172">
        <f t="shared" si="555"/>
        <v>77753779.697624177</v>
      </c>
      <c r="L139" s="172">
        <f t="shared" si="555"/>
        <v>85529157.667386606</v>
      </c>
      <c r="M139" s="172">
        <f t="shared" si="555"/>
        <v>93304535.637149021</v>
      </c>
      <c r="N139" s="172">
        <f t="shared" si="555"/>
        <v>101079913.60691144</v>
      </c>
      <c r="O139" s="172">
        <f t="shared" si="555"/>
        <v>108855291.57667385</v>
      </c>
      <c r="P139" s="172">
        <f t="shared" si="555"/>
        <v>116630669.54643628</v>
      </c>
      <c r="Q139" s="172">
        <f t="shared" si="555"/>
        <v>124406047.51619869</v>
      </c>
      <c r="R139" s="172">
        <f t="shared" si="555"/>
        <v>132181425.48596111</v>
      </c>
      <c r="S139" s="172">
        <f t="shared" si="555"/>
        <v>139956803.45572352</v>
      </c>
      <c r="T139" s="172">
        <f t="shared" si="555"/>
        <v>147732181.42548594</v>
      </c>
      <c r="U139" s="172">
        <f t="shared" si="555"/>
        <v>155507559.39524835</v>
      </c>
      <c r="V139" s="172">
        <f t="shared" si="555"/>
        <v>163282937.36501077</v>
      </c>
      <c r="W139" s="172">
        <f t="shared" si="555"/>
        <v>171058315.33477321</v>
      </c>
      <c r="X139" s="172">
        <f t="shared" si="555"/>
        <v>178833693.30453563</v>
      </c>
      <c r="Y139" s="172">
        <f t="shared" si="555"/>
        <v>186609071.27429804</v>
      </c>
      <c r="Z139" s="172">
        <f t="shared" si="555"/>
        <v>194384449.24406046</v>
      </c>
      <c r="AA139" s="172">
        <f t="shared" si="555"/>
        <v>202159827.21382287</v>
      </c>
      <c r="AB139" s="172">
        <f t="shared" si="555"/>
        <v>209935205.18358529</v>
      </c>
      <c r="AC139" s="172">
        <f t="shared" si="555"/>
        <v>217710583.1533477</v>
      </c>
      <c r="AD139" s="172">
        <f t="shared" si="555"/>
        <v>225485961.12311015</v>
      </c>
      <c r="AE139" s="172">
        <f t="shared" si="555"/>
        <v>233261339.09287256</v>
      </c>
      <c r="AF139" s="172">
        <f t="shared" si="555"/>
        <v>241036717.06263497</v>
      </c>
      <c r="AG139" s="172">
        <f t="shared" si="555"/>
        <v>248812095.03239739</v>
      </c>
      <c r="AH139" s="172">
        <f t="shared" si="555"/>
        <v>256587473.0021598</v>
      </c>
      <c r="AI139" s="172">
        <f t="shared" si="555"/>
        <v>264362850.97192222</v>
      </c>
      <c r="AJ139" s="172">
        <f t="shared" si="555"/>
        <v>272138228.94168466</v>
      </c>
      <c r="AK139" s="172">
        <f t="shared" si="555"/>
        <v>279913606.91144705</v>
      </c>
      <c r="AL139" s="172">
        <f t="shared" si="555"/>
        <v>287688984.88120949</v>
      </c>
      <c r="AM139" s="172">
        <f t="shared" si="555"/>
        <v>295464362.85097188</v>
      </c>
      <c r="AN139" s="172">
        <f t="shared" si="555"/>
        <v>303239740.82073432</v>
      </c>
      <c r="AO139" s="172">
        <f t="shared" si="555"/>
        <v>311015118.79049671</v>
      </c>
      <c r="AP139" s="172">
        <f t="shared" si="555"/>
        <v>318790496.76025915</v>
      </c>
    </row>
    <row r="140" spans="1:42" s="176" customFormat="1" ht="15.75" hidden="1" x14ac:dyDescent="0.25">
      <c r="A140" s="81" t="s">
        <v>282</v>
      </c>
      <c r="B140" s="174">
        <f ca="1">ABS(($C120*($B120*B$139)^5+$D120*($B120*B$139)^4+ $E120*($B120*B$139)^3+$F120*($B120*B$139)^2+$G120*($B120*B$139)^1+$H120))</f>
        <v>0.66330516693358921</v>
      </c>
      <c r="C140" s="175">
        <f t="shared" ref="C140:AP140" ca="1" si="556">ABS(($C120*($B120*C$139)^5+$D120*($B120*C$139)^4+ $E120*($B120*C$139)^3+$F120*($B120*C$139)^2+$G120*($B120*C$139)^1+$H120))+B140*B$156</f>
        <v>1.1848405062512963</v>
      </c>
      <c r="D140" s="174">
        <f t="shared" ca="1" si="556"/>
        <v>2.3711855364196648</v>
      </c>
      <c r="E140" s="174">
        <f t="shared" ca="1" si="556"/>
        <v>4.7530261940521861</v>
      </c>
      <c r="F140" s="174">
        <f t="shared" ca="1" si="556"/>
        <v>9.3800864898263079</v>
      </c>
      <c r="G140" s="174">
        <f t="shared" ca="1" si="556"/>
        <v>18.616060164400515</v>
      </c>
      <c r="H140" s="174">
        <f t="shared" ca="1" si="556"/>
        <v>36.933542344331201</v>
      </c>
      <c r="I140" s="174">
        <f t="shared" ca="1" si="556"/>
        <v>71.70896119799005</v>
      </c>
      <c r="J140" s="174">
        <f t="shared" ca="1" si="556"/>
        <v>134.0175095914804</v>
      </c>
      <c r="K140" s="174">
        <f t="shared" ca="1" si="556"/>
        <v>239.4280767445548</v>
      </c>
      <c r="L140" s="174">
        <f t="shared" ca="1" si="556"/>
        <v>408.79817988653258</v>
      </c>
      <c r="M140" s="174">
        <f t="shared" ca="1" si="556"/>
        <v>669.06889591221534</v>
      </c>
      <c r="N140" s="174">
        <f t="shared" ca="1" si="556"/>
        <v>1054.0597930378035</v>
      </c>
      <c r="O140" s="174">
        <f t="shared" ca="1" si="556"/>
        <v>1605.263862456819</v>
      </c>
      <c r="P140" s="174">
        <f t="shared" ca="1" si="556"/>
        <v>2372.6424499960162</v>
      </c>
      <c r="Q140" s="174">
        <f t="shared" ca="1" si="556"/>
        <v>3415.4201877712958</v>
      </c>
      <c r="R140" s="174">
        <f t="shared" ca="1" si="556"/>
        <v>4802.8799258436338</v>
      </c>
      <c r="S140" s="174">
        <f t="shared" ca="1" si="556"/>
        <v>6615.157663874983</v>
      </c>
      <c r="T140" s="174">
        <f t="shared" ca="1" si="556"/>
        <v>8944.0374827842043</v>
      </c>
      <c r="U140" s="174">
        <f t="shared" ca="1" si="556"/>
        <v>11893.746476402981</v>
      </c>
      <c r="V140" s="174">
        <f t="shared" ca="1" si="556"/>
        <v>15581.749683131729</v>
      </c>
      <c r="W140" s="174">
        <f t="shared" ca="1" si="556"/>
        <v>20139.545017595545</v>
      </c>
      <c r="X140" s="174">
        <f t="shared" ca="1" si="556"/>
        <v>25713.458202300018</v>
      </c>
      <c r="Y140" s="174">
        <f t="shared" ca="1" si="556"/>
        <v>32465.437699287304</v>
      </c>
      <c r="Z140" s="174">
        <f t="shared" ca="1" si="556"/>
        <v>40573.849641791909</v>
      </c>
      <c r="AA140" s="174">
        <f t="shared" ca="1" si="556"/>
        <v>50234.272765896691</v>
      </c>
      <c r="AB140" s="174">
        <f t="shared" ca="1" si="556"/>
        <v>61660.293342188808</v>
      </c>
      <c r="AC140" s="174">
        <f t="shared" ca="1" si="556"/>
        <v>75084.300107415402</v>
      </c>
      <c r="AD140" s="174">
        <f t="shared" ca="1" si="556"/>
        <v>90758.279196139949</v>
      </c>
      <c r="AE140" s="174">
        <f t="shared" ca="1" si="556"/>
        <v>108954.60907239762</v>
      </c>
      <c r="AF140" s="174">
        <f t="shared" ca="1" si="556"/>
        <v>129966.85546135165</v>
      </c>
      <c r="AG140" s="174">
        <f t="shared" ca="1" si="556"/>
        <v>154110.56628094905</v>
      </c>
      <c r="AH140" s="174">
        <f t="shared" ca="1" si="556"/>
        <v>181724.06657357665</v>
      </c>
      <c r="AI140" s="174">
        <f t="shared" ca="1" si="556"/>
        <v>213169.25343771695</v>
      </c>
      <c r="AJ140" s="174">
        <f t="shared" ca="1" si="556"/>
        <v>248832.3909596038</v>
      </c>
      <c r="AK140" s="174">
        <f t="shared" ca="1" si="556"/>
        <v>289124.90514487884</v>
      </c>
      <c r="AL140" s="174">
        <f t="shared" ca="1" si="556"/>
        <v>334484.17885024688</v>
      </c>
      <c r="AM140" s="174">
        <f t="shared" ca="1" si="556"/>
        <v>385374.34671513195</v>
      </c>
      <c r="AN140" s="174">
        <f t="shared" ca="1" si="556"/>
        <v>442287.09009333432</v>
      </c>
      <c r="AO140" s="174">
        <f t="shared" ca="1" si="556"/>
        <v>505742.43198468379</v>
      </c>
      <c r="AP140" s="174">
        <f t="shared" ca="1" si="556"/>
        <v>576289.53196669882</v>
      </c>
    </row>
    <row r="141" spans="1:42" s="176" customFormat="1" ht="15.75" hidden="1" x14ac:dyDescent="0.25">
      <c r="A141" s="81" t="s">
        <v>281</v>
      </c>
      <c r="B141" s="175">
        <f ca="1">ABS(($C121*($B121*B$139)^5+$D121*($B121*B$139)^4+ $E121*($B121*B$139)^3+$F121*($B121*B$139)^2+$G121*($B121*B$139)^1+$H121))</f>
        <v>7.3700574103732125E-2</v>
      </c>
      <c r="C141" s="175">
        <f t="shared" ref="C141:AP141" ca="1" si="557">ABS(($C121*($B121*C$139)^5+$D121*($B121*C$139)^4+ $E121*($B121*C$139)^3+$F121*($B121*C$139)^2+$G121*($B121*C$139)^1+$H121))+B141*B$156</f>
        <v>0.13164894513903297</v>
      </c>
      <c r="D141" s="177">
        <f t="shared" ca="1" si="557"/>
        <v>0.2634650596021848</v>
      </c>
      <c r="E141" s="177">
        <f t="shared" ca="1" si="557"/>
        <v>0.52811402156135412</v>
      </c>
      <c r="F141" s="177">
        <f t="shared" ca="1" si="557"/>
        <v>1.0422318322029231</v>
      </c>
      <c r="G141" s="177">
        <f t="shared" ca="1" si="557"/>
        <v>2.0684511293778334</v>
      </c>
      <c r="H141" s="177">
        <f t="shared" ca="1" si="557"/>
        <v>4.1037269271479122</v>
      </c>
      <c r="I141" s="177">
        <f t="shared" ca="1" si="557"/>
        <v>7.9676623553322283</v>
      </c>
      <c r="J141" s="177">
        <f t="shared" ca="1" si="557"/>
        <v>14.890834399053372</v>
      </c>
      <c r="K141" s="177">
        <f t="shared" ca="1" si="557"/>
        <v>26.603119638283871</v>
      </c>
      <c r="L141" s="177">
        <f t="shared" ca="1" si="557"/>
        <v>45.422019987392517</v>
      </c>
      <c r="M141" s="177">
        <f t="shared" ca="1" si="557"/>
        <v>74.340988434690573</v>
      </c>
      <c r="N141" s="177">
        <f t="shared" ca="1" si="557"/>
        <v>117.11775478197818</v>
      </c>
      <c r="O141" s="177">
        <f t="shared" ca="1" si="557"/>
        <v>178.36265138409098</v>
      </c>
      <c r="P141" s="177">
        <f t="shared" ca="1" si="557"/>
        <v>263.62693888844626</v>
      </c>
      <c r="Q141" s="177">
        <f t="shared" ca="1" si="557"/>
        <v>379.49113197458843</v>
      </c>
      <c r="R141" s="177">
        <f t="shared" ca="1" si="557"/>
        <v>533.65332509373684</v>
      </c>
      <c r="S141" s="177">
        <f t="shared" ca="1" si="557"/>
        <v>735.01751820833135</v>
      </c>
      <c r="T141" s="177">
        <f t="shared" ca="1" si="557"/>
        <v>993.7819425315779</v>
      </c>
      <c r="U141" s="177">
        <f t="shared" ca="1" si="557"/>
        <v>1321.5273862669981</v>
      </c>
      <c r="V141" s="177">
        <f t="shared" ca="1" si="557"/>
        <v>1731.3055203479698</v>
      </c>
      <c r="W141" s="177">
        <f t="shared" ca="1" si="557"/>
        <v>2237.7272241772826</v>
      </c>
      <c r="X141" s="177">
        <f t="shared" ca="1" si="557"/>
        <v>2857.0509113666681</v>
      </c>
      <c r="Y141" s="177">
        <f t="shared" ca="1" si="557"/>
        <v>3607.2708554763667</v>
      </c>
      <c r="Z141" s="177">
        <f t="shared" ca="1" si="557"/>
        <v>4508.2055157546565</v>
      </c>
      <c r="AA141" s="177">
        <f t="shared" ca="1" si="557"/>
        <v>5581.5858628774104</v>
      </c>
      <c r="AB141" s="177">
        <f t="shared" ca="1" si="557"/>
        <v>6851.1437046876445</v>
      </c>
      <c r="AC141" s="177">
        <f t="shared" ca="1" si="557"/>
        <v>8342.700011935045</v>
      </c>
      <c r="AD141" s="177">
        <f t="shared" ca="1" si="557"/>
        <v>10084.25324401555</v>
      </c>
      <c r="AE141" s="177">
        <f t="shared" ca="1" si="557"/>
        <v>12106.067674710846</v>
      </c>
      <c r="AF141" s="177">
        <f t="shared" ca="1" si="557"/>
        <v>14440.76171792796</v>
      </c>
      <c r="AG141" s="177">
        <f t="shared" ca="1" si="557"/>
        <v>17123.396253438783</v>
      </c>
      <c r="AH141" s="177">
        <f t="shared" ca="1" si="557"/>
        <v>20191.562952619624</v>
      </c>
      <c r="AI141" s="177">
        <f t="shared" ca="1" si="557"/>
        <v>23685.472604190767</v>
      </c>
      <c r="AJ141" s="177">
        <f t="shared" ca="1" si="557"/>
        <v>27648.043439955971</v>
      </c>
      <c r="AK141" s="177">
        <f t="shared" ca="1" si="557"/>
        <v>32124.989460542096</v>
      </c>
      <c r="AL141" s="177">
        <f t="shared" ca="1" si="557"/>
        <v>37164.90876113854</v>
      </c>
      <c r="AM141" s="177">
        <f t="shared" ca="1" si="557"/>
        <v>42819.371857236889</v>
      </c>
      <c r="AN141" s="177">
        <f t="shared" ca="1" si="557"/>
        <v>49143.01001037049</v>
      </c>
      <c r="AO141" s="177">
        <f t="shared" ca="1" si="557"/>
        <v>56193.603553853754</v>
      </c>
      <c r="AP141" s="177">
        <f t="shared" ca="1" si="557"/>
        <v>64032.170218522071</v>
      </c>
    </row>
    <row r="142" spans="1:42" s="176" customFormat="1" ht="15.75" hidden="1" x14ac:dyDescent="0.25">
      <c r="A142" s="81" t="s">
        <v>17</v>
      </c>
      <c r="B142" s="174">
        <f ca="1">ABS(($C122*($B122*B$139)^5+$D122*($B122*B$139)^4+ $E122*($B122*B$139)^3+$F122*($B122*B$139)^2+$G122*($B122*B$139)^1+$H122))</f>
        <v>1.9676155082925817</v>
      </c>
      <c r="C142" s="175">
        <f t="shared" ref="C142:AP142" ca="1" si="558">ABS(($C122*($B122*C$139)^5+$D122*($B122*C$139)^4+ $E122*($B122*C$139)^3+$F122*($B122*C$139)^2+$G122*($B122*C$139)^1+$H122))+B142*B$156</f>
        <v>12.704106594171751</v>
      </c>
      <c r="D142" s="174">
        <f t="shared" ca="1" si="558"/>
        <v>26.061951372650149</v>
      </c>
      <c r="E142" s="174">
        <f t="shared" ca="1" si="558"/>
        <v>38.245486669005118</v>
      </c>
      <c r="F142" s="174">
        <f t="shared" ca="1" si="558"/>
        <v>47.397195828023314</v>
      </c>
      <c r="G142" s="174">
        <f t="shared" ca="1" si="558"/>
        <v>53.183996523245156</v>
      </c>
      <c r="H142" s="174">
        <f t="shared" ca="1" si="558"/>
        <v>56.383528566209286</v>
      </c>
      <c r="I142" s="174">
        <f t="shared" ca="1" si="558"/>
        <v>58.470441715697035</v>
      </c>
      <c r="J142" s="174">
        <f t="shared" ca="1" si="558"/>
        <v>61.202683486977335</v>
      </c>
      <c r="K142" s="174">
        <f t="shared" ca="1" si="558"/>
        <v>66.207786961050317</v>
      </c>
      <c r="L142" s="174">
        <f t="shared" ca="1" si="558"/>
        <v>74.56915859389423</v>
      </c>
      <c r="M142" s="174">
        <f t="shared" ca="1" si="558"/>
        <v>86.412366025705069</v>
      </c>
      <c r="N142" s="174">
        <f t="shared" ca="1" si="558"/>
        <v>100.4914258901469</v>
      </c>
      <c r="O142" s="174">
        <f t="shared" ca="1" si="558"/>
        <v>113.77509162359353</v>
      </c>
      <c r="P142" s="174">
        <f t="shared" ca="1" si="558"/>
        <v>121.03314127436876</v>
      </c>
      <c r="Q142" s="174">
        <f t="shared" ca="1" si="558"/>
        <v>114.4226653120042</v>
      </c>
      <c r="R142" s="174">
        <f t="shared" ca="1" si="558"/>
        <v>83.074354436463281</v>
      </c>
      <c r="S142" s="174">
        <f t="shared" ca="1" si="558"/>
        <v>12.678787387409585</v>
      </c>
      <c r="T142" s="174">
        <f t="shared" ca="1" si="558"/>
        <v>114.92728124657202</v>
      </c>
      <c r="U142" s="174">
        <f t="shared" ca="1" si="558"/>
        <v>322.17463321871412</v>
      </c>
      <c r="V142" s="174">
        <f t="shared" ca="1" si="558"/>
        <v>636.17529881481983</v>
      </c>
      <c r="W142" s="174">
        <f t="shared" ca="1" si="558"/>
        <v>1089.1362690440444</v>
      </c>
      <c r="X142" s="174">
        <f t="shared" ca="1" si="558"/>
        <v>1718.7732078296244</v>
      </c>
      <c r="Y142" s="174">
        <f t="shared" ca="1" si="558"/>
        <v>2568.7241641996316</v>
      </c>
      <c r="Z142" s="174">
        <f t="shared" ca="1" si="558"/>
        <v>3688.9632844777466</v>
      </c>
      <c r="AA142" s="174">
        <f t="shared" ca="1" si="558"/>
        <v>5136.2145244740168</v>
      </c>
      <c r="AB142" s="174">
        <f t="shared" ca="1" si="558"/>
        <v>6974.3653616755773</v>
      </c>
      <c r="AC142" s="174">
        <f t="shared" ca="1" si="558"/>
        <v>9274.8805074374395</v>
      </c>
      <c r="AD142" s="174">
        <f t="shared" ca="1" si="558"/>
        <v>12117.215619173303</v>
      </c>
      <c r="AE142" s="174">
        <f t="shared" ca="1" si="558"/>
        <v>15589.231012546086</v>
      </c>
      <c r="AF142" s="174">
        <f t="shared" ca="1" si="558"/>
        <v>19787.605373659004</v>
      </c>
      <c r="AG142" s="174">
        <f t="shared" ca="1" si="558"/>
        <v>24818.249471246043</v>
      </c>
      <c r="AH142" s="174">
        <f t="shared" ca="1" si="558"/>
        <v>30796.719868862961</v>
      </c>
      <c r="AI142" s="174">
        <f t="shared" ca="1" si="558"/>
        <v>37848.632637077775</v>
      </c>
      <c r="AJ142" s="174">
        <f t="shared" ca="1" si="558"/>
        <v>46110.077065661724</v>
      </c>
      <c r="AK142" s="174">
        <f t="shared" ca="1" si="558"/>
        <v>55728.029375779974</v>
      </c>
      <c r="AL142" s="174">
        <f t="shared" ca="1" si="558"/>
        <v>66860.766432182398</v>
      </c>
      <c r="AM142" s="174">
        <f t="shared" ca="1" si="558"/>
        <v>79678.279455394149</v>
      </c>
      <c r="AN142" s="174">
        <f t="shared" ca="1" si="558"/>
        <v>94362.68773390667</v>
      </c>
      <c r="AO142" s="174">
        <f t="shared" ca="1" si="558"/>
        <v>111108.65233636824</v>
      </c>
      <c r="AP142" s="174">
        <f t="shared" ca="1" si="558"/>
        <v>130123.78982377511</v>
      </c>
    </row>
    <row r="143" spans="1:42" s="176" customFormat="1" ht="15.75" hidden="1" x14ac:dyDescent="0.25">
      <c r="A143" s="81" t="s">
        <v>18</v>
      </c>
      <c r="B143" s="174">
        <f ca="1">ABS(($C123*($B123*B$139)^5+$D123*($B123*B$139)^4+ $E123*($B123*B$139)^3+$F123*($B123*B$139)^2+$G123*($B123*B$139)^1+$H123))</f>
        <v>1.2281595092366784</v>
      </c>
      <c r="C143" s="175">
        <f t="shared" ref="C143:AP143" ca="1" si="559">ABS(($C123*($B123*C$139)^5+$D123*($B123*C$139)^4+ $E123*($B123*C$139)^3+$F123*($B123*C$139)^2+$G123*($B123*C$139)^1+$H123))+B143*B$156</f>
        <v>7.9369279028291775</v>
      </c>
      <c r="D143" s="174">
        <f t="shared" ca="1" si="559"/>
        <v>16.285481150765513</v>
      </c>
      <c r="E143" s="174">
        <f t="shared" ca="1" si="559"/>
        <v>23.902313155000979</v>
      </c>
      <c r="F143" s="174">
        <f t="shared" ca="1" si="559"/>
        <v>29.626814586473511</v>
      </c>
      <c r="G143" s="174">
        <f t="shared" ca="1" si="559"/>
        <v>33.25085172211908</v>
      </c>
      <c r="H143" s="174">
        <f t="shared" ca="1" si="559"/>
        <v>35.260345281887183</v>
      </c>
      <c r="I143" s="174">
        <f t="shared" ca="1" si="559"/>
        <v>36.576849265756401</v>
      </c>
      <c r="J143" s="174">
        <f t="shared" ca="1" si="559"/>
        <v>38.29912979074917</v>
      </c>
      <c r="K143" s="174">
        <f t="shared" ca="1" si="559"/>
        <v>41.444743927947904</v>
      </c>
      <c r="L143" s="174">
        <f t="shared" ca="1" si="559"/>
        <v>46.691618539509982</v>
      </c>
      <c r="M143" s="174">
        <f t="shared" ca="1" si="559"/>
        <v>54.119629115683672</v>
      </c>
      <c r="N143" s="174">
        <f t="shared" ca="1" si="559"/>
        <v>62.952178611823307</v>
      </c>
      <c r="O143" s="174">
        <f t="shared" ca="1" si="559"/>
        <v>71.297776285402989</v>
      </c>
      <c r="P143" s="174">
        <f t="shared" ca="1" si="559"/>
        <v>75.891616533036625</v>
      </c>
      <c r="Q143" s="174">
        <f t="shared" ca="1" si="559"/>
        <v>71.837157727487622</v>
      </c>
      <c r="R143" s="174">
        <f t="shared" ca="1" si="559"/>
        <v>52.347701054686702</v>
      </c>
      <c r="S143" s="174">
        <f t="shared" ca="1" si="559"/>
        <v>8.4879693507512712</v>
      </c>
      <c r="T143" s="174">
        <f t="shared" ca="1" si="559"/>
        <v>71.084314061010076</v>
      </c>
      <c r="U143" s="174">
        <f t="shared" ca="1" si="559"/>
        <v>200.37684653306451</v>
      </c>
      <c r="V143" s="174">
        <f t="shared" ca="1" si="559"/>
        <v>396.32116725666077</v>
      </c>
      <c r="W143" s="174">
        <f t="shared" ca="1" si="559"/>
        <v>679.03107842479756</v>
      </c>
      <c r="X143" s="174">
        <f t="shared" ca="1" si="559"/>
        <v>1072.0610663952068</v>
      </c>
      <c r="Y143" s="174">
        <f t="shared" ca="1" si="559"/>
        <v>1602.6647228533627</v>
      </c>
      <c r="Z143" s="174">
        <f t="shared" ca="1" si="559"/>
        <v>2302.0531659754279</v>
      </c>
      <c r="AA143" s="174">
        <f t="shared" ca="1" si="559"/>
        <v>3205.6534615912783</v>
      </c>
      <c r="AB143" s="174">
        <f t="shared" ca="1" si="559"/>
        <v>4353.3670443474475</v>
      </c>
      <c r="AC143" s="174">
        <f t="shared" ca="1" si="559"/>
        <v>5789.8281388701625</v>
      </c>
      <c r="AD143" s="174">
        <f t="shared" ca="1" si="559"/>
        <v>7564.6621809282633</v>
      </c>
      <c r="AE143" s="174">
        <f t="shared" ca="1" si="559"/>
        <v>9732.7442385962368</v>
      </c>
      <c r="AF143" s="174">
        <f t="shared" ca="1" si="559"/>
        <v>12354.457433417185</v>
      </c>
      <c r="AG143" s="174">
        <f t="shared" ca="1" si="559"/>
        <v>15495.951361565825</v>
      </c>
      <c r="AH143" s="174">
        <f t="shared" ca="1" si="559"/>
        <v>19229.400515011454</v>
      </c>
      <c r="AI143" s="174">
        <f t="shared" ca="1" si="559"/>
        <v>23633.262702680884</v>
      </c>
      <c r="AJ143" s="174">
        <f t="shared" ca="1" si="559"/>
        <v>28792.537471621614</v>
      </c>
      <c r="AK143" s="174">
        <f t="shared" ca="1" si="559"/>
        <v>34799.024528164511</v>
      </c>
      <c r="AL143" s="174">
        <f t="shared" ca="1" si="559"/>
        <v>41751.582159087186</v>
      </c>
      <c r="AM143" s="174">
        <f t="shared" ca="1" si="559"/>
        <v>49756.385652776466</v>
      </c>
      <c r="AN143" s="174">
        <f t="shared" ca="1" si="559"/>
        <v>58927.185720391928</v>
      </c>
      <c r="AO143" s="174">
        <f t="shared" ca="1" si="559"/>
        <v>69385.566917028453</v>
      </c>
      <c r="AP143" s="174">
        <f t="shared" ca="1" si="559"/>
        <v>81261.206062879646</v>
      </c>
    </row>
    <row r="144" spans="1:42" s="176" customFormat="1" ht="15.75" hidden="1" x14ac:dyDescent="0.25">
      <c r="A144" s="81" t="s">
        <v>290</v>
      </c>
      <c r="B144" s="174">
        <f t="shared" ref="B144:B152" ca="1" si="560">ABS(($C126*($B126*B$139)^5+$D126*($B126*B$139)^4+ $E126*($B126*B$139)^3+$F126*($B126*B$139)^2+$G126*($B126*B$139)^1+$H126))</f>
        <v>0.3842833280446914</v>
      </c>
      <c r="C144" s="175">
        <f t="shared" ref="C144:AP144" ca="1" si="561">ABS(($C126*($B126*C$139)^5+$D126*($B126*C$139)^4+ $E126*($B126*C$139)^3+$F126*($B126*C$139)^2+$G126*($B126*C$139)^1+$H126))+B144*B$159+B144*B$156</f>
        <v>1.059430281497717</v>
      </c>
      <c r="D144" s="174">
        <f t="shared" ca="1" si="561"/>
        <v>2.1829752488374208</v>
      </c>
      <c r="E144" s="174">
        <f t="shared" ca="1" si="561"/>
        <v>3.9060663592451896</v>
      </c>
      <c r="F144" s="174">
        <f t="shared" ca="1" si="561"/>
        <v>6.3869213340552937</v>
      </c>
      <c r="G144" s="174">
        <f t="shared" ca="1" si="561"/>
        <v>9.7855166341468163</v>
      </c>
      <c r="H144" s="174">
        <f t="shared" ca="1" si="561"/>
        <v>14.256776314522261</v>
      </c>
      <c r="I144" s="174">
        <f t="shared" ca="1" si="561"/>
        <v>19.942111967443125</v>
      </c>
      <c r="J144" s="174">
        <f t="shared" ca="1" si="561"/>
        <v>26.959179140002256</v>
      </c>
      <c r="K144" s="174">
        <f t="shared" ca="1" si="561"/>
        <v>35.389734561294702</v>
      </c>
      <c r="L144" s="174">
        <f t="shared" ca="1" si="561"/>
        <v>45.265502171147432</v>
      </c>
      <c r="M144" s="174">
        <f t="shared" ca="1" si="561"/>
        <v>56.551983840380302</v>
      </c>
      <c r="N144" s="174">
        <f t="shared" ca="1" si="561"/>
        <v>69.13018212393213</v>
      </c>
      <c r="O144" s="174">
        <f t="shared" ca="1" si="561"/>
        <v>82.776236505430319</v>
      </c>
      <c r="P144" s="174">
        <f t="shared" ca="1" si="561"/>
        <v>97.139010323504451</v>
      </c>
      <c r="Q144" s="174">
        <f t="shared" ca="1" si="561"/>
        <v>111.71570174843956</v>
      </c>
      <c r="R144" s="174">
        <f t="shared" ca="1" si="561"/>
        <v>125.82558757448687</v>
      </c>
      <c r="S144" s="174">
        <f t="shared" ca="1" si="561"/>
        <v>138.58204198121368</v>
      </c>
      <c r="T144" s="174">
        <f t="shared" ca="1" si="561"/>
        <v>148.86300263281618</v>
      </c>
      <c r="U144" s="174">
        <f t="shared" ca="1" si="561"/>
        <v>155.28008248541047</v>
      </c>
      <c r="V144" s="174">
        <f t="shared" ca="1" si="561"/>
        <v>156.14654659027357</v>
      </c>
      <c r="W144" s="174">
        <f t="shared" ca="1" si="561"/>
        <v>149.44438836096933</v>
      </c>
      <c r="X144" s="174">
        <f t="shared" ca="1" si="561"/>
        <v>132.79074880066645</v>
      </c>
      <c r="Y144" s="174">
        <f t="shared" ca="1" si="561"/>
        <v>134.93116315515638</v>
      </c>
      <c r="Z144" s="174">
        <f t="shared" ca="1" si="561"/>
        <v>158.11941917488457</v>
      </c>
      <c r="AA144" s="174">
        <f t="shared" ca="1" si="561"/>
        <v>204.88874865713393</v>
      </c>
      <c r="AB144" s="174">
        <f t="shared" ca="1" si="561"/>
        <v>278.57251843948131</v>
      </c>
      <c r="AC144" s="174">
        <f t="shared" ca="1" si="561"/>
        <v>383.25037501967512</v>
      </c>
      <c r="AD144" s="174">
        <f t="shared" ca="1" si="561"/>
        <v>523.7214942091091</v>
      </c>
      <c r="AE144" s="174">
        <f t="shared" ca="1" si="561"/>
        <v>705.49526967802683</v>
      </c>
      <c r="AF144" s="174">
        <f t="shared" ca="1" si="561"/>
        <v>934.79327393764925</v>
      </c>
      <c r="AG144" s="174">
        <f t="shared" ca="1" si="561"/>
        <v>1218.5584890068012</v>
      </c>
      <c r="AH144" s="174">
        <f t="shared" ca="1" si="561"/>
        <v>1564.4691706417402</v>
      </c>
      <c r="AI144" s="174">
        <f t="shared" ca="1" si="561"/>
        <v>1980.9555912239466</v>
      </c>
      <c r="AJ144" s="174">
        <f t="shared" ca="1" si="561"/>
        <v>2477.2184860432349</v>
      </c>
      <c r="AK144" s="174">
        <f t="shared" ca="1" si="561"/>
        <v>3063.2484162622745</v>
      </c>
      <c r="AL144" s="174">
        <f t="shared" ca="1" si="561"/>
        <v>3749.8455268765561</v>
      </c>
      <c r="AM144" s="174">
        <f t="shared" ca="1" si="561"/>
        <v>4548.6393615301222</v>
      </c>
      <c r="AN144" s="174">
        <f t="shared" ca="1" si="561"/>
        <v>5472.1085247102092</v>
      </c>
      <c r="AO144" s="174">
        <f t="shared" ca="1" si="561"/>
        <v>6533.6000727440805</v>
      </c>
      <c r="AP144" s="174">
        <f t="shared" ca="1" si="561"/>
        <v>7747.3485793812733</v>
      </c>
    </row>
    <row r="145" spans="1:42" s="176" customFormat="1" ht="15.75" hidden="1" x14ac:dyDescent="0.25">
      <c r="A145" s="81" t="s">
        <v>292</v>
      </c>
      <c r="B145" s="174">
        <f t="shared" ca="1" si="560"/>
        <v>0.12810134469130316</v>
      </c>
      <c r="C145" s="175">
        <f t="shared" ref="C145:AP145" ca="1" si="562">ABS(($C127*($B127*C$139)^5+$D127*($B127*C$139)^4+ $E127*($B127*C$139)^3+$F127*($B127*C$139)^2+$G127*($B127*C$139)^1+$H127))+B145*B$159+B145*B$156</f>
        <v>0.35317331923633405</v>
      </c>
      <c r="D145" s="174">
        <f t="shared" ca="1" si="562"/>
        <v>0.72773395404759011</v>
      </c>
      <c r="E145" s="174">
        <f t="shared" ca="1" si="562"/>
        <v>1.3021752943923421</v>
      </c>
      <c r="F145" s="174">
        <f t="shared" ca="1" si="562"/>
        <v>2.1292489114052278</v>
      </c>
      <c r="G145" s="174">
        <f t="shared" ca="1" si="562"/>
        <v>3.2622962590222158</v>
      </c>
      <c r="H145" s="174">
        <f t="shared" ca="1" si="562"/>
        <v>4.7529790151607756</v>
      </c>
      <c r="I145" s="174">
        <f t="shared" ca="1" si="562"/>
        <v>6.6484598696855812</v>
      </c>
      <c r="J145" s="174">
        <f t="shared" ca="1" si="562"/>
        <v>8.9879888885819845</v>
      </c>
      <c r="K145" s="174">
        <f t="shared" ca="1" si="562"/>
        <v>11.798856898766118</v>
      </c>
      <c r="L145" s="174">
        <f t="shared" ca="1" si="562"/>
        <v>15.091685222045143</v>
      </c>
      <c r="M145" s="174">
        <f t="shared" ca="1" si="562"/>
        <v>18.855030384515594</v>
      </c>
      <c r="N145" s="174">
        <f t="shared" ca="1" si="562"/>
        <v>23.04929290991662</v>
      </c>
      <c r="O145" s="174">
        <f t="shared" ca="1" si="562"/>
        <v>27.599930676370871</v>
      </c>
      <c r="P145" s="174">
        <f t="shared" ca="1" si="562"/>
        <v>32.38998922513607</v>
      </c>
      <c r="Q145" s="174">
        <f t="shared" ca="1" si="562"/>
        <v>37.251973468206458</v>
      </c>
      <c r="R145" s="174">
        <f t="shared" ca="1" si="562"/>
        <v>41.959097039510851</v>
      </c>
      <c r="S145" s="174">
        <f t="shared" ca="1" si="562"/>
        <v>46.215956663064148</v>
      </c>
      <c r="T145" s="174">
        <f t="shared" ca="1" si="562"/>
        <v>49.648688982817205</v>
      </c>
      <c r="U145" s="174">
        <f t="shared" ca="1" si="562"/>
        <v>51.794675965823892</v>
      </c>
      <c r="V145" s="174">
        <f t="shared" ca="1" si="562"/>
        <v>52.091871963148236</v>
      </c>
      <c r="W145" s="174">
        <f t="shared" ca="1" si="562"/>
        <v>49.867830573375372</v>
      </c>
      <c r="X145" s="174">
        <f t="shared" ca="1" si="562"/>
        <v>44.328512463782424</v>
      </c>
      <c r="Y145" s="174">
        <f t="shared" ca="1" si="562"/>
        <v>45.014609763871356</v>
      </c>
      <c r="Z145" s="174">
        <f t="shared" ca="1" si="562"/>
        <v>52.716691176740994</v>
      </c>
      <c r="AA145" s="174">
        <f t="shared" ca="1" si="562"/>
        <v>68.278277029542764</v>
      </c>
      <c r="AB145" s="174">
        <f t="shared" ca="1" si="562"/>
        <v>92.80971591203398</v>
      </c>
      <c r="AC145" s="174">
        <f t="shared" ca="1" si="562"/>
        <v>127.67018910204953</v>
      </c>
      <c r="AD145" s="174">
        <f t="shared" ca="1" si="562"/>
        <v>174.45876364260016</v>
      </c>
      <c r="AE145" s="174">
        <f t="shared" ca="1" si="562"/>
        <v>235.01126737100748</v>
      </c>
      <c r="AF145" s="174">
        <f t="shared" ca="1" si="562"/>
        <v>311.40092745894805</v>
      </c>
      <c r="AG145" s="174">
        <f t="shared" ca="1" si="562"/>
        <v>405.94143629892824</v>
      </c>
      <c r="AH145" s="174">
        <f t="shared" ca="1" si="562"/>
        <v>521.19156476933586</v>
      </c>
      <c r="AI145" s="174">
        <f t="shared" ca="1" si="562"/>
        <v>659.96073706502557</v>
      </c>
      <c r="AJ145" s="174">
        <f t="shared" ca="1" si="562"/>
        <v>825.31517476419253</v>
      </c>
      <c r="AK145" s="174">
        <f t="shared" ca="1" si="562"/>
        <v>1020.584347495924</v>
      </c>
      <c r="AL145" s="174">
        <f t="shared" ca="1" si="562"/>
        <v>1249.3675560339229</v>
      </c>
      <c r="AM145" s="174">
        <f t="shared" ca="1" si="562"/>
        <v>1515.5405349042205</v>
      </c>
      <c r="AN145" s="174">
        <f t="shared" ca="1" si="562"/>
        <v>1823.2620045374097</v>
      </c>
      <c r="AO145" s="174">
        <f t="shared" ca="1" si="562"/>
        <v>2176.9801333343385</v>
      </c>
      <c r="AP145" s="174">
        <f t="shared" ca="1" si="562"/>
        <v>2581.4388914945989</v>
      </c>
    </row>
    <row r="146" spans="1:42" s="176" customFormat="1" ht="15.75" hidden="1" x14ac:dyDescent="0.25">
      <c r="A146" s="81" t="s">
        <v>291</v>
      </c>
      <c r="B146" s="174">
        <f t="shared" ca="1" si="560"/>
        <v>3.2025813335963743E-2</v>
      </c>
      <c r="C146" s="175">
        <f t="shared" ref="C146:AP146" ca="1" si="563">ABS(($C128*($B128*C$139)^5+$D128*($B128*C$139)^4+ $E128*($B128*C$139)^3+$F128*($B128*C$139)^2+$G128*($B128*C$139)^1+$H128))+B146*B$159+B146*B$156</f>
        <v>8.829183529171461E-2</v>
      </c>
      <c r="D146" s="174">
        <f t="shared" ca="1" si="563"/>
        <v>0.18192883284086658</v>
      </c>
      <c r="E146" s="174">
        <f t="shared" ca="1" si="563"/>
        <v>0.32553645725415414</v>
      </c>
      <c r="F146" s="174">
        <f t="shared" ca="1" si="563"/>
        <v>0.53230506025538238</v>
      </c>
      <c r="G146" s="174">
        <f t="shared" ca="1" si="563"/>
        <v>0.81557347500144117</v>
      </c>
      <c r="H146" s="174">
        <f t="shared" ca="1" si="563"/>
        <v>1.188261817720935</v>
      </c>
      <c r="I146" s="174">
        <f t="shared" ca="1" si="563"/>
        <v>1.6621669261463174</v>
      </c>
      <c r="J146" s="174">
        <f t="shared" ca="1" si="563"/>
        <v>2.2471092171857316</v>
      </c>
      <c r="K146" s="174">
        <f t="shared" ca="1" si="563"/>
        <v>2.949921324584476</v>
      </c>
      <c r="L146" s="174">
        <f t="shared" ca="1" si="563"/>
        <v>3.7732708478733832</v>
      </c>
      <c r="M146" s="174">
        <f t="shared" ca="1" si="563"/>
        <v>4.7143118678603599</v>
      </c>
      <c r="N146" s="174">
        <f t="shared" ca="1" si="563"/>
        <v>5.7631625039994194</v>
      </c>
      <c r="O146" s="174">
        <f t="shared" ca="1" si="563"/>
        <v>6.9012086312443301</v>
      </c>
      <c r="P146" s="174">
        <f t="shared" ca="1" si="563"/>
        <v>8.0992368508753607</v>
      </c>
      <c r="Q146" s="174">
        <f t="shared" ca="1" si="563"/>
        <v>9.3154028239817865</v>
      </c>
      <c r="R146" s="174">
        <f t="shared" ca="1" si="563"/>
        <v>10.493044025470484</v>
      </c>
      <c r="S146" s="174">
        <f t="shared" ca="1" si="563"/>
        <v>11.558348758416646</v>
      </c>
      <c r="T146" s="174">
        <f t="shared" ca="1" si="563"/>
        <v>12.417895786303736</v>
      </c>
      <c r="U146" s="174">
        <f t="shared" ca="1" si="563"/>
        <v>12.956081107397944</v>
      </c>
      <c r="V146" s="174">
        <f t="shared" ca="1" si="563"/>
        <v>13.032450138779506</v>
      </c>
      <c r="W146" s="174">
        <f t="shared" ca="1" si="563"/>
        <v>12.478954842832927</v>
      </c>
      <c r="X146" s="174">
        <f t="shared" ca="1" si="563"/>
        <v>11.097156081801904</v>
      </c>
      <c r="Y146" s="174">
        <f t="shared" ca="1" si="563"/>
        <v>11.261972228668142</v>
      </c>
      <c r="Z146" s="174">
        <f t="shared" ca="1" si="563"/>
        <v>13.180681539038158</v>
      </c>
      <c r="AA146" s="174">
        <f t="shared" ca="1" si="563"/>
        <v>17.063939774773136</v>
      </c>
      <c r="AB146" s="174">
        <f t="shared" ca="1" si="563"/>
        <v>23.189135060968681</v>
      </c>
      <c r="AC146" s="174">
        <f t="shared" ca="1" si="563"/>
        <v>31.895878817128327</v>
      </c>
      <c r="AD146" s="174">
        <f t="shared" ca="1" si="563"/>
        <v>43.583762014959255</v>
      </c>
      <c r="AE146" s="174">
        <f t="shared" ca="1" si="563"/>
        <v>58.711569010997493</v>
      </c>
      <c r="AF146" s="174">
        <f t="shared" ca="1" si="563"/>
        <v>77.797433659336349</v>
      </c>
      <c r="AG146" s="174">
        <f t="shared" ca="1" si="563"/>
        <v>101.41960322008372</v>
      </c>
      <c r="AH146" s="174">
        <f t="shared" ca="1" si="563"/>
        <v>130.21758977936014</v>
      </c>
      <c r="AI146" s="174">
        <f t="shared" ca="1" si="563"/>
        <v>164.89356253159343</v>
      </c>
      <c r="AJ146" s="174">
        <f t="shared" ca="1" si="563"/>
        <v>206.21388270815913</v>
      </c>
      <c r="AK146" s="174">
        <f t="shared" ca="1" si="563"/>
        <v>255.01071540084382</v>
      </c>
      <c r="AL146" s="174">
        <f t="shared" ca="1" si="563"/>
        <v>312.18367467127933</v>
      </c>
      <c r="AM146" s="174">
        <f t="shared" ca="1" si="563"/>
        <v>378.70147367164003</v>
      </c>
      <c r="AN146" s="174">
        <f t="shared" ca="1" si="563"/>
        <v>455.60356225033365</v>
      </c>
      <c r="AO146" s="174">
        <f t="shared" ca="1" si="563"/>
        <v>544.00174210991884</v>
      </c>
      <c r="AP146" s="174">
        <f t="shared" ca="1" si="563"/>
        <v>645.08175496087745</v>
      </c>
    </row>
    <row r="147" spans="1:42" s="176" customFormat="1" ht="15.75" hidden="1" x14ac:dyDescent="0.25">
      <c r="A147" s="81" t="s">
        <v>293</v>
      </c>
      <c r="B147" s="174">
        <f t="shared" ca="1" si="560"/>
        <v>7.9850617070119432</v>
      </c>
      <c r="C147" s="175">
        <f t="shared" ref="C147:AP147" ca="1" si="564">ABS(($C129*($B129*C$139)^5+$D129*($B129*C$139)^4+ $E129*($B129*C$139)^3+$F129*($B129*C$139)^2+$G129*($B129*C$139)^1+$H129))+B147*B$159+B147*B$156</f>
        <v>13.641968685149171</v>
      </c>
      <c r="D147" s="174">
        <f t="shared" ca="1" si="564"/>
        <v>15.897179438350673</v>
      </c>
      <c r="E147" s="174">
        <f t="shared" ca="1" si="564"/>
        <v>11.649415009077215</v>
      </c>
      <c r="F147" s="174">
        <f t="shared" ca="1" si="564"/>
        <v>17.992834834980986</v>
      </c>
      <c r="G147" s="174">
        <f t="shared" ca="1" si="564"/>
        <v>82.090338096615795</v>
      </c>
      <c r="H147" s="174">
        <f t="shared" ca="1" si="564"/>
        <v>255.46465855373594</v>
      </c>
      <c r="I147" s="174">
        <f t="shared" ca="1" si="564"/>
        <v>643.26629176886354</v>
      </c>
      <c r="J147" s="174">
        <f t="shared" ca="1" si="564"/>
        <v>1421.3737983963028</v>
      </c>
      <c r="K147" s="174">
        <f t="shared" ca="1" si="564"/>
        <v>2862.4102531168601</v>
      </c>
      <c r="L147" s="174">
        <f t="shared" ca="1" si="564"/>
        <v>5368.4871654815306</v>
      </c>
      <c r="M147" s="174">
        <f t="shared" ca="1" si="564"/>
        <v>9510.7465946754783</v>
      </c>
      <c r="N147" s="174">
        <f t="shared" ca="1" si="564"/>
        <v>16076.168125541681</v>
      </c>
      <c r="O147" s="174">
        <f t="shared" ca="1" si="564"/>
        <v>26122.158827873369</v>
      </c>
      <c r="P147" s="174">
        <f t="shared" ca="1" si="564"/>
        <v>41039.410921924195</v>
      </c>
      <c r="Q147" s="174">
        <f t="shared" ca="1" si="564"/>
        <v>62623.448392294158</v>
      </c>
      <c r="R147" s="174">
        <f t="shared" ca="1" si="564"/>
        <v>93155.205015424552</v>
      </c>
      <c r="S147" s="174">
        <f t="shared" ca="1" si="564"/>
        <v>135490.88815170518</v>
      </c>
      <c r="T147" s="174">
        <f t="shared" ca="1" si="564"/>
        <v>193161.28910403009</v>
      </c>
      <c r="U147" s="174">
        <f t="shared" ca="1" si="564"/>
        <v>270480.60528488318</v>
      </c>
      <c r="V147" s="174">
        <f t="shared" ca="1" si="564"/>
        <v>372664.74513315252</v>
      </c>
      <c r="W147" s="174">
        <f t="shared" ca="1" si="564"/>
        <v>505958.99678396946</v>
      </c>
      <c r="X147" s="174">
        <f t="shared" ca="1" si="564"/>
        <v>677774.85876006284</v>
      </c>
      <c r="Y147" s="174">
        <f t="shared" ca="1" si="564"/>
        <v>896835.75788638345</v>
      </c>
      <c r="Z147" s="174">
        <f t="shared" ca="1" si="564"/>
        <v>1173331.3182248224</v>
      </c>
      <c r="AA147" s="174">
        <f t="shared" ca="1" si="564"/>
        <v>1519079.7965361606</v>
      </c>
      <c r="AB147" s="174">
        <f t="shared" ca="1" si="564"/>
        <v>1947698.2654776964</v>
      </c>
      <c r="AC147" s="174">
        <f t="shared" ca="1" si="564"/>
        <v>2474780.105730657</v>
      </c>
      <c r="AD147" s="174">
        <f t="shared" ca="1" si="564"/>
        <v>3118079.3622585512</v>
      </c>
      <c r="AE147" s="174">
        <f t="shared" ca="1" si="564"/>
        <v>3897701.5271591982</v>
      </c>
      <c r="AF147" s="174">
        <f t="shared" ca="1" si="564"/>
        <v>4836300.3308922853</v>
      </c>
      <c r="AG147" s="174">
        <f t="shared" ca="1" si="564"/>
        <v>5959280.153502129</v>
      </c>
      <c r="AH147" s="174">
        <f t="shared" ca="1" si="564"/>
        <v>7295003.7060274286</v>
      </c>
      <c r="AI147" s="174">
        <f t="shared" ca="1" si="564"/>
        <v>8875004.677664727</v>
      </c>
      <c r="AJ147" s="174">
        <f t="shared" ca="1" si="564"/>
        <v>10734205.094445299</v>
      </c>
      <c r="AK147" s="174">
        <f t="shared" ca="1" si="564"/>
        <v>12911137.18824454</v>
      </c>
      <c r="AL147" s="174">
        <f t="shared" ca="1" si="564"/>
        <v>15448169.629023323</v>
      </c>
      <c r="AM147" s="174">
        <f t="shared" ca="1" si="564"/>
        <v>18391738.026623331</v>
      </c>
      <c r="AN147" s="174">
        <f t="shared" ca="1" si="564"/>
        <v>21792579.659734521</v>
      </c>
      <c r="AO147" s="174">
        <f t="shared" ca="1" si="564"/>
        <v>25705972.437593695</v>
      </c>
      <c r="AP147" s="174">
        <f t="shared" ca="1" si="564"/>
        <v>30191978.143584162</v>
      </c>
    </row>
    <row r="148" spans="1:42" s="176" customFormat="1" ht="15.75" hidden="1" x14ac:dyDescent="0.25">
      <c r="A148" s="81" t="s">
        <v>297</v>
      </c>
      <c r="B148" s="174">
        <f t="shared" ca="1" si="560"/>
        <v>2.7578515989868904</v>
      </c>
      <c r="C148" s="175">
        <f t="shared" ref="C148:AP148" ca="1" si="565">ABS(($C130*($B130*C$139)^5+$D130*($B130*C$139)^4+ $E130*($B130*C$139)^3+$F130*($B130*C$139)^2+$G130*($B130*C$139)^1+$H130))+B148*B$159+B148*B$156</f>
        <v>4.0522729453525832</v>
      </c>
      <c r="D148" s="174">
        <f t="shared" ca="1" si="565"/>
        <v>4.5552453425787398</v>
      </c>
      <c r="E148" s="174">
        <f t="shared" ca="1" si="565"/>
        <v>6.4147394194084022</v>
      </c>
      <c r="F148" s="174">
        <f t="shared" ca="1" si="565"/>
        <v>12.181978763534591</v>
      </c>
      <c r="G148" s="174">
        <f t="shared" ca="1" si="565"/>
        <v>22.807911600508817</v>
      </c>
      <c r="H148" s="174">
        <f t="shared" ca="1" si="565"/>
        <v>34.730495317668272</v>
      </c>
      <c r="I148" s="174">
        <f t="shared" ca="1" si="565"/>
        <v>35.87405798699028</v>
      </c>
      <c r="J148" s="174">
        <f t="shared" ca="1" si="565"/>
        <v>38.878198090923853</v>
      </c>
      <c r="K148" s="174">
        <f t="shared" ca="1" si="565"/>
        <v>141.32659862911913</v>
      </c>
      <c r="L148" s="174">
        <f t="shared" ca="1" si="565"/>
        <v>409.68215378283526</v>
      </c>
      <c r="M148" s="174">
        <f t="shared" ca="1" si="565"/>
        <v>954.73635503097148</v>
      </c>
      <c r="N148" s="174">
        <f t="shared" ca="1" si="565"/>
        <v>1940.8828171956043</v>
      </c>
      <c r="O148" s="174">
        <f t="shared" ca="1" si="565"/>
        <v>3599.5179861459292</v>
      </c>
      <c r="P148" s="174">
        <f t="shared" ca="1" si="565"/>
        <v>6245.5150841366903</v>
      </c>
      <c r="Q148" s="174">
        <f t="shared" ca="1" si="565"/>
        <v>10296.499374498188</v>
      </c>
      <c r="R148" s="174">
        <f t="shared" ca="1" si="565"/>
        <v>16294.891663780365</v>
      </c>
      <c r="S148" s="174">
        <f t="shared" ca="1" si="565"/>
        <v>24932.754565766838</v>
      </c>
      <c r="T148" s="174">
        <f t="shared" ca="1" si="565"/>
        <v>37079.484387770266</v>
      </c>
      <c r="U148" s="174">
        <f t="shared" ca="1" si="565"/>
        <v>53812.377763668999</v>
      </c>
      <c r="V148" s="174">
        <f t="shared" ca="1" si="565"/>
        <v>76450.080068832671</v>
      </c>
      <c r="W148" s="174">
        <f t="shared" ca="1" si="565"/>
        <v>106588.89794478018</v>
      </c>
      <c r="X148" s="174">
        <f t="shared" ca="1" si="565"/>
        <v>146141.9337283175</v>
      </c>
      <c r="Y148" s="174">
        <f t="shared" ca="1" si="565"/>
        <v>197380.97680986099</v>
      </c>
      <c r="Z148" s="174">
        <f t="shared" ca="1" si="565"/>
        <v>262981.06695237465</v>
      </c>
      <c r="AA148" s="174">
        <f t="shared" ca="1" si="565"/>
        <v>346067.6280589166</v>
      </c>
      <c r="AB148" s="174">
        <f t="shared" ca="1" si="565"/>
        <v>450266.05820689164</v>
      </c>
      <c r="AC148" s="174">
        <f t="shared" ca="1" si="565"/>
        <v>579753.65318516246</v>
      </c>
      <c r="AD148" s="174">
        <f t="shared" ca="1" si="565"/>
        <v>739313.73630538629</v>
      </c>
      <c r="AE148" s="174">
        <f t="shared" ca="1" si="565"/>
        <v>934391.86677666474</v>
      </c>
      <c r="AF148" s="174">
        <f t="shared" ca="1" si="565"/>
        <v>1171154.0021575631</v>
      </c>
      <c r="AG148" s="174">
        <f t="shared" ca="1" si="565"/>
        <v>1456546.4969418983</v>
      </c>
      <c r="AH148" s="174">
        <f t="shared" ca="1" si="565"/>
        <v>1798357.8287179866</v>
      </c>
      <c r="AI148" s="174">
        <f t="shared" ca="1" si="565"/>
        <v>2205281.9550311249</v>
      </c>
      <c r="AJ148" s="174">
        <f t="shared" ca="1" si="565"/>
        <v>2686983.2175121899</v>
      </c>
      <c r="AK148" s="174">
        <f t="shared" ca="1" si="565"/>
        <v>3254162.7244440597</v>
      </c>
      <c r="AL148" s="174">
        <f t="shared" ca="1" si="565"/>
        <v>3918626.1581743294</v>
      </c>
      <c r="AM148" s="174">
        <f t="shared" ca="1" si="565"/>
        <v>4693352.969138368</v>
      </c>
      <c r="AN148" s="174">
        <f t="shared" ca="1" si="565"/>
        <v>5592566.9332756009</v>
      </c>
      <c r="AO148" s="174">
        <f t="shared" ca="1" si="565"/>
        <v>6631808.0639125174</v>
      </c>
      <c r="AP148" s="174">
        <f t="shared" ca="1" si="565"/>
        <v>7828005.8824271448</v>
      </c>
    </row>
    <row r="149" spans="1:42" s="176" customFormat="1" ht="15.75" hidden="1" x14ac:dyDescent="0.25">
      <c r="A149" s="81" t="s">
        <v>295</v>
      </c>
      <c r="B149" s="174">
        <f t="shared" ca="1" si="560"/>
        <v>1.0341937382459174</v>
      </c>
      <c r="C149" s="175">
        <f t="shared" ref="C149:AP149" ca="1" si="566">ABS(($C131*($B131*C$139)^5+$D131*($B131*C$139)^4+ $E131*($B131*C$139)^3+$F131*($B131*C$139)^2+$G131*($B131*C$139)^1+$H131))+B149*B$159+B149*B$156</f>
        <v>1.5199805760715122</v>
      </c>
      <c r="D149" s="174">
        <f t="shared" ca="1" si="566"/>
        <v>1.7097719593142409</v>
      </c>
      <c r="E149" s="174">
        <f t="shared" ca="1" si="566"/>
        <v>2.409607945756302</v>
      </c>
      <c r="F149" s="174">
        <f t="shared" ca="1" si="566"/>
        <v>4.5769382889136399</v>
      </c>
      <c r="G149" s="174">
        <f t="shared" ca="1" si="566"/>
        <v>8.5693793749213754</v>
      </c>
      <c r="H149" s="174">
        <f t="shared" ca="1" si="566"/>
        <v>13.052548875548506</v>
      </c>
      <c r="I149" s="174">
        <f t="shared" ca="1" si="566"/>
        <v>13.499955823307612</v>
      </c>
      <c r="J149" s="174">
        <f t="shared" ca="1" si="566"/>
        <v>14.556275976256057</v>
      </c>
      <c r="K149" s="174">
        <f t="shared" ca="1" si="566"/>
        <v>52.913434922988927</v>
      </c>
      <c r="L149" s="174">
        <f t="shared" ca="1" si="566"/>
        <v>153.47882778813863</v>
      </c>
      <c r="M149" s="174">
        <f t="shared" ca="1" si="566"/>
        <v>357.78841836027243</v>
      </c>
      <c r="N149" s="174">
        <f t="shared" ca="1" si="566"/>
        <v>727.47997531001783</v>
      </c>
      <c r="O149" s="174">
        <f t="shared" ca="1" si="566"/>
        <v>1349.3164502474642</v>
      </c>
      <c r="P149" s="174">
        <f t="shared" ca="1" si="566"/>
        <v>2341.362665448959</v>
      </c>
      <c r="Q149" s="174">
        <f t="shared" ca="1" si="566"/>
        <v>3860.2127927367801</v>
      </c>
      <c r="R149" s="174">
        <f t="shared" ca="1" si="566"/>
        <v>6109.2560127651559</v>
      </c>
      <c r="S149" s="174">
        <f t="shared" ca="1" si="566"/>
        <v>9347.9932189025094</v>
      </c>
      <c r="T149" s="174">
        <f t="shared" ca="1" si="566"/>
        <v>13902.420803094858</v>
      </c>
      <c r="U149" s="174">
        <f t="shared" ca="1" si="566"/>
        <v>20176.49242967918</v>
      </c>
      <c r="V149" s="174">
        <f t="shared" ca="1" si="566"/>
        <v>28664.661428363434</v>
      </c>
      <c r="W149" s="174">
        <f t="shared" ca="1" si="566"/>
        <v>39965.497176579542</v>
      </c>
      <c r="X149" s="174">
        <f t="shared" ca="1" si="566"/>
        <v>54796.359643731237</v>
      </c>
      <c r="Y149" s="174">
        <f t="shared" ca="1" si="566"/>
        <v>74009.107732366305</v>
      </c>
      <c r="Z149" s="174">
        <f t="shared" ca="1" si="566"/>
        <v>98606.80955459956</v>
      </c>
      <c r="AA149" s="174">
        <f t="shared" ca="1" si="566"/>
        <v>129761.41657881235</v>
      </c>
      <c r="AB149" s="174">
        <f t="shared" ca="1" si="566"/>
        <v>168832.35883073733</v>
      </c>
      <c r="AC149" s="174">
        <f t="shared" ca="1" si="566"/>
        <v>217386.01511496317</v>
      </c>
      <c r="AD149" s="174">
        <f t="shared" ca="1" si="566"/>
        <v>277216.01054864057</v>
      </c>
      <c r="AE149" s="174">
        <f t="shared" ca="1" si="566"/>
        <v>350364.29351826513</v>
      </c>
      <c r="AF149" s="174">
        <f t="shared" ca="1" si="566"/>
        <v>439142.94537964719</v>
      </c>
      <c r="AG149" s="174">
        <f t="shared" ca="1" si="566"/>
        <v>546156.67867436283</v>
      </c>
      <c r="AH149" s="174">
        <f t="shared" ca="1" si="566"/>
        <v>674325.98315447127</v>
      </c>
      <c r="AI149" s="174">
        <f t="shared" ca="1" si="566"/>
        <v>826910.88329078269</v>
      </c>
      <c r="AJ149" s="174">
        <f t="shared" ca="1" si="566"/>
        <v>1007535.2759770716</v>
      </c>
      <c r="AK149" s="174">
        <f t="shared" ca="1" si="566"/>
        <v>1220211.8226206158</v>
      </c>
      <c r="AL149" s="174">
        <f t="shared" ca="1" si="566"/>
        <v>1469367.3755229088</v>
      </c>
      <c r="AM149" s="174">
        <f t="shared" ca="1" si="566"/>
        <v>1759868.9242124197</v>
      </c>
      <c r="AN149" s="174">
        <f t="shared" ca="1" si="566"/>
        <v>2097050.053023044</v>
      </c>
      <c r="AO149" s="174">
        <f t="shared" ca="1" si="566"/>
        <v>2486737.9065705864</v>
      </c>
      <c r="AP149" s="174">
        <f t="shared" ca="1" si="566"/>
        <v>2935280.6647448428</v>
      </c>
    </row>
    <row r="150" spans="1:42" s="176" customFormat="1" ht="15.75" hidden="1" x14ac:dyDescent="0.25">
      <c r="A150" s="81" t="s">
        <v>294</v>
      </c>
      <c r="B150" s="174">
        <f t="shared" ca="1" si="560"/>
        <v>0.39297813480819382</v>
      </c>
      <c r="C150" s="175">
        <f t="shared" ref="C150:AP150" ca="1" si="567">ABS(($C132*($B132*C$139)^5+$D132*($B132*C$139)^4+ $E132*($B132*C$139)^3+$F132*($B132*C$139)^2+$G132*($B132*C$139)^1+$H132))+B150*B$159+B150*B$156</f>
        <v>0.75815625584153234</v>
      </c>
      <c r="D150" s="174">
        <f t="shared" ca="1" si="567"/>
        <v>1.1270798506877304</v>
      </c>
      <c r="E150" s="174">
        <f t="shared" ca="1" si="567"/>
        <v>1.4983952413874393</v>
      </c>
      <c r="F150" s="174">
        <f t="shared" ca="1" si="567"/>
        <v>1.871231862188202</v>
      </c>
      <c r="G150" s="174">
        <f t="shared" ca="1" si="567"/>
        <v>2.2453868038282003</v>
      </c>
      <c r="H150" s="174">
        <f t="shared" ca="1" si="567"/>
        <v>2.6215349178073053</v>
      </c>
      <c r="I150" s="174">
        <f t="shared" ca="1" si="567"/>
        <v>3.0014646461495618</v>
      </c>
      <c r="J150" s="174">
        <f t="shared" ca="1" si="567"/>
        <v>3.3883392269198778</v>
      </c>
      <c r="K150" s="174">
        <f t="shared" ca="1" si="567"/>
        <v>3.7869823717459332</v>
      </c>
      <c r="L150" s="174">
        <f t="shared" ca="1" si="567"/>
        <v>4.2041869354704122</v>
      </c>
      <c r="M150" s="174">
        <f t="shared" ca="1" si="567"/>
        <v>4.6490445188543683</v>
      </c>
      <c r="N150" s="174">
        <f t="shared" ca="1" si="567"/>
        <v>5.1332933835457162</v>
      </c>
      <c r="O150" s="174">
        <f t="shared" ca="1" si="567"/>
        <v>5.6716815354395145</v>
      </c>
      <c r="P150" s="174">
        <f t="shared" ca="1" si="567"/>
        <v>6.2823413686730012</v>
      </c>
      <c r="Q150" s="174">
        <f t="shared" ca="1" si="567"/>
        <v>6.9871718767627966</v>
      </c>
      <c r="R150" s="174">
        <f t="shared" ca="1" si="567"/>
        <v>7.8122241460698767</v>
      </c>
      <c r="S150" s="174">
        <f t="shared" ca="1" si="567"/>
        <v>8.7880856625523975</v>
      </c>
      <c r="T150" s="174">
        <f t="shared" ca="1" si="567"/>
        <v>9.9502588940345635</v>
      </c>
      <c r="U150" s="174">
        <f t="shared" ca="1" si="567"/>
        <v>11.339529660641166</v>
      </c>
      <c r="V150" s="174">
        <f t="shared" ca="1" si="567"/>
        <v>13.002320974371738</v>
      </c>
      <c r="W150" s="174">
        <f t="shared" ca="1" si="567"/>
        <v>14.99102830896738</v>
      </c>
      <c r="X150" s="174">
        <f t="shared" ca="1" si="567"/>
        <v>17.364332642796953</v>
      </c>
      <c r="Y150" s="174">
        <f t="shared" ca="1" si="567"/>
        <v>20.187488086204095</v>
      </c>
      <c r="Z150" s="174">
        <f t="shared" ca="1" si="567"/>
        <v>23.532581443372656</v>
      </c>
      <c r="AA150" s="174">
        <f t="shared" ca="1" si="567"/>
        <v>27.478761647989629</v>
      </c>
      <c r="AB150" s="174">
        <f t="shared" ca="1" si="567"/>
        <v>32.112437631445914</v>
      </c>
      <c r="AC150" s="174">
        <f t="shared" ca="1" si="567"/>
        <v>37.527443811565497</v>
      </c>
      <c r="AD150" s="174">
        <f t="shared" ca="1" si="567"/>
        <v>43.825173009268354</v>
      </c>
      <c r="AE150" s="174">
        <f t="shared" ca="1" si="567"/>
        <v>51.114677192157842</v>
      </c>
      <c r="AF150" s="174">
        <f t="shared" ca="1" si="567"/>
        <v>59.512736992062756</v>
      </c>
      <c r="AG150" s="174">
        <f t="shared" ca="1" si="567"/>
        <v>69.143901435093483</v>
      </c>
      <c r="AH150" s="174">
        <f t="shared" ca="1" si="567"/>
        <v>80.140499747874415</v>
      </c>
      <c r="AI150" s="174">
        <f t="shared" ca="1" si="567"/>
        <v>92.642627455533926</v>
      </c>
      <c r="AJ150" s="174">
        <f t="shared" ca="1" si="567"/>
        <v>106.79810926212642</v>
      </c>
      <c r="AK150" s="174">
        <f t="shared" ca="1" si="567"/>
        <v>122.76244140170904</v>
      </c>
      <c r="AL150" s="174">
        <f t="shared" ca="1" si="567"/>
        <v>140.69871627020763</v>
      </c>
      <c r="AM150" s="174">
        <f t="shared" ca="1" si="567"/>
        <v>160.77753219863152</v>
      </c>
      <c r="AN150" s="174">
        <f t="shared" ca="1" si="567"/>
        <v>183.17689121310607</v>
      </c>
      <c r="AO150" s="174">
        <f t="shared" ca="1" si="567"/>
        <v>208.08208755391195</v>
      </c>
      <c r="AP150" s="174">
        <f t="shared" ca="1" si="567"/>
        <v>235.68558960250377</v>
      </c>
    </row>
    <row r="151" spans="1:42" s="176" customFormat="1" ht="22.5" hidden="1" customHeight="1" x14ac:dyDescent="0.25">
      <c r="A151" s="81" t="s">
        <v>298</v>
      </c>
      <c r="B151" s="174">
        <f t="shared" ca="1" si="560"/>
        <v>0.13101078093489152</v>
      </c>
      <c r="C151" s="175">
        <f t="shared" ref="C151:AP151" ca="1" si="568">ABS(($C133*($B133*C$139)^5+$D133*($B133*C$139)^4+ $E133*($B133*C$139)^3+$F133*($B133*C$139)^2+$G133*($B133*C$139)^1+$H133))+B151*B$159+B151*B$156</f>
        <v>0.25275836544900881</v>
      </c>
      <c r="D151" s="174">
        <f t="shared" ca="1" si="568"/>
        <v>0.37575992243653505</v>
      </c>
      <c r="E151" s="174">
        <f t="shared" ca="1" si="568"/>
        <v>0.49956511147143218</v>
      </c>
      <c r="F151" s="174">
        <f t="shared" ca="1" si="568"/>
        <v>0.62388472803553063</v>
      </c>
      <c r="G151" s="174">
        <f t="shared" ca="1" si="568"/>
        <v>0.74865222380042373</v>
      </c>
      <c r="H151" s="174">
        <f t="shared" ca="1" si="568"/>
        <v>0.87409374645855631</v>
      </c>
      <c r="I151" s="174">
        <f t="shared" ca="1" si="568"/>
        <v>1.0008067541537495</v>
      </c>
      <c r="J151" s="174">
        <f t="shared" ca="1" si="568"/>
        <v>1.1298470878156908</v>
      </c>
      <c r="K151" s="174">
        <f t="shared" ca="1" si="568"/>
        <v>1.2628242000372398</v>
      </c>
      <c r="L151" s="174">
        <f t="shared" ca="1" si="568"/>
        <v>1.4020040470999457</v>
      </c>
      <c r="M151" s="174">
        <f t="shared" ca="1" si="568"/>
        <v>1.5504189576971941</v>
      </c>
      <c r="N151" s="174">
        <f t="shared" ca="1" si="568"/>
        <v>1.7119836046843173</v>
      </c>
      <c r="O151" s="174">
        <f t="shared" ca="1" si="568"/>
        <v>1.8916160318411583</v>
      </c>
      <c r="P151" s="174">
        <f t="shared" ca="1" si="568"/>
        <v>2.0953625330258117</v>
      </c>
      <c r="Q151" s="174">
        <f t="shared" ca="1" si="568"/>
        <v>2.3305250525428285</v>
      </c>
      <c r="R151" s="174">
        <f t="shared" ca="1" si="568"/>
        <v>2.6057896784661612</v>
      </c>
      <c r="S151" s="174">
        <f t="shared" ca="1" si="568"/>
        <v>2.9313547392732313</v>
      </c>
      <c r="T151" s="174">
        <f t="shared" ca="1" si="568"/>
        <v>3.3190569912600285</v>
      </c>
      <c r="U151" s="174">
        <f t="shared" ca="1" si="568"/>
        <v>3.7824944010371606</v>
      </c>
      <c r="V151" s="174">
        <f t="shared" ca="1" si="568"/>
        <v>4.3371440835356161</v>
      </c>
      <c r="W151" s="174">
        <f t="shared" ca="1" si="568"/>
        <v>5.0004740493620696</v>
      </c>
      <c r="X151" s="174">
        <f t="shared" ca="1" si="568"/>
        <v>5.7920475425494349</v>
      </c>
      <c r="Y151" s="174">
        <f t="shared" ca="1" si="568"/>
        <v>6.7336189059975098</v>
      </c>
      <c r="Z151" s="174">
        <f t="shared" ca="1" si="568"/>
        <v>7.8492200914442147</v>
      </c>
      <c r="AA151" s="174">
        <f t="shared" ca="1" si="568"/>
        <v>9.1652371272178552</v>
      </c>
      <c r="AB151" s="174">
        <f t="shared" ca="1" si="568"/>
        <v>10.710476063506706</v>
      </c>
      <c r="AC151" s="174">
        <f t="shared" ca="1" si="568"/>
        <v>12.516218124627191</v>
      </c>
      <c r="AD151" s="174">
        <f t="shared" ca="1" si="568"/>
        <v>14.616264004235056</v>
      </c>
      <c r="AE151" s="174">
        <f t="shared" ca="1" si="568"/>
        <v>17.04696743660746</v>
      </c>
      <c r="AF151" s="174">
        <f t="shared" ca="1" si="568"/>
        <v>19.847258359789688</v>
      </c>
      <c r="AG151" s="174">
        <f t="shared" ca="1" si="568"/>
        <v>23.05865615022736</v>
      </c>
      <c r="AH151" s="174">
        <f t="shared" ca="1" si="568"/>
        <v>26.725273550188575</v>
      </c>
      <c r="AI151" s="174">
        <f t="shared" ca="1" si="568"/>
        <v>30.893812026568931</v>
      </c>
      <c r="AJ151" s="174">
        <f t="shared" ca="1" si="568"/>
        <v>35.613549391351789</v>
      </c>
      <c r="AK151" s="174">
        <f t="shared" ca="1" si="568"/>
        <v>40.936320579827949</v>
      </c>
      <c r="AL151" s="174">
        <f t="shared" ca="1" si="568"/>
        <v>46.916492523298906</v>
      </c>
      <c r="AM151" s="174">
        <f t="shared" ca="1" si="568"/>
        <v>53.610934069780797</v>
      </c>
      <c r="AN151" s="174">
        <f t="shared" ca="1" si="568"/>
        <v>61.078981901181145</v>
      </c>
      <c r="AO151" s="174">
        <f t="shared" ca="1" si="568"/>
        <v>69.382403370981592</v>
      </c>
      <c r="AP151" s="174">
        <f t="shared" ca="1" si="568"/>
        <v>78.585357145376605</v>
      </c>
    </row>
    <row r="152" spans="1:42" s="176" customFormat="1" ht="15.75" hidden="1" x14ac:dyDescent="0.25">
      <c r="A152" s="81" t="s">
        <v>296</v>
      </c>
      <c r="B152" s="174">
        <f t="shared" ca="1" si="560"/>
        <v>0.13101078093489152</v>
      </c>
      <c r="C152" s="175">
        <f t="shared" ref="C152:AP152" ca="1" si="569">ABS(($C134*($B134*C$139)^5+$D134*($B134*C$139)^4+ $E134*($B134*C$139)^3+$F134*($B134*C$139)^2+$G134*($B134*C$139)^1+$H134))+B152*B$159+B152*B$156</f>
        <v>0.25275836544900881</v>
      </c>
      <c r="D152" s="174">
        <f t="shared" ca="1" si="569"/>
        <v>0.37575992243653505</v>
      </c>
      <c r="E152" s="174">
        <f t="shared" ca="1" si="569"/>
        <v>0.49956511147143218</v>
      </c>
      <c r="F152" s="174">
        <f t="shared" ca="1" si="569"/>
        <v>0.62388472803553063</v>
      </c>
      <c r="G152" s="174">
        <f t="shared" ca="1" si="569"/>
        <v>0.74865222380042373</v>
      </c>
      <c r="H152" s="174">
        <f t="shared" ca="1" si="569"/>
        <v>0.87409374645855631</v>
      </c>
      <c r="I152" s="174">
        <f t="shared" ca="1" si="569"/>
        <v>1.0008067541537495</v>
      </c>
      <c r="J152" s="174">
        <f t="shared" ca="1" si="569"/>
        <v>1.1298470878156908</v>
      </c>
      <c r="K152" s="174">
        <f t="shared" ca="1" si="569"/>
        <v>1.2628242000372398</v>
      </c>
      <c r="L152" s="174">
        <f t="shared" ca="1" si="569"/>
        <v>1.4020040470999457</v>
      </c>
      <c r="M152" s="174">
        <f t="shared" ca="1" si="569"/>
        <v>1.5504189576971941</v>
      </c>
      <c r="N152" s="174">
        <f t="shared" ca="1" si="569"/>
        <v>1.7119836046843173</v>
      </c>
      <c r="O152" s="174">
        <f t="shared" ca="1" si="569"/>
        <v>1.8916160318411583</v>
      </c>
      <c r="P152" s="174">
        <f t="shared" ca="1" si="569"/>
        <v>2.0953625330258117</v>
      </c>
      <c r="Q152" s="174">
        <f t="shared" ca="1" si="569"/>
        <v>2.3305250525428285</v>
      </c>
      <c r="R152" s="174">
        <f t="shared" ca="1" si="569"/>
        <v>2.6057896784661612</v>
      </c>
      <c r="S152" s="174">
        <f t="shared" ca="1" si="569"/>
        <v>2.9313547392732313</v>
      </c>
      <c r="T152" s="174">
        <f t="shared" ca="1" si="569"/>
        <v>3.3190569912600285</v>
      </c>
      <c r="U152" s="174">
        <f t="shared" ca="1" si="569"/>
        <v>3.7824944010371606</v>
      </c>
      <c r="V152" s="174">
        <f t="shared" ca="1" si="569"/>
        <v>4.3371440835356161</v>
      </c>
      <c r="W152" s="174">
        <f t="shared" ca="1" si="569"/>
        <v>5.0004740493620696</v>
      </c>
      <c r="X152" s="174">
        <f t="shared" ca="1" si="569"/>
        <v>5.7920475425494349</v>
      </c>
      <c r="Y152" s="174">
        <f t="shared" ca="1" si="569"/>
        <v>6.7336189059975098</v>
      </c>
      <c r="Z152" s="174">
        <f t="shared" ca="1" si="569"/>
        <v>7.8492200914442147</v>
      </c>
      <c r="AA152" s="174">
        <f t="shared" ca="1" si="569"/>
        <v>9.1652371272178552</v>
      </c>
      <c r="AB152" s="174">
        <f t="shared" ca="1" si="569"/>
        <v>10.710476063506706</v>
      </c>
      <c r="AC152" s="174">
        <f t="shared" ca="1" si="569"/>
        <v>12.516218124627191</v>
      </c>
      <c r="AD152" s="174">
        <f t="shared" ca="1" si="569"/>
        <v>14.616264004235056</v>
      </c>
      <c r="AE152" s="174">
        <f t="shared" ca="1" si="569"/>
        <v>17.04696743660746</v>
      </c>
      <c r="AF152" s="174">
        <f t="shared" ca="1" si="569"/>
        <v>19.847258359789688</v>
      </c>
      <c r="AG152" s="174">
        <f t="shared" ca="1" si="569"/>
        <v>23.05865615022736</v>
      </c>
      <c r="AH152" s="174">
        <f t="shared" ca="1" si="569"/>
        <v>26.725273550188575</v>
      </c>
      <c r="AI152" s="174">
        <f t="shared" ca="1" si="569"/>
        <v>30.893812026568931</v>
      </c>
      <c r="AJ152" s="174">
        <f t="shared" ca="1" si="569"/>
        <v>35.613549391351789</v>
      </c>
      <c r="AK152" s="174">
        <f t="shared" ca="1" si="569"/>
        <v>40.936320579827949</v>
      </c>
      <c r="AL152" s="174">
        <f t="shared" ca="1" si="569"/>
        <v>46.916492523298906</v>
      </c>
      <c r="AM152" s="174">
        <f t="shared" ca="1" si="569"/>
        <v>53.610934069780797</v>
      </c>
      <c r="AN152" s="174">
        <f t="shared" ca="1" si="569"/>
        <v>61.078981901181145</v>
      </c>
      <c r="AO152" s="174">
        <f t="shared" ca="1" si="569"/>
        <v>69.382403370981592</v>
      </c>
      <c r="AP152" s="174">
        <f t="shared" ca="1" si="569"/>
        <v>78.585357145376605</v>
      </c>
    </row>
    <row r="153" spans="1:42" s="176" customFormat="1" ht="31.5" hidden="1" x14ac:dyDescent="0.25">
      <c r="A153" s="39" t="s">
        <v>288</v>
      </c>
      <c r="B153" s="174">
        <f t="shared" ref="B153:AP153" ca="1" si="570">ABS(($C$125*($B$125*B$139)^5+$D$125*($B$125*B$139)^4+ $E$125*($B$125*B$139)^3+$F$125*($B$125*B$139)^2+$G$125*($B$125*B$139)^1+$H$125))</f>
        <v>0</v>
      </c>
      <c r="C153" s="175">
        <f t="shared" ca="1" si="570"/>
        <v>0</v>
      </c>
      <c r="D153" s="174">
        <f t="shared" ca="1" si="570"/>
        <v>0</v>
      </c>
      <c r="E153" s="174">
        <f t="shared" ca="1" si="570"/>
        <v>0</v>
      </c>
      <c r="F153" s="174">
        <f t="shared" ca="1" si="570"/>
        <v>0</v>
      </c>
      <c r="G153" s="174">
        <f t="shared" ca="1" si="570"/>
        <v>0</v>
      </c>
      <c r="H153" s="174">
        <f t="shared" ca="1" si="570"/>
        <v>0</v>
      </c>
      <c r="I153" s="174">
        <f t="shared" ca="1" si="570"/>
        <v>0</v>
      </c>
      <c r="J153" s="174">
        <f t="shared" ca="1" si="570"/>
        <v>0</v>
      </c>
      <c r="K153" s="174">
        <f t="shared" ca="1" si="570"/>
        <v>0</v>
      </c>
      <c r="L153" s="174">
        <f t="shared" ca="1" si="570"/>
        <v>0</v>
      </c>
      <c r="M153" s="174">
        <f t="shared" ca="1" si="570"/>
        <v>0</v>
      </c>
      <c r="N153" s="174">
        <f t="shared" ca="1" si="570"/>
        <v>0</v>
      </c>
      <c r="O153" s="174">
        <f t="shared" ca="1" si="570"/>
        <v>0</v>
      </c>
      <c r="P153" s="174">
        <f t="shared" ca="1" si="570"/>
        <v>0</v>
      </c>
      <c r="Q153" s="174">
        <f t="shared" ca="1" si="570"/>
        <v>0</v>
      </c>
      <c r="R153" s="174">
        <f t="shared" ca="1" si="570"/>
        <v>0</v>
      </c>
      <c r="S153" s="174">
        <f t="shared" ca="1" si="570"/>
        <v>0</v>
      </c>
      <c r="T153" s="174">
        <f t="shared" ca="1" si="570"/>
        <v>0</v>
      </c>
      <c r="U153" s="174">
        <f t="shared" ca="1" si="570"/>
        <v>0</v>
      </c>
      <c r="V153" s="174">
        <f t="shared" ca="1" si="570"/>
        <v>0</v>
      </c>
      <c r="W153" s="174">
        <f t="shared" ca="1" si="570"/>
        <v>0</v>
      </c>
      <c r="X153" s="174">
        <f t="shared" ca="1" si="570"/>
        <v>0</v>
      </c>
      <c r="Y153" s="174">
        <f t="shared" ca="1" si="570"/>
        <v>0</v>
      </c>
      <c r="Z153" s="174">
        <f t="shared" ca="1" si="570"/>
        <v>0</v>
      </c>
      <c r="AA153" s="174">
        <f t="shared" ca="1" si="570"/>
        <v>0</v>
      </c>
      <c r="AB153" s="174">
        <f t="shared" ca="1" si="570"/>
        <v>0</v>
      </c>
      <c r="AC153" s="174">
        <f t="shared" ca="1" si="570"/>
        <v>0</v>
      </c>
      <c r="AD153" s="174">
        <f t="shared" ca="1" si="570"/>
        <v>0</v>
      </c>
      <c r="AE153" s="174">
        <f t="shared" ca="1" si="570"/>
        <v>0</v>
      </c>
      <c r="AF153" s="174">
        <f t="shared" ca="1" si="570"/>
        <v>0</v>
      </c>
      <c r="AG153" s="174">
        <f t="shared" ca="1" si="570"/>
        <v>0</v>
      </c>
      <c r="AH153" s="174">
        <f t="shared" ca="1" si="570"/>
        <v>0</v>
      </c>
      <c r="AI153" s="174">
        <f t="shared" ca="1" si="570"/>
        <v>0</v>
      </c>
      <c r="AJ153" s="174">
        <f t="shared" ca="1" si="570"/>
        <v>0</v>
      </c>
      <c r="AK153" s="174">
        <f t="shared" ca="1" si="570"/>
        <v>0</v>
      </c>
      <c r="AL153" s="174">
        <f t="shared" ca="1" si="570"/>
        <v>0</v>
      </c>
      <c r="AM153" s="174">
        <f t="shared" ca="1" si="570"/>
        <v>0</v>
      </c>
      <c r="AN153" s="174">
        <f t="shared" ca="1" si="570"/>
        <v>0</v>
      </c>
      <c r="AO153" s="174">
        <f t="shared" ca="1" si="570"/>
        <v>0</v>
      </c>
      <c r="AP153" s="174">
        <f t="shared" ca="1" si="570"/>
        <v>0</v>
      </c>
    </row>
    <row r="154" spans="1:42" ht="31.5" hidden="1" x14ac:dyDescent="0.25">
      <c r="A154" s="139" t="s">
        <v>156</v>
      </c>
      <c r="B154" s="178">
        <f t="shared" ref="B154:AP154" ca="1" si="571">B$140*$I$120+B$142*$I$122+B$143*$I$123+B$144*$I$126+B$145*$I$127+B$146*$I$128+B$147*$I$129+B$148*$I$130+B$149*$I$131+B$150*$I$132+B$151*$I$133+B$152*$I$134+B$153*$I$125+B$160*$I$124+B$141*$I$121</f>
        <v>172.60511136845847</v>
      </c>
      <c r="C154" s="178">
        <f t="shared" ca="1" si="571"/>
        <v>335.66615693348416</v>
      </c>
      <c r="D154" s="178">
        <f t="shared" ca="1" si="571"/>
        <v>496.44322077071911</v>
      </c>
      <c r="E154" s="178">
        <f t="shared" ca="1" si="571"/>
        <v>664.97974572280884</v>
      </c>
      <c r="F154" s="178">
        <f t="shared" ca="1" si="571"/>
        <v>1032.7635731441289</v>
      </c>
      <c r="G154" s="178">
        <f t="shared" ca="1" si="571"/>
        <v>2046.1288943406375</v>
      </c>
      <c r="H154" s="178">
        <f t="shared" ca="1" si="571"/>
        <v>4202.3691917503684</v>
      </c>
      <c r="I154" s="178">
        <f t="shared" ca="1" si="571"/>
        <v>8386.4786350806553</v>
      </c>
      <c r="J154" s="178">
        <f t="shared" ca="1" si="571"/>
        <v>16509.03731047218</v>
      </c>
      <c r="K154" s="178">
        <f t="shared" ca="1" si="571"/>
        <v>32607.474236729962</v>
      </c>
      <c r="L154" s="178">
        <f t="shared" ca="1" si="571"/>
        <v>61427.646495057212</v>
      </c>
      <c r="M154" s="178">
        <f t="shared" ca="1" si="571"/>
        <v>109844.58016130737</v>
      </c>
      <c r="N154" s="178">
        <f t="shared" ca="1" si="571"/>
        <v>187373.80615453614</v>
      </c>
      <c r="O154" s="178">
        <f t="shared" ca="1" si="571"/>
        <v>306800.46928660281</v>
      </c>
      <c r="P154" s="178">
        <f t="shared" ca="1" si="571"/>
        <v>484914.47028740071</v>
      </c>
      <c r="Q154" s="178">
        <f t="shared" ca="1" si="571"/>
        <v>743350.80833408039</v>
      </c>
      <c r="R154" s="178">
        <f t="shared" ca="1" si="571"/>
        <v>1109537.182461798</v>
      </c>
      <c r="S154" s="178">
        <f t="shared" ca="1" si="571"/>
        <v>1617751.2404205014</v>
      </c>
      <c r="T154" s="178">
        <f t="shared" ca="1" si="571"/>
        <v>2311806.5471197716</v>
      </c>
      <c r="U154" s="178">
        <f t="shared" ca="1" si="571"/>
        <v>3243012.7181820506</v>
      </c>
      <c r="V154" s="178">
        <f t="shared" ca="1" si="571"/>
        <v>4473844.1862497143</v>
      </c>
      <c r="W154" s="178">
        <f t="shared" ca="1" si="571"/>
        <v>6079214.926454599</v>
      </c>
      <c r="X154" s="178">
        <f t="shared" ca="1" si="571"/>
        <v>8147923.0136600109</v>
      </c>
      <c r="Y154" s="178">
        <f t="shared" ca="1" si="571"/>
        <v>10784409.306861062</v>
      </c>
      <c r="Z154" s="178">
        <f t="shared" ca="1" si="571"/>
        <v>14110523.228792435</v>
      </c>
      <c r="AA154" s="178">
        <f t="shared" ca="1" si="571"/>
        <v>18267476.537718832</v>
      </c>
      <c r="AB154" s="178">
        <f t="shared" ca="1" si="571"/>
        <v>23417862.418955542</v>
      </c>
      <c r="AC154" s="178">
        <f t="shared" ca="1" si="571"/>
        <v>29747762.059514225</v>
      </c>
      <c r="AD154" s="178">
        <f t="shared" ca="1" si="571"/>
        <v>37468934.259010777</v>
      </c>
      <c r="AE154" s="178">
        <f t="shared" ca="1" si="571"/>
        <v>46821082.963194892</v>
      </c>
      <c r="AF154" s="178">
        <f t="shared" ca="1" si="571"/>
        <v>58074197.800459176</v>
      </c>
      <c r="AG154" s="178">
        <f t="shared" ca="1" si="571"/>
        <v>71530963.02052936</v>
      </c>
      <c r="AH154" s="178">
        <f t="shared" ca="1" si="571"/>
        <v>87529230.658638343</v>
      </c>
      <c r="AI154" s="178">
        <f t="shared" ca="1" si="571"/>
        <v>106444554.2560792</v>
      </c>
      <c r="AJ154" s="178">
        <f t="shared" ca="1" si="571"/>
        <v>128692780.03639303</v>
      </c>
      <c r="AK154" s="178">
        <f t="shared" ca="1" si="571"/>
        <v>154732693.04296243</v>
      </c>
      <c r="AL154" s="178">
        <f t="shared" ca="1" si="571"/>
        <v>185068716.36686751</v>
      </c>
      <c r="AM154" s="178">
        <f t="shared" ca="1" si="571"/>
        <v>220253662.213705</v>
      </c>
      <c r="AN154" s="178">
        <f t="shared" ca="1" si="571"/>
        <v>260891534.15718299</v>
      </c>
      <c r="AO154" s="178">
        <f t="shared" ca="1" si="571"/>
        <v>307640380.49088371</v>
      </c>
      <c r="AP154" s="178">
        <f t="shared" ca="1" si="571"/>
        <v>361215199.10576254</v>
      </c>
    </row>
    <row r="155" spans="1:42" ht="31.5" hidden="1" x14ac:dyDescent="0.25">
      <c r="A155" s="139" t="s">
        <v>157</v>
      </c>
      <c r="B155" s="178">
        <f ca="1">B154</f>
        <v>172.60511136845847</v>
      </c>
      <c r="C155" s="178">
        <f t="shared" ref="C155:AP155" ca="1" si="572">C154</f>
        <v>335.66615693348416</v>
      </c>
      <c r="D155" s="178">
        <f t="shared" ca="1" si="572"/>
        <v>496.44322077071911</v>
      </c>
      <c r="E155" s="178">
        <f t="shared" ca="1" si="572"/>
        <v>664.97974572280884</v>
      </c>
      <c r="F155" s="178">
        <f t="shared" ca="1" si="572"/>
        <v>1032.7635731441289</v>
      </c>
      <c r="G155" s="178">
        <f t="shared" ca="1" si="572"/>
        <v>2046.1288943406375</v>
      </c>
      <c r="H155" s="178">
        <f t="shared" ca="1" si="572"/>
        <v>4202.3691917503684</v>
      </c>
      <c r="I155" s="178">
        <f t="shared" ca="1" si="572"/>
        <v>8386.4786350806553</v>
      </c>
      <c r="J155" s="178">
        <f t="shared" ca="1" si="572"/>
        <v>16509.03731047218</v>
      </c>
      <c r="K155" s="178">
        <f t="shared" ca="1" si="572"/>
        <v>32607.474236729962</v>
      </c>
      <c r="L155" s="178">
        <f t="shared" ca="1" si="572"/>
        <v>61427.646495057212</v>
      </c>
      <c r="M155" s="178">
        <f t="shared" ca="1" si="572"/>
        <v>109844.58016130737</v>
      </c>
      <c r="N155" s="178">
        <f t="shared" ca="1" si="572"/>
        <v>187373.80615453614</v>
      </c>
      <c r="O155" s="178">
        <f t="shared" ca="1" si="572"/>
        <v>306800.46928660281</v>
      </c>
      <c r="P155" s="178">
        <f t="shared" ca="1" si="572"/>
        <v>484914.47028740071</v>
      </c>
      <c r="Q155" s="178">
        <f t="shared" ca="1" si="572"/>
        <v>743350.80833408039</v>
      </c>
      <c r="R155" s="178">
        <f t="shared" ca="1" si="572"/>
        <v>1109537.182461798</v>
      </c>
      <c r="S155" s="178">
        <f t="shared" ca="1" si="572"/>
        <v>1617751.2404205014</v>
      </c>
      <c r="T155" s="178">
        <f t="shared" ca="1" si="572"/>
        <v>2311806.5471197716</v>
      </c>
      <c r="U155" s="178">
        <f t="shared" ca="1" si="572"/>
        <v>3243012.7181820506</v>
      </c>
      <c r="V155" s="178">
        <f t="shared" ca="1" si="572"/>
        <v>4473844.1862497143</v>
      </c>
      <c r="W155" s="178">
        <f t="shared" ca="1" si="572"/>
        <v>6079214.926454599</v>
      </c>
      <c r="X155" s="178">
        <f t="shared" ca="1" si="572"/>
        <v>8147923.0136600109</v>
      </c>
      <c r="Y155" s="178">
        <f t="shared" ca="1" si="572"/>
        <v>10784409.306861062</v>
      </c>
      <c r="Z155" s="178">
        <f t="shared" ca="1" si="572"/>
        <v>14110523.228792435</v>
      </c>
      <c r="AA155" s="178">
        <f t="shared" ca="1" si="572"/>
        <v>18267476.537718832</v>
      </c>
      <c r="AB155" s="178">
        <f t="shared" ca="1" si="572"/>
        <v>23417862.418955542</v>
      </c>
      <c r="AC155" s="178">
        <f t="shared" ca="1" si="572"/>
        <v>29747762.059514225</v>
      </c>
      <c r="AD155" s="178">
        <f t="shared" ca="1" si="572"/>
        <v>37468934.259010777</v>
      </c>
      <c r="AE155" s="178">
        <f t="shared" ca="1" si="572"/>
        <v>46821082.963194892</v>
      </c>
      <c r="AF155" s="178">
        <f t="shared" ca="1" si="572"/>
        <v>58074197.800459176</v>
      </c>
      <c r="AG155" s="178">
        <f t="shared" ca="1" si="572"/>
        <v>71530963.02052936</v>
      </c>
      <c r="AH155" s="178">
        <f t="shared" ca="1" si="572"/>
        <v>87529230.658638343</v>
      </c>
      <c r="AI155" s="178">
        <f t="shared" ca="1" si="572"/>
        <v>106444554.2560792</v>
      </c>
      <c r="AJ155" s="178">
        <f t="shared" ca="1" si="572"/>
        <v>128692780.03639303</v>
      </c>
      <c r="AK155" s="178">
        <f t="shared" ca="1" si="572"/>
        <v>154732693.04296243</v>
      </c>
      <c r="AL155" s="178">
        <f t="shared" ca="1" si="572"/>
        <v>185068716.36686751</v>
      </c>
      <c r="AM155" s="178">
        <f t="shared" ca="1" si="572"/>
        <v>220253662.213705</v>
      </c>
      <c r="AN155" s="178">
        <f t="shared" ca="1" si="572"/>
        <v>260891534.15718299</v>
      </c>
      <c r="AO155" s="178">
        <f t="shared" ca="1" si="572"/>
        <v>307640380.49088371</v>
      </c>
      <c r="AP155" s="178">
        <f t="shared" ca="1" si="572"/>
        <v>361215199.10576254</v>
      </c>
    </row>
    <row r="156" spans="1:42" ht="31.5" hidden="1" x14ac:dyDescent="0.25">
      <c r="A156" s="139" t="s">
        <v>158</v>
      </c>
      <c r="B156" s="178">
        <f ca="1">1-(B155/B154)</f>
        <v>0</v>
      </c>
      <c r="C156" s="178">
        <f t="shared" ref="C156:AP156" ca="1" si="573">1-(C155/C154)</f>
        <v>0</v>
      </c>
      <c r="D156" s="178">
        <f t="shared" ca="1" si="573"/>
        <v>0</v>
      </c>
      <c r="E156" s="178">
        <f t="shared" ca="1" si="573"/>
        <v>0</v>
      </c>
      <c r="F156" s="178">
        <f t="shared" ca="1" si="573"/>
        <v>0</v>
      </c>
      <c r="G156" s="178">
        <f t="shared" ca="1" si="573"/>
        <v>0</v>
      </c>
      <c r="H156" s="178">
        <f t="shared" ca="1" si="573"/>
        <v>0</v>
      </c>
      <c r="I156" s="178">
        <f t="shared" ca="1" si="573"/>
        <v>0</v>
      </c>
      <c r="J156" s="178">
        <f t="shared" ca="1" si="573"/>
        <v>0</v>
      </c>
      <c r="K156" s="178">
        <f t="shared" ca="1" si="573"/>
        <v>0</v>
      </c>
      <c r="L156" s="178">
        <f t="shared" ca="1" si="573"/>
        <v>0</v>
      </c>
      <c r="M156" s="178">
        <f t="shared" ca="1" si="573"/>
        <v>0</v>
      </c>
      <c r="N156" s="178">
        <f t="shared" ca="1" si="573"/>
        <v>0</v>
      </c>
      <c r="O156" s="178">
        <f t="shared" ca="1" si="573"/>
        <v>0</v>
      </c>
      <c r="P156" s="178">
        <f t="shared" ca="1" si="573"/>
        <v>0</v>
      </c>
      <c r="Q156" s="178">
        <f t="shared" ca="1" si="573"/>
        <v>0</v>
      </c>
      <c r="R156" s="178">
        <f t="shared" ca="1" si="573"/>
        <v>0</v>
      </c>
      <c r="S156" s="178">
        <f t="shared" ca="1" si="573"/>
        <v>0</v>
      </c>
      <c r="T156" s="178">
        <f t="shared" ca="1" si="573"/>
        <v>0</v>
      </c>
      <c r="U156" s="178">
        <f t="shared" ca="1" si="573"/>
        <v>0</v>
      </c>
      <c r="V156" s="178">
        <f t="shared" ca="1" si="573"/>
        <v>0</v>
      </c>
      <c r="W156" s="178">
        <f t="shared" ca="1" si="573"/>
        <v>0</v>
      </c>
      <c r="X156" s="178">
        <f t="shared" ca="1" si="573"/>
        <v>0</v>
      </c>
      <c r="Y156" s="178">
        <f t="shared" ca="1" si="573"/>
        <v>0</v>
      </c>
      <c r="Z156" s="178">
        <f t="shared" ca="1" si="573"/>
        <v>0</v>
      </c>
      <c r="AA156" s="178">
        <f t="shared" ca="1" si="573"/>
        <v>0</v>
      </c>
      <c r="AB156" s="178">
        <f t="shared" ca="1" si="573"/>
        <v>0</v>
      </c>
      <c r="AC156" s="178">
        <f t="shared" ca="1" si="573"/>
        <v>0</v>
      </c>
      <c r="AD156" s="178">
        <f t="shared" ca="1" si="573"/>
        <v>0</v>
      </c>
      <c r="AE156" s="178">
        <f t="shared" ca="1" si="573"/>
        <v>0</v>
      </c>
      <c r="AF156" s="178">
        <f t="shared" ca="1" si="573"/>
        <v>0</v>
      </c>
      <c r="AG156" s="178">
        <f t="shared" ca="1" si="573"/>
        <v>0</v>
      </c>
      <c r="AH156" s="178">
        <f t="shared" ca="1" si="573"/>
        <v>0</v>
      </c>
      <c r="AI156" s="178">
        <f t="shared" ca="1" si="573"/>
        <v>0</v>
      </c>
      <c r="AJ156" s="178">
        <f t="shared" ca="1" si="573"/>
        <v>0</v>
      </c>
      <c r="AK156" s="178">
        <f t="shared" ca="1" si="573"/>
        <v>0</v>
      </c>
      <c r="AL156" s="178">
        <f t="shared" ca="1" si="573"/>
        <v>0</v>
      </c>
      <c r="AM156" s="178">
        <f t="shared" ca="1" si="573"/>
        <v>0</v>
      </c>
      <c r="AN156" s="178">
        <f t="shared" ca="1" si="573"/>
        <v>0</v>
      </c>
      <c r="AO156" s="178">
        <f t="shared" ca="1" si="573"/>
        <v>0</v>
      </c>
      <c r="AP156" s="178">
        <f t="shared" ca="1" si="573"/>
        <v>0</v>
      </c>
    </row>
    <row r="157" spans="1:42" ht="15.75" hidden="1" x14ac:dyDescent="0.25">
      <c r="A157" s="139" t="s">
        <v>86</v>
      </c>
      <c r="B157" s="179">
        <f t="shared" ref="B157:AP157" ca="1" si="574">1-(B$140*$J$120+B$142*$J$122+B$143*$J$123+B$144*$J$126+B$145*$J$127+B$146*$J$128+B$147*$J$129+B$148*$J$130+B$149*$J$131+B$150*$J$132+B$151*$J$133+B$152*$J$134+B$153*$J$125+B$141*$J$121)</f>
        <v>0.87879899876010203</v>
      </c>
      <c r="C157" s="179">
        <f t="shared" ca="1" si="574"/>
        <v>0.78516683582051705</v>
      </c>
      <c r="D157" s="179">
        <f t="shared" ca="1" si="574"/>
        <v>0.70802402460258695</v>
      </c>
      <c r="E157" s="179">
        <f t="shared" ca="1" si="574"/>
        <v>0.61528419106851739</v>
      </c>
      <c r="F157" s="179">
        <f t="shared" ca="1" si="574"/>
        <v>0.3557305815411691</v>
      </c>
      <c r="G157" s="179">
        <f t="shared" ca="1" si="574"/>
        <v>-0.35676743319489201</v>
      </c>
      <c r="H157" s="179">
        <f t="shared" ca="1" si="574"/>
        <v>-1.7617914987494103</v>
      </c>
      <c r="I157" s="179">
        <f t="shared" ca="1" si="574"/>
        <v>-4.2226606231968065</v>
      </c>
      <c r="J157" s="179">
        <f t="shared" ca="1" si="574"/>
        <v>-9.0240574901006596</v>
      </c>
      <c r="K157" s="179">
        <f t="shared" ca="1" si="574"/>
        <v>-19.799598752057271</v>
      </c>
      <c r="L157" s="179">
        <f t="shared" ca="1" si="574"/>
        <v>-40.228848759700497</v>
      </c>
      <c r="M157" s="179">
        <f t="shared" ca="1" si="574"/>
        <v>-75.850791357437657</v>
      </c>
      <c r="N157" s="179">
        <f t="shared" ca="1" si="574"/>
        <v>-134.50364921542845</v>
      </c>
      <c r="O157" s="179">
        <f t="shared" ca="1" si="574"/>
        <v>-226.8913718255881</v>
      </c>
      <c r="P157" s="179">
        <f t="shared" ca="1" si="574"/>
        <v>-367.25677170755273</v>
      </c>
      <c r="Q157" s="179">
        <f t="shared" ca="1" si="574"/>
        <v>-574.15762101842972</v>
      </c>
      <c r="R157" s="179">
        <f t="shared" ca="1" si="574"/>
        <v>-871.34671285058403</v>
      </c>
      <c r="S157" s="179">
        <f t="shared" ca="1" si="574"/>
        <v>-1288.7578916000971</v>
      </c>
      <c r="T157" s="179">
        <f t="shared" ca="1" si="574"/>
        <v>-1863.9717911151818</v>
      </c>
      <c r="U157" s="179">
        <f t="shared" ca="1" si="574"/>
        <v>-2642.6031679502548</v>
      </c>
      <c r="V157" s="179">
        <f t="shared" ca="1" si="574"/>
        <v>-3680.1715952343002</v>
      </c>
      <c r="W157" s="179">
        <f t="shared" ca="1" si="574"/>
        <v>-5043.4622836683484</v>
      </c>
      <c r="X157" s="179">
        <f t="shared" ca="1" si="574"/>
        <v>-6812.0095120359965</v>
      </c>
      <c r="Y157" s="179">
        <f t="shared" ca="1" si="574"/>
        <v>-9080.0659157679147</v>
      </c>
      <c r="Z157" s="179">
        <f t="shared" ca="1" si="574"/>
        <v>-11957.709986634</v>
      </c>
      <c r="AA157" s="179">
        <f t="shared" ca="1" si="574"/>
        <v>-15572.957221537075</v>
      </c>
      <c r="AB157" s="179">
        <f t="shared" ca="1" si="574"/>
        <v>-20073.681829335026</v>
      </c>
      <c r="AC157" s="179">
        <f t="shared" ca="1" si="574"/>
        <v>-25629.617339987646</v>
      </c>
      <c r="AD157" s="179">
        <f t="shared" ca="1" si="574"/>
        <v>-32434.438709840782</v>
      </c>
      <c r="AE157" s="179">
        <f t="shared" ca="1" si="574"/>
        <v>-40707.920916755786</v>
      </c>
      <c r="AF157" s="179">
        <f t="shared" ca="1" si="574"/>
        <v>-50698.169241879041</v>
      </c>
      <c r="AG157" s="179">
        <f t="shared" ca="1" si="574"/>
        <v>-62683.916746529401</v>
      </c>
      <c r="AH157" s="179">
        <f t="shared" ca="1" si="574"/>
        <v>-76976.884859758196</v>
      </c>
      <c r="AI157" s="179">
        <f t="shared" ca="1" si="574"/>
        <v>-93924.203476980139</v>
      </c>
      <c r="AJ157" s="179">
        <f t="shared" ca="1" si="574"/>
        <v>-113910.88751277405</v>
      </c>
      <c r="AK157" s="179">
        <f t="shared" ca="1" si="574"/>
        <v>-137362.36743089385</v>
      </c>
      <c r="AL157" s="179">
        <f t="shared" ca="1" si="574"/>
        <v>-164747.07187158079</v>
      </c>
      <c r="AM157" s="179">
        <f t="shared" ca="1" si="574"/>
        <v>-196579.06109166777</v>
      </c>
      <c r="AN157" s="179">
        <f t="shared" ca="1" si="574"/>
        <v>-233420.71050998356</v>
      </c>
      <c r="AO157" s="179">
        <f t="shared" ca="1" si="574"/>
        <v>-275885.44419492153</v>
      </c>
      <c r="AP157" s="179">
        <f t="shared" ca="1" si="574"/>
        <v>-324640.51863115618</v>
      </c>
    </row>
    <row r="158" spans="1:42" s="182" customFormat="1" ht="15.75" hidden="1" x14ac:dyDescent="0.25">
      <c r="A158" s="139" t="s">
        <v>87</v>
      </c>
      <c r="B158" s="180">
        <v>0.85</v>
      </c>
      <c r="C158" s="180">
        <f>B158</f>
        <v>0.85</v>
      </c>
      <c r="D158" s="180">
        <f t="shared" ref="D158:AP158" si="575">C158</f>
        <v>0.85</v>
      </c>
      <c r="E158" s="180">
        <f t="shared" si="575"/>
        <v>0.85</v>
      </c>
      <c r="F158" s="180">
        <f t="shared" si="575"/>
        <v>0.85</v>
      </c>
      <c r="G158" s="180">
        <f t="shared" si="575"/>
        <v>0.85</v>
      </c>
      <c r="H158" s="180">
        <f t="shared" si="575"/>
        <v>0.85</v>
      </c>
      <c r="I158" s="180">
        <f t="shared" si="575"/>
        <v>0.85</v>
      </c>
      <c r="J158" s="180">
        <f t="shared" si="575"/>
        <v>0.85</v>
      </c>
      <c r="K158" s="181">
        <f t="shared" si="575"/>
        <v>0.85</v>
      </c>
      <c r="L158" s="180">
        <f t="shared" si="575"/>
        <v>0.85</v>
      </c>
      <c r="M158" s="180">
        <f t="shared" si="575"/>
        <v>0.85</v>
      </c>
      <c r="N158" s="180">
        <f t="shared" si="575"/>
        <v>0.85</v>
      </c>
      <c r="O158" s="180">
        <f t="shared" si="575"/>
        <v>0.85</v>
      </c>
      <c r="P158" s="180">
        <f t="shared" si="575"/>
        <v>0.85</v>
      </c>
      <c r="Q158" s="180">
        <f t="shared" si="575"/>
        <v>0.85</v>
      </c>
      <c r="R158" s="180">
        <f t="shared" si="575"/>
        <v>0.85</v>
      </c>
      <c r="S158" s="180">
        <f t="shared" si="575"/>
        <v>0.85</v>
      </c>
      <c r="T158" s="180">
        <f t="shared" si="575"/>
        <v>0.85</v>
      </c>
      <c r="U158" s="180">
        <f t="shared" si="575"/>
        <v>0.85</v>
      </c>
      <c r="V158" s="180">
        <f t="shared" si="575"/>
        <v>0.85</v>
      </c>
      <c r="W158" s="180">
        <f t="shared" si="575"/>
        <v>0.85</v>
      </c>
      <c r="X158" s="180">
        <f t="shared" si="575"/>
        <v>0.85</v>
      </c>
      <c r="Y158" s="180">
        <f t="shared" si="575"/>
        <v>0.85</v>
      </c>
      <c r="Z158" s="180">
        <f t="shared" si="575"/>
        <v>0.85</v>
      </c>
      <c r="AA158" s="180">
        <f t="shared" si="575"/>
        <v>0.85</v>
      </c>
      <c r="AB158" s="180">
        <f t="shared" si="575"/>
        <v>0.85</v>
      </c>
      <c r="AC158" s="180">
        <f t="shared" si="575"/>
        <v>0.85</v>
      </c>
      <c r="AD158" s="180">
        <f t="shared" si="575"/>
        <v>0.85</v>
      </c>
      <c r="AE158" s="180">
        <f t="shared" si="575"/>
        <v>0.85</v>
      </c>
      <c r="AF158" s="180">
        <f t="shared" si="575"/>
        <v>0.85</v>
      </c>
      <c r="AG158" s="180">
        <f t="shared" si="575"/>
        <v>0.85</v>
      </c>
      <c r="AH158" s="180">
        <f t="shared" si="575"/>
        <v>0.85</v>
      </c>
      <c r="AI158" s="180">
        <f t="shared" si="575"/>
        <v>0.85</v>
      </c>
      <c r="AJ158" s="180">
        <f t="shared" si="575"/>
        <v>0.85</v>
      </c>
      <c r="AK158" s="180">
        <f t="shared" si="575"/>
        <v>0.85</v>
      </c>
      <c r="AL158" s="180">
        <f t="shared" si="575"/>
        <v>0.85</v>
      </c>
      <c r="AM158" s="180">
        <f t="shared" si="575"/>
        <v>0.85</v>
      </c>
      <c r="AN158" s="180">
        <f t="shared" si="575"/>
        <v>0.85</v>
      </c>
      <c r="AO158" s="180">
        <f t="shared" si="575"/>
        <v>0.85</v>
      </c>
      <c r="AP158" s="180">
        <f t="shared" si="575"/>
        <v>0.85</v>
      </c>
    </row>
    <row r="159" spans="1:42" ht="31.5" hidden="1" x14ac:dyDescent="0.25">
      <c r="A159" s="139" t="s">
        <v>88</v>
      </c>
      <c r="B159" s="179">
        <f t="shared" ref="B159:AP159" si="576">1-(EXP(-0.00055*B137))</f>
        <v>9.4257291976451496E-2</v>
      </c>
      <c r="C159" s="178">
        <f t="shared" si="576"/>
        <v>0.17963014686216894</v>
      </c>
      <c r="D159" s="178">
        <f t="shared" si="576"/>
        <v>0.25695598763806016</v>
      </c>
      <c r="E159" s="178">
        <f t="shared" si="576"/>
        <v>0.32699330406261362</v>
      </c>
      <c r="F159" s="178">
        <f t="shared" si="576"/>
        <v>0.39042909270369075</v>
      </c>
      <c r="G159" s="178">
        <f t="shared" si="576"/>
        <v>0.4478855956930694</v>
      </c>
      <c r="H159" s="178">
        <f t="shared" si="576"/>
        <v>0.49992640430423241</v>
      </c>
      <c r="I159" s="178">
        <f t="shared" si="576"/>
        <v>0.54706198722344235</v>
      </c>
      <c r="J159" s="178">
        <f t="shared" si="576"/>
        <v>0.58975469774095601</v>
      </c>
      <c r="K159" s="178">
        <f t="shared" si="576"/>
        <v>0.62842330897795429</v>
      </c>
      <c r="L159" s="178">
        <f t="shared" si="576"/>
        <v>0.66344712163526298</v>
      </c>
      <c r="M159" s="178">
        <f t="shared" si="576"/>
        <v>0.69516968455680317</v>
      </c>
      <c r="N159" s="178">
        <f t="shared" si="576"/>
        <v>0.72390216460280643</v>
      </c>
      <c r="O159" s="178">
        <f t="shared" si="576"/>
        <v>0.74992639888790591</v>
      </c>
      <c r="P159" s="178">
        <f t="shared" si="576"/>
        <v>0.77349765932353121</v>
      </c>
      <c r="Q159" s="178">
        <f t="shared" si="576"/>
        <v>0.79484715658202287</v>
      </c>
      <c r="R159" s="178">
        <f t="shared" si="576"/>
        <v>0.81418430804387032</v>
      </c>
      <c r="S159" s="178">
        <f t="shared" si="576"/>
        <v>0.83169879197438568</v>
      </c>
      <c r="T159" s="178">
        <f t="shared" si="576"/>
        <v>0.84756240807924543</v>
      </c>
      <c r="U159" s="178">
        <f t="shared" si="576"/>
        <v>0.86193076268910718</v>
      </c>
      <c r="V159" s="178">
        <f t="shared" si="576"/>
        <v>0.87494479510328604</v>
      </c>
      <c r="W159" s="178">
        <f t="shared" si="576"/>
        <v>0.88673216006441047</v>
      </c>
      <c r="X159" s="178">
        <f t="shared" si="576"/>
        <v>0.89740847992476136</v>
      </c>
      <c r="Y159" s="178">
        <f t="shared" si="576"/>
        <v>0.90707847878680115</v>
      </c>
      <c r="Z159" s="178">
        <f t="shared" si="576"/>
        <v>0.91583700974268967</v>
      </c>
      <c r="AA159" s="178">
        <f t="shared" si="576"/>
        <v>0.92376998528898424</v>
      </c>
      <c r="AB159" s="178">
        <f t="shared" si="576"/>
        <v>0.9309552200429696</v>
      </c>
      <c r="AC159" s="178">
        <f t="shared" si="576"/>
        <v>0.93746319402682921</v>
      </c>
      <c r="AD159" s="178">
        <f t="shared" si="576"/>
        <v>0.94335774400671712</v>
      </c>
      <c r="AE159" s="178">
        <f t="shared" si="576"/>
        <v>0.94869668966808085</v>
      </c>
      <c r="AF159" s="178">
        <f t="shared" si="576"/>
        <v>0.95353240076939505</v>
      </c>
      <c r="AG159" s="178">
        <f t="shared" si="576"/>
        <v>0.95791231083751893</v>
      </c>
      <c r="AH159" s="178">
        <f t="shared" si="576"/>
        <v>0.96187938244352111</v>
      </c>
      <c r="AI159" s="178">
        <f t="shared" si="576"/>
        <v>0.9654725286228647</v>
      </c>
      <c r="AJ159" s="178">
        <f t="shared" si="576"/>
        <v>0.96872699457366795</v>
      </c>
      <c r="AK159" s="178">
        <f t="shared" si="576"/>
        <v>0.97167470337711892</v>
      </c>
      <c r="AL159" s="178">
        <f t="shared" si="576"/>
        <v>0.97434456913122136</v>
      </c>
      <c r="AM159" s="178">
        <f t="shared" si="576"/>
        <v>0.97676278056940147</v>
      </c>
      <c r="AN159" s="178">
        <f t="shared" si="576"/>
        <v>0.9789530579459923</v>
      </c>
      <c r="AO159" s="178">
        <f t="shared" si="576"/>
        <v>0.98093688570838833</v>
      </c>
      <c r="AP159" s="178">
        <f t="shared" si="576"/>
        <v>0.98273372323815322</v>
      </c>
    </row>
    <row r="160" spans="1:42" s="171" customFormat="1" ht="15.75" hidden="1" x14ac:dyDescent="0.25">
      <c r="A160" s="39" t="s">
        <v>89</v>
      </c>
      <c r="B160" s="183">
        <f t="shared" ref="B160:AP160" ca="1" si="577">ABS(($C124*($B124*B$139)^5+$D124*($B124*B$139)^4+ $E124*($B124*B$139)^3+$F124*($B124*B$139)^2+$G124*($B124*B$139)^1+$H124))</f>
        <v>21.855575034075997</v>
      </c>
      <c r="C160" s="183">
        <f t="shared" ca="1" si="577"/>
        <v>28.496220155185199</v>
      </c>
      <c r="D160" s="183">
        <f t="shared" ca="1" si="577"/>
        <v>30.272612311271828</v>
      </c>
      <c r="E160" s="183">
        <f t="shared" ca="1" si="577"/>
        <v>31.850703327183993</v>
      </c>
      <c r="F160" s="183">
        <f t="shared" ca="1" si="577"/>
        <v>34.036280970499348</v>
      </c>
      <c r="G160" s="183">
        <f t="shared" ca="1" si="577"/>
        <v>35.599530017350673</v>
      </c>
      <c r="H160" s="183">
        <f t="shared" ca="1" si="577"/>
        <v>35.099593318251294</v>
      </c>
      <c r="I160" s="183">
        <f t="shared" ca="1" si="577"/>
        <v>32.709132863921866</v>
      </c>
      <c r="J160" s="183">
        <f t="shared" ca="1" si="577"/>
        <v>32.038890851113763</v>
      </c>
      <c r="K160" s="183">
        <f t="shared" ca="1" si="577"/>
        <v>41.962250748437043</v>
      </c>
      <c r="L160" s="183">
        <f t="shared" ca="1" si="577"/>
        <v>78.439798362183978</v>
      </c>
      <c r="M160" s="183">
        <f t="shared" ca="1" si="577"/>
        <v>166.34388290215759</v>
      </c>
      <c r="N160" s="183">
        <f t="shared" ca="1" si="577"/>
        <v>341.2831780474927</v>
      </c>
      <c r="O160" s="183">
        <f t="shared" ca="1" si="577"/>
        <v>651.42724301248722</v>
      </c>
      <c r="P160" s="183">
        <f t="shared" ca="1" si="577"/>
        <v>1159.3310836124249</v>
      </c>
      <c r="Q160" s="183">
        <f t="shared" ca="1" si="577"/>
        <v>1943.7597133293984</v>
      </c>
      <c r="R160" s="183">
        <f t="shared" ca="1" si="577"/>
        <v>3101.5127143781328</v>
      </c>
      <c r="S160" s="183">
        <f t="shared" ca="1" si="577"/>
        <v>4749.2487987718341</v>
      </c>
      <c r="T160" s="183">
        <f t="shared" ca="1" si="577"/>
        <v>7025.3103693879602</v>
      </c>
      <c r="U160" s="183">
        <f t="shared" ca="1" si="577"/>
        <v>10091.548081034136</v>
      </c>
      <c r="V160" s="183">
        <f t="shared" ca="1" si="577"/>
        <v>14135.145401513881</v>
      </c>
      <c r="W160" s="183">
        <f t="shared" ca="1" si="577"/>
        <v>19370.443172692529</v>
      </c>
      <c r="X160" s="183">
        <f t="shared" ca="1" si="577"/>
        <v>26040.764171562885</v>
      </c>
      <c r="Y160" s="183">
        <f t="shared" ca="1" si="577"/>
        <v>34420.237671311341</v>
      </c>
      <c r="Z160" s="183">
        <f t="shared" ca="1" si="577"/>
        <v>44815.624002383433</v>
      </c>
      <c r="AA160" s="183">
        <f t="shared" ca="1" si="577"/>
        <v>57568.139113549711</v>
      </c>
      <c r="AB160" s="183">
        <f t="shared" ca="1" si="577"/>
        <v>73055.279132971802</v>
      </c>
      <c r="AC160" s="183">
        <f t="shared" ca="1" si="577"/>
        <v>91692.644929267815</v>
      </c>
      <c r="AD160" s="183">
        <f t="shared" ca="1" si="577"/>
        <v>113935.76667257871</v>
      </c>
      <c r="AE160" s="183">
        <f t="shared" ca="1" si="577"/>
        <v>140281.92839563332</v>
      </c>
      <c r="AF160" s="183">
        <f t="shared" ca="1" si="577"/>
        <v>171271.99255481525</v>
      </c>
      <c r="AG160" s="183">
        <f t="shared" ca="1" si="577"/>
        <v>207492.22459122792</v>
      </c>
      <c r="AH160" s="183">
        <f t="shared" ca="1" si="577"/>
        <v>249576.11749176012</v>
      </c>
      <c r="AI160" s="183">
        <f t="shared" ca="1" si="577"/>
        <v>298206.2163501532</v>
      </c>
      <c r="AJ160" s="183">
        <f t="shared" ca="1" si="577"/>
        <v>354115.94292806555</v>
      </c>
      <c r="AK160" s="183">
        <f t="shared" ca="1" si="577"/>
        <v>418091.4202161383</v>
      </c>
      <c r="AL160" s="183">
        <f t="shared" ca="1" si="577"/>
        <v>490973.29699506302</v>
      </c>
      <c r="AM160" s="183">
        <f t="shared" ca="1" si="577"/>
        <v>573658.57239664404</v>
      </c>
      <c r="AN160" s="183">
        <f t="shared" ca="1" si="577"/>
        <v>667102.4204648704</v>
      </c>
      <c r="AO160" s="183">
        <f t="shared" ca="1" si="577"/>
        <v>772320.01471697341</v>
      </c>
      <c r="AP160" s="183">
        <f t="shared" ca="1" si="577"/>
        <v>890388.35270450043</v>
      </c>
    </row>
    <row r="161" spans="1:42" ht="15.75" hidden="1" x14ac:dyDescent="0.25">
      <c r="A161" s="39" t="s">
        <v>90</v>
      </c>
      <c r="B161" s="184">
        <f ca="1">1-B157</f>
        <v>0.12120100123989797</v>
      </c>
      <c r="C161" s="184">
        <f t="shared" ref="C161:AP161" ca="1" si="578">1-C157</f>
        <v>0.21483316417948295</v>
      </c>
      <c r="D161" s="184">
        <f t="shared" ca="1" si="578"/>
        <v>0.29197597539741305</v>
      </c>
      <c r="E161" s="184">
        <f t="shared" ca="1" si="578"/>
        <v>0.38471580893148261</v>
      </c>
      <c r="F161" s="184">
        <f t="shared" ca="1" si="578"/>
        <v>0.6442694184588309</v>
      </c>
      <c r="G161" s="184">
        <f t="shared" ca="1" si="578"/>
        <v>1.356767433194892</v>
      </c>
      <c r="H161" s="184">
        <f t="shared" ca="1" si="578"/>
        <v>2.7617914987494103</v>
      </c>
      <c r="I161" s="184">
        <f t="shared" ca="1" si="578"/>
        <v>5.2226606231968065</v>
      </c>
      <c r="J161" s="184">
        <f t="shared" ca="1" si="578"/>
        <v>10.02405749010066</v>
      </c>
      <c r="K161" s="184">
        <f t="shared" ca="1" si="578"/>
        <v>20.799598752057271</v>
      </c>
      <c r="L161" s="184">
        <f t="shared" ca="1" si="578"/>
        <v>41.228848759700497</v>
      </c>
      <c r="M161" s="184">
        <f t="shared" ca="1" si="578"/>
        <v>76.850791357437657</v>
      </c>
      <c r="N161" s="184">
        <f t="shared" ca="1" si="578"/>
        <v>135.50364921542845</v>
      </c>
      <c r="O161" s="184">
        <f t="shared" ca="1" si="578"/>
        <v>227.8913718255881</v>
      </c>
      <c r="P161" s="184">
        <f t="shared" ca="1" si="578"/>
        <v>368.25677170755273</v>
      </c>
      <c r="Q161" s="184">
        <f t="shared" ca="1" si="578"/>
        <v>575.15762101842972</v>
      </c>
      <c r="R161" s="184">
        <f t="shared" ca="1" si="578"/>
        <v>872.34671285058403</v>
      </c>
      <c r="S161" s="184">
        <f t="shared" ca="1" si="578"/>
        <v>1289.7578916000971</v>
      </c>
      <c r="T161" s="184">
        <f t="shared" ca="1" si="578"/>
        <v>1864.9717911151818</v>
      </c>
      <c r="U161" s="184">
        <f t="shared" ca="1" si="578"/>
        <v>2643.6031679502548</v>
      </c>
      <c r="V161" s="184">
        <f t="shared" ca="1" si="578"/>
        <v>3681.1715952343002</v>
      </c>
      <c r="W161" s="184">
        <f t="shared" ca="1" si="578"/>
        <v>5044.4622836683484</v>
      </c>
      <c r="X161" s="184">
        <f t="shared" ca="1" si="578"/>
        <v>6813.0095120359965</v>
      </c>
      <c r="Y161" s="184">
        <f t="shared" ca="1" si="578"/>
        <v>9081.0659157679147</v>
      </c>
      <c r="Z161" s="184">
        <f t="shared" ca="1" si="578"/>
        <v>11958.709986634</v>
      </c>
      <c r="AA161" s="184">
        <f t="shared" ca="1" si="578"/>
        <v>15573.957221537075</v>
      </c>
      <c r="AB161" s="184">
        <f t="shared" ca="1" si="578"/>
        <v>20074.681829335026</v>
      </c>
      <c r="AC161" s="184">
        <f t="shared" ca="1" si="578"/>
        <v>25630.617339987646</v>
      </c>
      <c r="AD161" s="184">
        <f t="shared" ca="1" si="578"/>
        <v>32435.438709840782</v>
      </c>
      <c r="AE161" s="184">
        <f t="shared" ca="1" si="578"/>
        <v>40708.920916755786</v>
      </c>
      <c r="AF161" s="184">
        <f t="shared" ca="1" si="578"/>
        <v>50699.169241879041</v>
      </c>
      <c r="AG161" s="184">
        <f t="shared" ca="1" si="578"/>
        <v>62684.916746529401</v>
      </c>
      <c r="AH161" s="184">
        <f t="shared" ca="1" si="578"/>
        <v>76977.884859758196</v>
      </c>
      <c r="AI161" s="184">
        <f t="shared" ca="1" si="578"/>
        <v>93925.203476980139</v>
      </c>
      <c r="AJ161" s="184">
        <f t="shared" ca="1" si="578"/>
        <v>113911.88751277405</v>
      </c>
      <c r="AK161" s="184">
        <f t="shared" ca="1" si="578"/>
        <v>137363.36743089385</v>
      </c>
      <c r="AL161" s="184">
        <f t="shared" ca="1" si="578"/>
        <v>164748.07187158079</v>
      </c>
      <c r="AM161" s="184">
        <f t="shared" ca="1" si="578"/>
        <v>196580.06109166777</v>
      </c>
      <c r="AN161" s="184">
        <f t="shared" ca="1" si="578"/>
        <v>233421.71050998356</v>
      </c>
      <c r="AO161" s="184">
        <f t="shared" ca="1" si="578"/>
        <v>275886.44419492153</v>
      </c>
      <c r="AP161" s="184">
        <f t="shared" ca="1" si="578"/>
        <v>324641.51863115618</v>
      </c>
    </row>
    <row r="162" spans="1:42" ht="15.75" hidden="1" x14ac:dyDescent="0.25">
      <c r="A162" s="39" t="s">
        <v>91</v>
      </c>
      <c r="B162" s="183">
        <f ca="1">B149+B146+B141</f>
        <v>1.1399201256856133</v>
      </c>
      <c r="C162" s="183">
        <f t="shared" ref="C162:AP162" ca="1" si="579">C149+C146+C141</f>
        <v>1.7399213565022598</v>
      </c>
      <c r="D162" s="183">
        <f t="shared" ca="1" si="579"/>
        <v>2.1551658517572925</v>
      </c>
      <c r="E162" s="183">
        <f t="shared" ca="1" si="579"/>
        <v>3.2632584245718101</v>
      </c>
      <c r="F162" s="183">
        <f t="shared" ca="1" si="579"/>
        <v>6.1514751813719446</v>
      </c>
      <c r="G162" s="183">
        <f t="shared" ca="1" si="579"/>
        <v>11.453403979300649</v>
      </c>
      <c r="H162" s="183">
        <f t="shared" ca="1" si="579"/>
        <v>18.344537620417356</v>
      </c>
      <c r="I162" s="183">
        <f t="shared" ca="1" si="579"/>
        <v>23.129785104786158</v>
      </c>
      <c r="J162" s="183">
        <f t="shared" ca="1" si="579"/>
        <v>31.694219592495159</v>
      </c>
      <c r="K162" s="183">
        <f t="shared" ca="1" si="579"/>
        <v>82.466475885857278</v>
      </c>
      <c r="L162" s="183">
        <f t="shared" ca="1" si="579"/>
        <v>202.67411862340452</v>
      </c>
      <c r="M162" s="183">
        <f t="shared" ca="1" si="579"/>
        <v>436.84371866282339</v>
      </c>
      <c r="N162" s="183">
        <f t="shared" ca="1" si="579"/>
        <v>850.36089259599544</v>
      </c>
      <c r="O162" s="183">
        <f t="shared" ca="1" si="579"/>
        <v>1534.5803102627995</v>
      </c>
      <c r="P162" s="183">
        <f t="shared" ca="1" si="579"/>
        <v>2613.0888411882806</v>
      </c>
      <c r="Q162" s="183">
        <f t="shared" ca="1" si="579"/>
        <v>4249.0193275353504</v>
      </c>
      <c r="R162" s="183">
        <f t="shared" ca="1" si="579"/>
        <v>6653.4023818843634</v>
      </c>
      <c r="S162" s="183">
        <f t="shared" ca="1" si="579"/>
        <v>10094.569085869258</v>
      </c>
      <c r="T162" s="183">
        <f t="shared" ca="1" si="579"/>
        <v>14908.620641412739</v>
      </c>
      <c r="U162" s="183">
        <f t="shared" ca="1" si="579"/>
        <v>21510.975897053573</v>
      </c>
      <c r="V162" s="183">
        <f t="shared" ca="1" si="579"/>
        <v>30408.999398850185</v>
      </c>
      <c r="W162" s="183">
        <f t="shared" ca="1" si="579"/>
        <v>42215.703355599653</v>
      </c>
      <c r="X162" s="183">
        <f t="shared" ca="1" si="579"/>
        <v>57664.507711179707</v>
      </c>
      <c r="Y162" s="183">
        <f t="shared" ca="1" si="579"/>
        <v>77627.640560071333</v>
      </c>
      <c r="Z162" s="183">
        <f t="shared" ca="1" si="579"/>
        <v>103128.19575189326</v>
      </c>
      <c r="AA162" s="183">
        <f t="shared" ca="1" si="579"/>
        <v>135360.06638146454</v>
      </c>
      <c r="AB162" s="183">
        <f t="shared" ca="1" si="579"/>
        <v>175706.69167048595</v>
      </c>
      <c r="AC162" s="183">
        <f t="shared" ca="1" si="579"/>
        <v>225760.61100571536</v>
      </c>
      <c r="AD162" s="183">
        <f t="shared" ca="1" si="579"/>
        <v>287343.84755467111</v>
      </c>
      <c r="AE162" s="183">
        <f t="shared" ca="1" si="579"/>
        <v>362529.07276198693</v>
      </c>
      <c r="AF162" s="183">
        <f t="shared" ca="1" si="579"/>
        <v>453661.50453123444</v>
      </c>
      <c r="AG162" s="183">
        <f t="shared" ca="1" si="579"/>
        <v>563381.49453102169</v>
      </c>
      <c r="AH162" s="183">
        <f t="shared" ca="1" si="579"/>
        <v>694647.7636968703</v>
      </c>
      <c r="AI162" s="183">
        <f t="shared" ca="1" si="579"/>
        <v>850761.24945750507</v>
      </c>
      <c r="AJ162" s="183">
        <f t="shared" ca="1" si="579"/>
        <v>1035389.5332997356</v>
      </c>
      <c r="AK162" s="183">
        <f t="shared" ca="1" si="579"/>
        <v>1252591.8227965587</v>
      </c>
      <c r="AL162" s="183">
        <f t="shared" ca="1" si="579"/>
        <v>1506844.4679587185</v>
      </c>
      <c r="AM162" s="183">
        <f t="shared" ca="1" si="579"/>
        <v>1803066.9975433282</v>
      </c>
      <c r="AN162" s="183">
        <f t="shared" ca="1" si="579"/>
        <v>2146648.6665956648</v>
      </c>
      <c r="AO162" s="183">
        <f t="shared" ca="1" si="579"/>
        <v>2543475.5118665504</v>
      </c>
      <c r="AP162" s="183">
        <f t="shared" ca="1" si="579"/>
        <v>2999957.916718326</v>
      </c>
    </row>
    <row r="163" spans="1:42" ht="15.75" hidden="1" x14ac:dyDescent="0.25">
      <c r="A163" s="39" t="s">
        <v>92</v>
      </c>
      <c r="B163" s="184">
        <f ca="1">B154/'Единичные ставки+критерии'!$W$2</f>
        <v>4.1096455087728204E-2</v>
      </c>
      <c r="C163" s="184">
        <f ca="1">C154/'Единичные ставки+критерии'!$W$2</f>
        <v>7.992051355559146E-2</v>
      </c>
      <c r="D163" s="183">
        <f ca="1">D154/'Единичные ставки+критерии'!$W$2</f>
        <v>0.11820076685017121</v>
      </c>
      <c r="E163" s="183">
        <f ca="1">E154/'Единичные ставки+критерии'!$W$2</f>
        <v>0.15832851088638306</v>
      </c>
      <c r="F163" s="183">
        <f ca="1">F154/'Единичные ставки+критерии'!$W$2</f>
        <v>0.24589608884384023</v>
      </c>
      <c r="G163" s="183">
        <f ca="1">G154/'Единичные ставки+критерии'!$W$2</f>
        <v>0.48717354627158038</v>
      </c>
      <c r="H163" s="183">
        <f ca="1">H154/'Единичные ставки+критерии'!$W$2</f>
        <v>1.0005640932738973</v>
      </c>
      <c r="I163" s="183">
        <f ca="1">I154/'Единичные ставки+критерии'!$W$2</f>
        <v>1.996780627400156</v>
      </c>
      <c r="J163" s="183">
        <f ca="1">J154/'Единичные ставки+критерии'!$W$2</f>
        <v>3.9307231691600428</v>
      </c>
      <c r="K163" s="183">
        <f ca="1">K154/'Единичные ставки+критерии'!$W$2</f>
        <v>7.7636843420785624</v>
      </c>
      <c r="L163" s="183">
        <f ca="1">L154/'Единичные ставки+критерии'!$W$2</f>
        <v>14.625630117870765</v>
      </c>
      <c r="M163" s="183">
        <f ca="1">M154/'Единичные ставки+критерии'!$W$2</f>
        <v>26.153471466977944</v>
      </c>
      <c r="N163" s="183">
        <f ca="1">N154/'Единичные ставки+критерии'!$W$2</f>
        <v>44.612810989175273</v>
      </c>
      <c r="O163" s="183">
        <f ca="1">O154/'Единичные ставки+критерии'!$W$2</f>
        <v>73.047730782524482</v>
      </c>
      <c r="P163" s="183">
        <f ca="1">P154/'Единичные ставки+критерии'!$W$2</f>
        <v>115.45582625890493</v>
      </c>
      <c r="Q163" s="183">
        <f ca="1">Q154/'Единичные ставки+критерии'!$W$2</f>
        <v>176.98828769859057</v>
      </c>
      <c r="R163" s="183">
        <f ca="1">R154/'Единичные ставки+критерии'!$W$2</f>
        <v>264.17551963376144</v>
      </c>
      <c r="S163" s="183">
        <f ca="1">S154/'Единичные ставки+критерии'!$W$2</f>
        <v>385.17886676678609</v>
      </c>
      <c r="T163" s="183">
        <f ca="1">T154/'Единичные ставки+критерии'!$W$2</f>
        <v>550.43013026661231</v>
      </c>
      <c r="U163" s="183">
        <f ca="1">U154/'Единичные ставки+критерии'!$W$2</f>
        <v>772.14588528144066</v>
      </c>
      <c r="V163" s="183">
        <f ca="1">V154/'Единичные ставки+критерии'!$W$2</f>
        <v>1065.2009967261224</v>
      </c>
      <c r="W163" s="183">
        <f ca="1">W154/'Единичные ставки+критерии'!$W$2</f>
        <v>1447.4321253463331</v>
      </c>
      <c r="X163" s="183">
        <f ca="1">X154/'Единичные ставки+критерии'!$W$2</f>
        <v>1939.9816699190503</v>
      </c>
      <c r="Y163" s="183">
        <f ca="1">Y154/'Единичные ставки+критерии'!$W$2</f>
        <v>2567.7165016335862</v>
      </c>
      <c r="Z163" s="183">
        <f ca="1">Z154/'Единичные ставки+критерии'!$W$2</f>
        <v>3359.6483878077224</v>
      </c>
      <c r="AA163" s="183">
        <f ca="1">AA154/'Единичные ставки+критерии'!$W$2</f>
        <v>4349.3991756473415</v>
      </c>
      <c r="AB163" s="183">
        <f ca="1">AB154/'Единичные ставки+критерии'!$W$2</f>
        <v>5575.6815283227479</v>
      </c>
      <c r="AC163" s="183">
        <f ca="1">AC154/'Единичные ставки+критерии'!$W$2</f>
        <v>7082.8004903605297</v>
      </c>
      <c r="AD163" s="183">
        <f ca="1">AD154/'Единичные ставки+критерии'!$W$2</f>
        <v>8921.1748235739942</v>
      </c>
      <c r="AE163" s="183">
        <f ca="1">AE154/'Единичные ставки+критерии'!$W$2</f>
        <v>11147.876895998783</v>
      </c>
      <c r="AF163" s="183">
        <f ca="1">AF154/'Единичные ставки+критерии'!$W$2</f>
        <v>13827.18995249028</v>
      </c>
      <c r="AG163" s="183">
        <f ca="1">AG154/'Единичные ставки+критерии'!$W$2</f>
        <v>17031.181671554608</v>
      </c>
      <c r="AH163" s="183">
        <f ca="1">AH154/'Единичные ставки+критерии'!$W$2</f>
        <v>20840.293013961509</v>
      </c>
      <c r="AI163" s="183">
        <f ca="1">AI154/'Единичные ставки+критерии'!$W$2</f>
        <v>25343.941489542667</v>
      </c>
      <c r="AJ163" s="183">
        <f ca="1">AJ154/'Единичные ставки+критерии'!$W$2</f>
        <v>30641.138103903104</v>
      </c>
      <c r="AK163" s="183">
        <f ca="1">AK154/'Единичные ставки+критерии'!$W$2</f>
        <v>36841.117391181535</v>
      </c>
      <c r="AL163" s="183">
        <f ca="1">AL154/'Единичные ставки+критерии'!$W$2</f>
        <v>44063.98008734941</v>
      </c>
      <c r="AM163" s="183">
        <f ca="1">AM154/'Единичные ставки+критерии'!$W$2</f>
        <v>52441.348146120239</v>
      </c>
      <c r="AN163" s="183">
        <f ca="1">AN154/'Единичные ставки+критерии'!$W$2</f>
        <v>62117.031942186426</v>
      </c>
      <c r="AO163" s="183">
        <f ca="1">AO154/'Единичные ставки+критерии'!$W$2</f>
        <v>73247.709640686604</v>
      </c>
      <c r="AP163" s="183">
        <f ca="1">AP154/'Единичные ставки+критерии'!$W$2</f>
        <v>86003.618834705368</v>
      </c>
    </row>
    <row r="164" spans="1:42" ht="15.75" hidden="1" x14ac:dyDescent="0.25">
      <c r="A164" s="39" t="s">
        <v>93</v>
      </c>
      <c r="B164" s="185">
        <f ca="1">B154/'Единичные ставки+критерии'!$W$1</f>
        <v>4.9315746105273849E-3</v>
      </c>
      <c r="C164" s="185">
        <f ca="1">C154/'Единичные ставки+критерии'!$W$1</f>
        <v>9.5904616266709753E-3</v>
      </c>
      <c r="D164" s="185">
        <f ca="1">D154/'Единичные ставки+критерии'!$W$1</f>
        <v>1.4184092022020546E-2</v>
      </c>
      <c r="E164" s="185">
        <f ca="1">E154/'Единичные ставки+критерии'!$W$1</f>
        <v>1.8999421306365966E-2</v>
      </c>
      <c r="F164" s="185">
        <f ca="1">F154/'Единичные ставки+критерии'!$W$1</f>
        <v>2.9507530661260828E-2</v>
      </c>
      <c r="G164" s="185">
        <f ca="1">G154/'Единичные ставки+критерии'!$W$1</f>
        <v>5.8460825552589642E-2</v>
      </c>
      <c r="H164" s="185">
        <f ca="1">H154/'Единичные ставки+критерии'!$W$1</f>
        <v>0.12006769119286767</v>
      </c>
      <c r="I164" s="185">
        <f ca="1">I154/'Единичные ставки+критерии'!$W$1</f>
        <v>0.23961367528801872</v>
      </c>
      <c r="J164" s="185">
        <f ca="1">J154/'Единичные ставки+критерии'!$W$1</f>
        <v>0.47168678029920513</v>
      </c>
      <c r="K164" s="185">
        <f ca="1">K154/'Единичные ставки+критерии'!$W$1</f>
        <v>0.93164212104942745</v>
      </c>
      <c r="L164" s="185">
        <f ca="1">L154/'Единичные ставки+критерии'!$W$1</f>
        <v>1.7550756141444919</v>
      </c>
      <c r="M164" s="185">
        <f ca="1">M154/'Единичные ставки+критерии'!$W$1</f>
        <v>3.1384165760373532</v>
      </c>
      <c r="N164" s="185">
        <f ca="1">N154/'Единичные ставки+критерии'!$W$1</f>
        <v>5.3535373187010329</v>
      </c>
      <c r="O164" s="185">
        <f ca="1">O154/'Единичные ставки+критерии'!$W$1</f>
        <v>8.7657276939029369</v>
      </c>
      <c r="P164" s="185">
        <f ca="1">P154/'Единичные ставки+критерии'!$W$1</f>
        <v>13.854699151068592</v>
      </c>
      <c r="Q164" s="185">
        <f ca="1">Q154/'Единичные ставки+критерии'!$W$1</f>
        <v>21.238594523830869</v>
      </c>
      <c r="R164" s="185">
        <f ca="1">R154/'Единичные ставки+критерии'!$W$1</f>
        <v>31.70106235605137</v>
      </c>
      <c r="S164" s="185">
        <f ca="1">S154/'Единичные ставки+критерии'!$W$1</f>
        <v>46.22146401201433</v>
      </c>
      <c r="T164" s="185">
        <f ca="1">T154/'Единичные ставки+критерии'!$W$1</f>
        <v>66.051615631993471</v>
      </c>
      <c r="U164" s="185">
        <f ca="1">U154/'Единичные ставки+критерии'!$W$1</f>
        <v>92.657506233772878</v>
      </c>
      <c r="V164" s="185">
        <f ca="1">V154/'Единичные ставки+критерии'!$W$1</f>
        <v>127.82411960713469</v>
      </c>
      <c r="W164" s="185">
        <f ca="1">W154/'Единичные ставки+критерии'!$W$1</f>
        <v>173.69185504155996</v>
      </c>
      <c r="X164" s="185">
        <f ca="1">X154/'Единичные ставки+критерии'!$W$1</f>
        <v>232.79780039028603</v>
      </c>
      <c r="Y164" s="185">
        <f ca="1">Y154/'Единичные ставки+критерии'!$W$1</f>
        <v>308.12598019603035</v>
      </c>
      <c r="Z164" s="185">
        <f ca="1">Z154/'Единичные ставки+критерии'!$W$1</f>
        <v>403.15780653692673</v>
      </c>
      <c r="AA164" s="185">
        <f ca="1">AA154/'Единичные ставки+критерии'!$W$1</f>
        <v>521.92790107768087</v>
      </c>
      <c r="AB164" s="185">
        <f ca="1">AB154/'Единичные ставки+критерии'!$W$1</f>
        <v>669.08178339872973</v>
      </c>
      <c r="AC164" s="185">
        <f ca="1">AC154/'Единичные ставки+критерии'!$W$1</f>
        <v>849.9360588432636</v>
      </c>
      <c r="AD164" s="185">
        <f ca="1">AD154/'Единичные ставки+критерии'!$W$1</f>
        <v>1070.5409788288794</v>
      </c>
      <c r="AE164" s="185">
        <f ca="1">AE154/'Единичные ставки+критерии'!$W$1</f>
        <v>1337.7452275198541</v>
      </c>
      <c r="AF164" s="185">
        <f ca="1">AF154/'Единичные ставки+критерии'!$W$1</f>
        <v>1659.2627942988336</v>
      </c>
      <c r="AG164" s="185">
        <f ca="1">AG154/'Единичные ставки+критерии'!$W$1</f>
        <v>2043.7418005865532</v>
      </c>
      <c r="AH164" s="185">
        <f ca="1">AH154/'Единичные ставки+критерии'!$W$1</f>
        <v>2500.8351616753812</v>
      </c>
      <c r="AI164" s="185">
        <f ca="1">AI154/'Единичные ставки+критерии'!$W$1</f>
        <v>3041.2729787451199</v>
      </c>
      <c r="AJ164" s="185">
        <f ca="1">AJ154/'Единичные ставки+критерии'!$W$1</f>
        <v>3676.9365724683721</v>
      </c>
      <c r="AK164" s="185">
        <f ca="1">AK154/'Единичные ставки+критерии'!$W$1</f>
        <v>4420.9340869417838</v>
      </c>
      <c r="AL164" s="185">
        <f ca="1">AL154/'Единичные ставки+критерии'!$W$1</f>
        <v>5287.6776104819292</v>
      </c>
      <c r="AM164" s="183">
        <f ca="1">AM154/'Единичные ставки+критерии'!$W$1</f>
        <v>6292.9617775344286</v>
      </c>
      <c r="AN164" s="183">
        <f ca="1">AN154/'Единичные ставки+критерии'!$W$1</f>
        <v>7454.043833062371</v>
      </c>
      <c r="AO164" s="183">
        <f ca="1">AO154/'Единичные ставки+критерии'!$W$1</f>
        <v>8789.7251568823922</v>
      </c>
      <c r="AP164" s="183">
        <f ca="1">AP154/'Единичные ставки+критерии'!$W$1</f>
        <v>10320.434260164644</v>
      </c>
    </row>
    <row r="165" spans="1:42" ht="31.5" hidden="1" x14ac:dyDescent="0.25">
      <c r="A165" s="39" t="s">
        <v>253</v>
      </c>
      <c r="B165" s="186">
        <f ca="1">B142*100/(($B$105*1840+$B$106*2000+$B$107*2000)*4)</f>
        <v>2.5944297313984462E-2</v>
      </c>
      <c r="C165" s="186">
        <f t="shared" ref="C165:AO165" ca="1" si="580">C142*100/(($B$105*1840+$B$106*2000+$B$107*2000)*4)</f>
        <v>0.16751195403707478</v>
      </c>
      <c r="D165" s="186">
        <f t="shared" ca="1" si="580"/>
        <v>0.34364387358452203</v>
      </c>
      <c r="E165" s="186">
        <f t="shared" ca="1" si="580"/>
        <v>0.50429175460186071</v>
      </c>
      <c r="F165" s="186">
        <f t="shared" ca="1" si="580"/>
        <v>0.6249630251585353</v>
      </c>
      <c r="G165" s="186">
        <f t="shared" ca="1" si="580"/>
        <v>0.7012657769415237</v>
      </c>
      <c r="H165" s="186">
        <f t="shared" ca="1" si="580"/>
        <v>0.74345369944896211</v>
      </c>
      <c r="I165" s="186">
        <f t="shared" ca="1" si="580"/>
        <v>0.7709710141837689</v>
      </c>
      <c r="J165" s="186">
        <f t="shared" ca="1" si="580"/>
        <v>0.806997408847275</v>
      </c>
      <c r="K165" s="186">
        <f t="shared" ca="1" si="580"/>
        <v>0.87299297153283639</v>
      </c>
      <c r="L165" s="186">
        <f t="shared" ca="1" si="580"/>
        <v>0.9832431249194914</v>
      </c>
      <c r="M165" s="186">
        <f t="shared" ca="1" si="580"/>
        <v>1.1394035604655204</v>
      </c>
      <c r="N165" s="186">
        <f t="shared" ca="1" si="580"/>
        <v>1.3250451726021479</v>
      </c>
      <c r="O165" s="186">
        <f t="shared" ca="1" si="580"/>
        <v>1.5001989929271298</v>
      </c>
      <c r="P165" s="186">
        <f t="shared" ca="1" si="580"/>
        <v>1.5959011243983221</v>
      </c>
      <c r="Q165" s="186">
        <f t="shared" ca="1" si="580"/>
        <v>1.5087376755274815</v>
      </c>
      <c r="R165" s="186">
        <f t="shared" ca="1" si="580"/>
        <v>1.095389694573619</v>
      </c>
      <c r="S165" s="186">
        <f t="shared" ca="1" si="580"/>
        <v>0.16717810373694073</v>
      </c>
      <c r="T165" s="186">
        <f t="shared" ca="1" si="580"/>
        <v>1.5153913666478378</v>
      </c>
      <c r="U165" s="186">
        <f t="shared" ca="1" si="580"/>
        <v>4.2480832439176437</v>
      </c>
      <c r="V165" s="186">
        <f t="shared" ca="1" si="580"/>
        <v>8.3883873788873924</v>
      </c>
      <c r="W165" s="186">
        <f t="shared" ca="1" si="580"/>
        <v>14.360974011656705</v>
      </c>
      <c r="X165" s="186">
        <f t="shared" ca="1" si="580"/>
        <v>22.663148837415932</v>
      </c>
      <c r="Y165" s="186">
        <f t="shared" ca="1" si="580"/>
        <v>33.870308072252527</v>
      </c>
      <c r="Z165" s="186">
        <f t="shared" ca="1" si="580"/>
        <v>48.641393518957628</v>
      </c>
      <c r="AA165" s="186">
        <f t="shared" ca="1" si="580"/>
        <v>67.724347632832504</v>
      </c>
      <c r="AB165" s="186">
        <f t="shared" ca="1" si="580"/>
        <v>91.961568587494426</v>
      </c>
      <c r="AC165" s="186">
        <f t="shared" ca="1" si="580"/>
        <v>122.29536534068355</v>
      </c>
      <c r="AD165" s="186">
        <f t="shared" ca="1" si="580"/>
        <v>159.77341270006994</v>
      </c>
      <c r="AE165" s="186">
        <f t="shared" ca="1" si="580"/>
        <v>205.55420638905704</v>
      </c>
      <c r="AF165" s="186">
        <f t="shared" ca="1" si="580"/>
        <v>260.91251811259235</v>
      </c>
      <c r="AG165" s="186">
        <f t="shared" ca="1" si="580"/>
        <v>327.24485062296998</v>
      </c>
      <c r="AH165" s="186">
        <f t="shared" ca="1" si="580"/>
        <v>406.07489278564032</v>
      </c>
      <c r="AI165" s="186">
        <f t="shared" ca="1" si="580"/>
        <v>499.05897464501288</v>
      </c>
      <c r="AJ165" s="186">
        <f t="shared" ca="1" si="580"/>
        <v>607.99152249026542</v>
      </c>
      <c r="AK165" s="186">
        <f t="shared" ca="1" si="580"/>
        <v>734.81051392114944</v>
      </c>
      <c r="AL165" s="186">
        <f t="shared" ca="1" si="580"/>
        <v>881.60293291379742</v>
      </c>
      <c r="AM165" s="186">
        <f t="shared" ca="1" si="580"/>
        <v>1050.6102248865261</v>
      </c>
      <c r="AN165" s="186">
        <f t="shared" ca="1" si="580"/>
        <v>1244.2337517656472</v>
      </c>
      <c r="AO165" s="186">
        <f t="shared" ca="1" si="580"/>
        <v>1465.040247051269</v>
      </c>
      <c r="AP165" s="186">
        <f ca="1">AP142*100/(($B$105*1840+$B$106*2000+$B$107*2000)*4)</f>
        <v>1715.7672708831105</v>
      </c>
    </row>
    <row r="166" spans="1:42" ht="15.75" hidden="1" x14ac:dyDescent="0.25">
      <c r="A166" s="39" t="s">
        <v>267</v>
      </c>
      <c r="B166" s="187">
        <f ca="1">0.1*B160</f>
        <v>2.1855575034075998</v>
      </c>
      <c r="C166" s="187">
        <f t="shared" ref="C166:AP166" ca="1" si="581">0.1*C160</f>
        <v>2.8496220155185199</v>
      </c>
      <c r="D166" s="187">
        <f t="shared" ca="1" si="581"/>
        <v>3.0272612311271829</v>
      </c>
      <c r="E166" s="187">
        <f t="shared" ca="1" si="581"/>
        <v>3.1850703327183996</v>
      </c>
      <c r="F166" s="187">
        <f t="shared" ca="1" si="581"/>
        <v>3.4036280970499351</v>
      </c>
      <c r="G166" s="187">
        <f t="shared" ca="1" si="581"/>
        <v>3.5599530017350673</v>
      </c>
      <c r="H166" s="187">
        <f t="shared" ca="1" si="581"/>
        <v>3.5099593318251294</v>
      </c>
      <c r="I166" s="187">
        <f t="shared" ca="1" si="581"/>
        <v>3.2709132863921866</v>
      </c>
      <c r="J166" s="187">
        <f t="shared" ca="1" si="581"/>
        <v>3.2038890851113764</v>
      </c>
      <c r="K166" s="187">
        <f t="shared" ca="1" si="581"/>
        <v>4.1962250748437047</v>
      </c>
      <c r="L166" s="187">
        <f t="shared" ca="1" si="581"/>
        <v>7.8439798362183986</v>
      </c>
      <c r="M166" s="187">
        <f t="shared" ca="1" si="581"/>
        <v>16.63438829021576</v>
      </c>
      <c r="N166" s="187">
        <f t="shared" ca="1" si="581"/>
        <v>34.128317804749273</v>
      </c>
      <c r="O166" s="187">
        <f t="shared" ca="1" si="581"/>
        <v>65.14272430124872</v>
      </c>
      <c r="P166" s="187">
        <f t="shared" ca="1" si="581"/>
        <v>115.93310836124249</v>
      </c>
      <c r="Q166" s="187">
        <f t="shared" ca="1" si="581"/>
        <v>194.37597133293986</v>
      </c>
      <c r="R166" s="187">
        <f t="shared" ca="1" si="581"/>
        <v>310.15127143781331</v>
      </c>
      <c r="S166" s="187">
        <f t="shared" ca="1" si="581"/>
        <v>474.92487987718346</v>
      </c>
      <c r="T166" s="187">
        <f t="shared" ca="1" si="581"/>
        <v>702.53103693879609</v>
      </c>
      <c r="U166" s="187">
        <f t="shared" ca="1" si="581"/>
        <v>1009.1548081034136</v>
      </c>
      <c r="V166" s="187">
        <f t="shared" ca="1" si="581"/>
        <v>1413.5145401513882</v>
      </c>
      <c r="W166" s="187">
        <f t="shared" ca="1" si="581"/>
        <v>1937.044317269253</v>
      </c>
      <c r="X166" s="187">
        <f t="shared" ca="1" si="581"/>
        <v>2604.0764171562887</v>
      </c>
      <c r="Y166" s="187">
        <f t="shared" ca="1" si="581"/>
        <v>3442.0237671311343</v>
      </c>
      <c r="Z166" s="187">
        <f t="shared" ca="1" si="581"/>
        <v>4481.5624002383438</v>
      </c>
      <c r="AA166" s="187">
        <f t="shared" ca="1" si="581"/>
        <v>5756.8139113549714</v>
      </c>
      <c r="AB166" s="187">
        <f t="shared" ca="1" si="581"/>
        <v>7305.5279132971809</v>
      </c>
      <c r="AC166" s="187">
        <f t="shared" ca="1" si="581"/>
        <v>9169.2644929267826</v>
      </c>
      <c r="AD166" s="187">
        <f t="shared" ca="1" si="581"/>
        <v>11393.576667257872</v>
      </c>
      <c r="AE166" s="187">
        <f t="shared" ca="1" si="581"/>
        <v>14028.192839563333</v>
      </c>
      <c r="AF166" s="187">
        <f t="shared" ca="1" si="581"/>
        <v>17127.199255481526</v>
      </c>
      <c r="AG166" s="187">
        <f t="shared" ca="1" si="581"/>
        <v>20749.222459122793</v>
      </c>
      <c r="AH166" s="187">
        <f t="shared" ca="1" si="581"/>
        <v>24957.611749176012</v>
      </c>
      <c r="AI166" s="187">
        <f t="shared" ca="1" si="581"/>
        <v>29820.621635015323</v>
      </c>
      <c r="AJ166" s="187">
        <f t="shared" ca="1" si="581"/>
        <v>35411.594292806556</v>
      </c>
      <c r="AK166" s="187">
        <f t="shared" ca="1" si="581"/>
        <v>41809.142021613836</v>
      </c>
      <c r="AL166" s="187">
        <f t="shared" ca="1" si="581"/>
        <v>49097.329699506306</v>
      </c>
      <c r="AM166" s="187">
        <f t="shared" ca="1" si="581"/>
        <v>57365.857239664409</v>
      </c>
      <c r="AN166" s="187">
        <f t="shared" ca="1" si="581"/>
        <v>66710.242046487037</v>
      </c>
      <c r="AO166" s="187">
        <f t="shared" ca="1" si="581"/>
        <v>77232.001471697338</v>
      </c>
      <c r="AP166" s="187">
        <f t="shared" ca="1" si="581"/>
        <v>89038.835270450043</v>
      </c>
    </row>
    <row r="168" spans="1:42" s="190" customFormat="1" x14ac:dyDescent="0.25">
      <c r="A168" s="188"/>
      <c r="B168" s="189"/>
    </row>
    <row r="169" spans="1:42" ht="15.75" x14ac:dyDescent="0.25">
      <c r="A169" s="139" t="s">
        <v>84</v>
      </c>
      <c r="B169" s="139">
        <v>1</v>
      </c>
      <c r="C169" s="139">
        <f>B169+1</f>
        <v>2</v>
      </c>
      <c r="D169" s="139">
        <f t="shared" ref="D169" si="582">C169+1</f>
        <v>3</v>
      </c>
      <c r="E169" s="139">
        <f t="shared" ref="E169" si="583">D169+1</f>
        <v>4</v>
      </c>
      <c r="F169" s="139">
        <f t="shared" ref="F169" si="584">E169+1</f>
        <v>5</v>
      </c>
      <c r="G169" s="139">
        <f t="shared" ref="G169" si="585">F169+1</f>
        <v>6</v>
      </c>
      <c r="H169" s="139">
        <f t="shared" ref="H169" si="586">G169+1</f>
        <v>7</v>
      </c>
      <c r="I169" s="139">
        <f t="shared" ref="I169" si="587">H169+1</f>
        <v>8</v>
      </c>
      <c r="J169" s="139">
        <f t="shared" ref="J169" si="588">I169+1</f>
        <v>9</v>
      </c>
      <c r="K169" s="191">
        <f t="shared" ref="K169" si="589">J169+1</f>
        <v>10</v>
      </c>
      <c r="L169" s="139">
        <f t="shared" ref="L169" si="590">K169+1</f>
        <v>11</v>
      </c>
      <c r="M169" s="139">
        <f t="shared" ref="M169" si="591">L169+1</f>
        <v>12</v>
      </c>
      <c r="N169" s="139">
        <f t="shared" ref="N169" si="592">M169+1</f>
        <v>13</v>
      </c>
      <c r="O169" s="139">
        <f t="shared" ref="O169" si="593">N169+1</f>
        <v>14</v>
      </c>
      <c r="P169" s="139">
        <f t="shared" ref="P169" si="594">O169+1</f>
        <v>15</v>
      </c>
      <c r="Q169" s="139">
        <f t="shared" ref="Q169" si="595">P169+1</f>
        <v>16</v>
      </c>
      <c r="R169" s="139">
        <f t="shared" ref="R169" si="596">Q169+1</f>
        <v>17</v>
      </c>
      <c r="S169" s="139">
        <f t="shared" ref="S169" si="597">R169+1</f>
        <v>18</v>
      </c>
      <c r="T169" s="139">
        <f t="shared" ref="T169" si="598">S169+1</f>
        <v>19</v>
      </c>
      <c r="U169" s="139">
        <f t="shared" ref="U169" si="599">T169+1</f>
        <v>20</v>
      </c>
      <c r="V169" s="139">
        <f t="shared" ref="V169" si="600">U169+1</f>
        <v>21</v>
      </c>
      <c r="W169" s="139">
        <f t="shared" ref="W169" si="601">V169+1</f>
        <v>22</v>
      </c>
      <c r="X169" s="139">
        <f t="shared" ref="X169" si="602">W169+1</f>
        <v>23</v>
      </c>
      <c r="Y169" s="139">
        <f t="shared" ref="Y169" si="603">X169+1</f>
        <v>24</v>
      </c>
      <c r="Z169" s="139">
        <f t="shared" ref="Z169" si="604">Y169+1</f>
        <v>25</v>
      </c>
      <c r="AA169" s="139">
        <f t="shared" ref="AA169" si="605">Z169+1</f>
        <v>26</v>
      </c>
      <c r="AB169" s="139">
        <f t="shared" ref="AB169" si="606">AA169+1</f>
        <v>27</v>
      </c>
      <c r="AC169" s="139">
        <f t="shared" ref="AC169" si="607">AB169+1</f>
        <v>28</v>
      </c>
      <c r="AD169" s="139">
        <f t="shared" ref="AD169" si="608">AC169+1</f>
        <v>29</v>
      </c>
      <c r="AE169" s="139">
        <f t="shared" ref="AE169" si="609">AD169+1</f>
        <v>30</v>
      </c>
      <c r="AF169" s="139">
        <f t="shared" ref="AF169" si="610">AE169+1</f>
        <v>31</v>
      </c>
      <c r="AG169" s="139">
        <f t="shared" ref="AG169" si="611">AF169+1</f>
        <v>32</v>
      </c>
      <c r="AH169" s="139">
        <f t="shared" ref="AH169" si="612">AG169+1</f>
        <v>33</v>
      </c>
      <c r="AI169" s="139">
        <f t="shared" ref="AI169" si="613">AH169+1</f>
        <v>34</v>
      </c>
      <c r="AJ169" s="139">
        <f t="shared" ref="AJ169" si="614">AI169+1</f>
        <v>35</v>
      </c>
      <c r="AK169" s="139">
        <f t="shared" ref="AK169" si="615">AJ169+1</f>
        <v>36</v>
      </c>
      <c r="AL169" s="139">
        <f t="shared" ref="AL169" si="616">AK169+1</f>
        <v>37</v>
      </c>
      <c r="AM169" s="139">
        <f t="shared" ref="AM169" si="617">AL169+1</f>
        <v>38</v>
      </c>
      <c r="AN169" s="139">
        <f t="shared" ref="AN169" si="618">AM169+1</f>
        <v>39</v>
      </c>
      <c r="AO169" s="139">
        <f t="shared" ref="AO169" si="619">AN169+1</f>
        <v>40</v>
      </c>
      <c r="AP169" s="139">
        <f t="shared" ref="AP169" si="620">AO169+1</f>
        <v>41</v>
      </c>
    </row>
    <row r="170" spans="1:42" ht="15.75" x14ac:dyDescent="0.25">
      <c r="A170" s="139" t="s">
        <v>143</v>
      </c>
      <c r="B170" s="139">
        <f>$B$117</f>
        <v>23.150000000000002</v>
      </c>
      <c r="C170" s="139">
        <f t="shared" ref="C170:AP170" si="621">$B$117</f>
        <v>23.150000000000002</v>
      </c>
      <c r="D170" s="139">
        <f t="shared" si="621"/>
        <v>23.150000000000002</v>
      </c>
      <c r="E170" s="139">
        <f t="shared" si="621"/>
        <v>23.150000000000002</v>
      </c>
      <c r="F170" s="139">
        <f t="shared" si="621"/>
        <v>23.150000000000002</v>
      </c>
      <c r="G170" s="139">
        <f t="shared" si="621"/>
        <v>23.150000000000002</v>
      </c>
      <c r="H170" s="139">
        <f t="shared" si="621"/>
        <v>23.150000000000002</v>
      </c>
      <c r="I170" s="139">
        <f t="shared" si="621"/>
        <v>23.150000000000002</v>
      </c>
      <c r="J170" s="139">
        <f t="shared" si="621"/>
        <v>23.150000000000002</v>
      </c>
      <c r="K170" s="139">
        <f t="shared" si="621"/>
        <v>23.150000000000002</v>
      </c>
      <c r="L170" s="139">
        <f t="shared" si="621"/>
        <v>23.150000000000002</v>
      </c>
      <c r="M170" s="139">
        <f t="shared" si="621"/>
        <v>23.150000000000002</v>
      </c>
      <c r="N170" s="139">
        <f t="shared" si="621"/>
        <v>23.150000000000002</v>
      </c>
      <c r="O170" s="139">
        <f t="shared" si="621"/>
        <v>23.150000000000002</v>
      </c>
      <c r="P170" s="139">
        <f t="shared" si="621"/>
        <v>23.150000000000002</v>
      </c>
      <c r="Q170" s="139">
        <f t="shared" si="621"/>
        <v>23.150000000000002</v>
      </c>
      <c r="R170" s="139">
        <f t="shared" si="621"/>
        <v>23.150000000000002</v>
      </c>
      <c r="S170" s="139">
        <f t="shared" si="621"/>
        <v>23.150000000000002</v>
      </c>
      <c r="T170" s="139">
        <f t="shared" si="621"/>
        <v>23.150000000000002</v>
      </c>
      <c r="U170" s="139">
        <f t="shared" si="621"/>
        <v>23.150000000000002</v>
      </c>
      <c r="V170" s="139">
        <f t="shared" si="621"/>
        <v>23.150000000000002</v>
      </c>
      <c r="W170" s="139">
        <f t="shared" si="621"/>
        <v>23.150000000000002</v>
      </c>
      <c r="X170" s="139">
        <f t="shared" si="621"/>
        <v>23.150000000000002</v>
      </c>
      <c r="Y170" s="139">
        <f t="shared" si="621"/>
        <v>23.150000000000002</v>
      </c>
      <c r="Z170" s="139">
        <f t="shared" si="621"/>
        <v>23.150000000000002</v>
      </c>
      <c r="AA170" s="139">
        <f t="shared" si="621"/>
        <v>23.150000000000002</v>
      </c>
      <c r="AB170" s="139">
        <f t="shared" si="621"/>
        <v>23.150000000000002</v>
      </c>
      <c r="AC170" s="139">
        <f t="shared" si="621"/>
        <v>23.150000000000002</v>
      </c>
      <c r="AD170" s="139">
        <f t="shared" si="621"/>
        <v>23.150000000000002</v>
      </c>
      <c r="AE170" s="139">
        <f t="shared" si="621"/>
        <v>23.150000000000002</v>
      </c>
      <c r="AF170" s="139">
        <f t="shared" si="621"/>
        <v>23.150000000000002</v>
      </c>
      <c r="AG170" s="139">
        <f t="shared" si="621"/>
        <v>23.150000000000002</v>
      </c>
      <c r="AH170" s="139">
        <f t="shared" si="621"/>
        <v>23.150000000000002</v>
      </c>
      <c r="AI170" s="139">
        <f t="shared" si="621"/>
        <v>23.150000000000002</v>
      </c>
      <c r="AJ170" s="139">
        <f t="shared" si="621"/>
        <v>23.150000000000002</v>
      </c>
      <c r="AK170" s="139">
        <f t="shared" si="621"/>
        <v>23.150000000000002</v>
      </c>
      <c r="AL170" s="139">
        <f t="shared" si="621"/>
        <v>23.150000000000002</v>
      </c>
      <c r="AM170" s="139">
        <f t="shared" si="621"/>
        <v>23.150000000000002</v>
      </c>
      <c r="AN170" s="139">
        <f t="shared" si="621"/>
        <v>23.150000000000002</v>
      </c>
      <c r="AO170" s="139">
        <f t="shared" si="621"/>
        <v>23.150000000000002</v>
      </c>
      <c r="AP170" s="139">
        <f t="shared" si="621"/>
        <v>23.150000000000002</v>
      </c>
    </row>
    <row r="171" spans="1:42" s="165" customFormat="1" ht="47.25" x14ac:dyDescent="0.25">
      <c r="A171" s="39" t="s">
        <v>299</v>
      </c>
      <c r="B171" s="39">
        <f>B169*$B$102</f>
        <v>180</v>
      </c>
      <c r="C171" s="39">
        <f ca="1">IF((B220=0),B171+$B$102,"конец жизненного цикла")</f>
        <v>360</v>
      </c>
      <c r="D171" s="39">
        <f t="shared" ref="D171:AP171" ca="1" si="622">IF((C220=0),C171+$B$102,"конец жизненного цикла")</f>
        <v>540</v>
      </c>
      <c r="E171" s="39">
        <f t="shared" ca="1" si="622"/>
        <v>720</v>
      </c>
      <c r="F171" s="39">
        <f t="shared" ca="1" si="622"/>
        <v>900</v>
      </c>
      <c r="G171" s="39">
        <f t="shared" ca="1" si="622"/>
        <v>1080</v>
      </c>
      <c r="H171" s="39">
        <f t="shared" ca="1" si="622"/>
        <v>1260</v>
      </c>
      <c r="I171" s="39">
        <f t="shared" ca="1" si="622"/>
        <v>1440</v>
      </c>
      <c r="J171" s="39">
        <f t="shared" ca="1" si="622"/>
        <v>1620</v>
      </c>
      <c r="K171" s="39" t="str">
        <f t="shared" ca="1" si="622"/>
        <v>конец жизненного цикла</v>
      </c>
      <c r="L171" s="39" t="e">
        <f t="shared" ca="1" si="622"/>
        <v>#VALUE!</v>
      </c>
      <c r="M171" s="39" t="e">
        <f t="shared" ca="1" si="622"/>
        <v>#VALUE!</v>
      </c>
      <c r="N171" s="39" t="e">
        <f t="shared" ca="1" si="622"/>
        <v>#VALUE!</v>
      </c>
      <c r="O171" s="39" t="e">
        <f t="shared" ca="1" si="622"/>
        <v>#VALUE!</v>
      </c>
      <c r="P171" s="39" t="e">
        <f t="shared" ca="1" si="622"/>
        <v>#VALUE!</v>
      </c>
      <c r="Q171" s="39" t="e">
        <f t="shared" ca="1" si="622"/>
        <v>#VALUE!</v>
      </c>
      <c r="R171" s="39" t="e">
        <f t="shared" ca="1" si="622"/>
        <v>#VALUE!</v>
      </c>
      <c r="S171" s="39" t="e">
        <f t="shared" ca="1" si="622"/>
        <v>#VALUE!</v>
      </c>
      <c r="T171" s="39" t="e">
        <f t="shared" ca="1" si="622"/>
        <v>#VALUE!</v>
      </c>
      <c r="U171" s="39" t="e">
        <f t="shared" ca="1" si="622"/>
        <v>#VALUE!</v>
      </c>
      <c r="V171" s="39" t="e">
        <f t="shared" ca="1" si="622"/>
        <v>#VALUE!</v>
      </c>
      <c r="W171" s="39" t="e">
        <f t="shared" ca="1" si="622"/>
        <v>#VALUE!</v>
      </c>
      <c r="X171" s="39" t="e">
        <f t="shared" ca="1" si="622"/>
        <v>#VALUE!</v>
      </c>
      <c r="Y171" s="39" t="e">
        <f t="shared" ca="1" si="622"/>
        <v>#VALUE!</v>
      </c>
      <c r="Z171" s="39" t="e">
        <f t="shared" ca="1" si="622"/>
        <v>#VALUE!</v>
      </c>
      <c r="AA171" s="39" t="e">
        <f t="shared" ca="1" si="622"/>
        <v>#VALUE!</v>
      </c>
      <c r="AB171" s="39" t="e">
        <f t="shared" ca="1" si="622"/>
        <v>#VALUE!</v>
      </c>
      <c r="AC171" s="39" t="e">
        <f t="shared" ca="1" si="622"/>
        <v>#VALUE!</v>
      </c>
      <c r="AD171" s="39" t="e">
        <f t="shared" ca="1" si="622"/>
        <v>#VALUE!</v>
      </c>
      <c r="AE171" s="39" t="e">
        <f t="shared" ca="1" si="622"/>
        <v>#VALUE!</v>
      </c>
      <c r="AF171" s="39" t="e">
        <f t="shared" ca="1" si="622"/>
        <v>#VALUE!</v>
      </c>
      <c r="AG171" s="39" t="e">
        <f t="shared" ca="1" si="622"/>
        <v>#VALUE!</v>
      </c>
      <c r="AH171" s="39" t="e">
        <f t="shared" ca="1" si="622"/>
        <v>#VALUE!</v>
      </c>
      <c r="AI171" s="39" t="e">
        <f t="shared" ca="1" si="622"/>
        <v>#VALUE!</v>
      </c>
      <c r="AJ171" s="39" t="e">
        <f t="shared" ca="1" si="622"/>
        <v>#VALUE!</v>
      </c>
      <c r="AK171" s="39" t="e">
        <f t="shared" ca="1" si="622"/>
        <v>#VALUE!</v>
      </c>
      <c r="AL171" s="39" t="e">
        <f t="shared" ca="1" si="622"/>
        <v>#VALUE!</v>
      </c>
      <c r="AM171" s="39" t="e">
        <f t="shared" ca="1" si="622"/>
        <v>#VALUE!</v>
      </c>
      <c r="AN171" s="39" t="e">
        <f t="shared" ca="1" si="622"/>
        <v>#VALUE!</v>
      </c>
      <c r="AO171" s="39" t="e">
        <f t="shared" ca="1" si="622"/>
        <v>#VALUE!</v>
      </c>
      <c r="AP171" s="39" t="e">
        <f t="shared" ca="1" si="622"/>
        <v>#VALUE!</v>
      </c>
    </row>
    <row r="172" spans="1:42" ht="46.5" customHeight="1" x14ac:dyDescent="0.25">
      <c r="A172" s="139" t="s">
        <v>300</v>
      </c>
      <c r="B172" s="138">
        <f>$B$102</f>
        <v>180</v>
      </c>
      <c r="C172" s="138">
        <f t="shared" ref="C172:AP172" ca="1" si="623">IF((AND(B218=0,B219=0,B220=0)), B172+$B$102, IF(B220=1, "конец жизненного цикла", $B$172))</f>
        <v>360</v>
      </c>
      <c r="D172" s="138">
        <f t="shared" ca="1" si="623"/>
        <v>540</v>
      </c>
      <c r="E172" s="138">
        <f t="shared" ca="1" si="623"/>
        <v>720</v>
      </c>
      <c r="F172" s="138">
        <f t="shared" ca="1" si="623"/>
        <v>900</v>
      </c>
      <c r="G172" s="138">
        <f t="shared" ca="1" si="623"/>
        <v>180</v>
      </c>
      <c r="H172" s="138">
        <f t="shared" ca="1" si="623"/>
        <v>360</v>
      </c>
      <c r="I172" s="138">
        <f t="shared" ca="1" si="623"/>
        <v>540</v>
      </c>
      <c r="J172" s="138">
        <f t="shared" ca="1" si="623"/>
        <v>720</v>
      </c>
      <c r="K172" s="138" t="str">
        <f t="shared" ca="1" si="623"/>
        <v>конец жизненного цикла</v>
      </c>
      <c r="L172" s="138" t="e">
        <f t="shared" ca="1" si="623"/>
        <v>#VALUE!</v>
      </c>
      <c r="M172" s="138" t="e">
        <f t="shared" ca="1" si="623"/>
        <v>#VALUE!</v>
      </c>
      <c r="N172" s="138" t="e">
        <f t="shared" ca="1" si="623"/>
        <v>#VALUE!</v>
      </c>
      <c r="O172" s="138" t="e">
        <f t="shared" ca="1" si="623"/>
        <v>#VALUE!</v>
      </c>
      <c r="P172" s="138" t="e">
        <f t="shared" ca="1" si="623"/>
        <v>#VALUE!</v>
      </c>
      <c r="Q172" s="138" t="e">
        <f t="shared" ca="1" si="623"/>
        <v>#VALUE!</v>
      </c>
      <c r="R172" s="138" t="e">
        <f t="shared" ca="1" si="623"/>
        <v>#VALUE!</v>
      </c>
      <c r="S172" s="138" t="e">
        <f t="shared" ca="1" si="623"/>
        <v>#VALUE!</v>
      </c>
      <c r="T172" s="138" t="e">
        <f t="shared" ca="1" si="623"/>
        <v>#VALUE!</v>
      </c>
      <c r="U172" s="138" t="e">
        <f t="shared" ca="1" si="623"/>
        <v>#VALUE!</v>
      </c>
      <c r="V172" s="138" t="e">
        <f t="shared" ca="1" si="623"/>
        <v>#VALUE!</v>
      </c>
      <c r="W172" s="138" t="e">
        <f t="shared" ca="1" si="623"/>
        <v>#VALUE!</v>
      </c>
      <c r="X172" s="138" t="e">
        <f t="shared" ca="1" si="623"/>
        <v>#VALUE!</v>
      </c>
      <c r="Y172" s="138" t="e">
        <f t="shared" ca="1" si="623"/>
        <v>#VALUE!</v>
      </c>
      <c r="Z172" s="138" t="e">
        <f t="shared" ca="1" si="623"/>
        <v>#VALUE!</v>
      </c>
      <c r="AA172" s="138" t="e">
        <f t="shared" ca="1" si="623"/>
        <v>#VALUE!</v>
      </c>
      <c r="AB172" s="138" t="e">
        <f t="shared" ca="1" si="623"/>
        <v>#VALUE!</v>
      </c>
      <c r="AC172" s="138" t="e">
        <f t="shared" ca="1" si="623"/>
        <v>#VALUE!</v>
      </c>
      <c r="AD172" s="138" t="e">
        <f t="shared" ca="1" si="623"/>
        <v>#VALUE!</v>
      </c>
      <c r="AE172" s="138" t="e">
        <f t="shared" ca="1" si="623"/>
        <v>#VALUE!</v>
      </c>
      <c r="AF172" s="138" t="e">
        <f t="shared" ca="1" si="623"/>
        <v>#VALUE!</v>
      </c>
      <c r="AG172" s="138" t="e">
        <f t="shared" ca="1" si="623"/>
        <v>#VALUE!</v>
      </c>
      <c r="AH172" s="138" t="e">
        <f t="shared" ca="1" si="623"/>
        <v>#VALUE!</v>
      </c>
      <c r="AI172" s="138" t="e">
        <f t="shared" ca="1" si="623"/>
        <v>#VALUE!</v>
      </c>
      <c r="AJ172" s="138" t="e">
        <f t="shared" ca="1" si="623"/>
        <v>#VALUE!</v>
      </c>
      <c r="AK172" s="138" t="e">
        <f t="shared" ca="1" si="623"/>
        <v>#VALUE!</v>
      </c>
      <c r="AL172" s="138" t="e">
        <f t="shared" ca="1" si="623"/>
        <v>#VALUE!</v>
      </c>
      <c r="AM172" s="138" t="e">
        <f t="shared" ca="1" si="623"/>
        <v>#VALUE!</v>
      </c>
      <c r="AN172" s="138" t="e">
        <f t="shared" ca="1" si="623"/>
        <v>#VALUE!</v>
      </c>
      <c r="AO172" s="138" t="e">
        <f t="shared" ca="1" si="623"/>
        <v>#VALUE!</v>
      </c>
      <c r="AP172" s="138" t="e">
        <f t="shared" ca="1" si="623"/>
        <v>#VALUE!</v>
      </c>
    </row>
    <row r="173" spans="1:42" ht="46.5" customHeight="1" x14ac:dyDescent="0.25">
      <c r="A173" s="139" t="s">
        <v>301</v>
      </c>
      <c r="B173" s="138">
        <f t="shared" ref="B173:B177" si="624">$B$102</f>
        <v>180</v>
      </c>
      <c r="C173" s="138">
        <f ca="1">IF((B220=0),(B173+$B$102), "конец жизненного цикла")</f>
        <v>360</v>
      </c>
      <c r="D173" s="138">
        <f t="shared" ref="D173:AP173" ca="1" si="625">IF((C220=0),(C173+$B$102), "конец жизненного цикла")</f>
        <v>540</v>
      </c>
      <c r="E173" s="138">
        <f t="shared" ca="1" si="625"/>
        <v>720</v>
      </c>
      <c r="F173" s="138">
        <f t="shared" ca="1" si="625"/>
        <v>900</v>
      </c>
      <c r="G173" s="138">
        <f t="shared" ca="1" si="625"/>
        <v>1080</v>
      </c>
      <c r="H173" s="138">
        <f t="shared" ca="1" si="625"/>
        <v>1260</v>
      </c>
      <c r="I173" s="138">
        <f t="shared" ca="1" si="625"/>
        <v>1440</v>
      </c>
      <c r="J173" s="138">
        <f t="shared" ca="1" si="625"/>
        <v>1620</v>
      </c>
      <c r="K173" s="138" t="str">
        <f t="shared" ca="1" si="625"/>
        <v>конец жизненного цикла</v>
      </c>
      <c r="L173" s="138" t="e">
        <f t="shared" ca="1" si="625"/>
        <v>#VALUE!</v>
      </c>
      <c r="M173" s="138" t="e">
        <f t="shared" ca="1" si="625"/>
        <v>#VALUE!</v>
      </c>
      <c r="N173" s="138" t="e">
        <f t="shared" ca="1" si="625"/>
        <v>#VALUE!</v>
      </c>
      <c r="O173" s="138" t="e">
        <f t="shared" ca="1" si="625"/>
        <v>#VALUE!</v>
      </c>
      <c r="P173" s="138" t="e">
        <f t="shared" ca="1" si="625"/>
        <v>#VALUE!</v>
      </c>
      <c r="Q173" s="138" t="e">
        <f t="shared" ca="1" si="625"/>
        <v>#VALUE!</v>
      </c>
      <c r="R173" s="138" t="e">
        <f t="shared" ca="1" si="625"/>
        <v>#VALUE!</v>
      </c>
      <c r="S173" s="138" t="e">
        <f t="shared" ca="1" si="625"/>
        <v>#VALUE!</v>
      </c>
      <c r="T173" s="138" t="e">
        <f t="shared" ca="1" si="625"/>
        <v>#VALUE!</v>
      </c>
      <c r="U173" s="138" t="e">
        <f t="shared" ca="1" si="625"/>
        <v>#VALUE!</v>
      </c>
      <c r="V173" s="138" t="e">
        <f t="shared" ca="1" si="625"/>
        <v>#VALUE!</v>
      </c>
      <c r="W173" s="138" t="e">
        <f t="shared" ca="1" si="625"/>
        <v>#VALUE!</v>
      </c>
      <c r="X173" s="138" t="e">
        <f t="shared" ca="1" si="625"/>
        <v>#VALUE!</v>
      </c>
      <c r="Y173" s="138" t="e">
        <f t="shared" ca="1" si="625"/>
        <v>#VALUE!</v>
      </c>
      <c r="Z173" s="138" t="e">
        <f t="shared" ca="1" si="625"/>
        <v>#VALUE!</v>
      </c>
      <c r="AA173" s="138" t="e">
        <f t="shared" ca="1" si="625"/>
        <v>#VALUE!</v>
      </c>
      <c r="AB173" s="138" t="e">
        <f t="shared" ca="1" si="625"/>
        <v>#VALUE!</v>
      </c>
      <c r="AC173" s="138" t="e">
        <f t="shared" ca="1" si="625"/>
        <v>#VALUE!</v>
      </c>
      <c r="AD173" s="138" t="e">
        <f t="shared" ca="1" si="625"/>
        <v>#VALUE!</v>
      </c>
      <c r="AE173" s="138" t="e">
        <f t="shared" ca="1" si="625"/>
        <v>#VALUE!</v>
      </c>
      <c r="AF173" s="138" t="e">
        <f t="shared" ca="1" si="625"/>
        <v>#VALUE!</v>
      </c>
      <c r="AG173" s="138" t="e">
        <f t="shared" ca="1" si="625"/>
        <v>#VALUE!</v>
      </c>
      <c r="AH173" s="138" t="e">
        <f t="shared" ca="1" si="625"/>
        <v>#VALUE!</v>
      </c>
      <c r="AI173" s="138" t="e">
        <f t="shared" ca="1" si="625"/>
        <v>#VALUE!</v>
      </c>
      <c r="AJ173" s="138" t="e">
        <f t="shared" ca="1" si="625"/>
        <v>#VALUE!</v>
      </c>
      <c r="AK173" s="138" t="e">
        <f t="shared" ca="1" si="625"/>
        <v>#VALUE!</v>
      </c>
      <c r="AL173" s="138" t="e">
        <f t="shared" ca="1" si="625"/>
        <v>#VALUE!</v>
      </c>
      <c r="AM173" s="138" t="e">
        <f t="shared" ca="1" si="625"/>
        <v>#VALUE!</v>
      </c>
      <c r="AN173" s="138" t="e">
        <f t="shared" ca="1" si="625"/>
        <v>#VALUE!</v>
      </c>
      <c r="AO173" s="138" t="e">
        <f t="shared" ca="1" si="625"/>
        <v>#VALUE!</v>
      </c>
      <c r="AP173" s="138" t="e">
        <f t="shared" ca="1" si="625"/>
        <v>#VALUE!</v>
      </c>
    </row>
    <row r="174" spans="1:42" ht="44.25" customHeight="1" x14ac:dyDescent="0.25">
      <c r="A174" s="139" t="s">
        <v>304</v>
      </c>
      <c r="B174" s="138">
        <f t="shared" si="624"/>
        <v>180</v>
      </c>
      <c r="C174" s="138">
        <f ca="1">IF((B220=0), (B174+$B$102), "конец жизненного цикла")</f>
        <v>360</v>
      </c>
      <c r="D174" s="138">
        <f t="shared" ref="D174:AP174" ca="1" si="626">IF((C220=0), (C174+$B$102), "конец жизненного цикла")</f>
        <v>540</v>
      </c>
      <c r="E174" s="138">
        <f t="shared" ca="1" si="626"/>
        <v>720</v>
      </c>
      <c r="F174" s="138">
        <f t="shared" ca="1" si="626"/>
        <v>900</v>
      </c>
      <c r="G174" s="138">
        <f t="shared" ca="1" si="626"/>
        <v>1080</v>
      </c>
      <c r="H174" s="138">
        <f t="shared" ca="1" si="626"/>
        <v>1260</v>
      </c>
      <c r="I174" s="138">
        <f t="shared" ca="1" si="626"/>
        <v>1440</v>
      </c>
      <c r="J174" s="138">
        <f t="shared" ca="1" si="626"/>
        <v>1620</v>
      </c>
      <c r="K174" s="138" t="str">
        <f t="shared" ca="1" si="626"/>
        <v>конец жизненного цикла</v>
      </c>
      <c r="L174" s="138" t="e">
        <f t="shared" ca="1" si="626"/>
        <v>#VALUE!</v>
      </c>
      <c r="M174" s="138" t="e">
        <f t="shared" ca="1" si="626"/>
        <v>#VALUE!</v>
      </c>
      <c r="N174" s="138" t="e">
        <f t="shared" ca="1" si="626"/>
        <v>#VALUE!</v>
      </c>
      <c r="O174" s="138" t="e">
        <f t="shared" ca="1" si="626"/>
        <v>#VALUE!</v>
      </c>
      <c r="P174" s="138" t="e">
        <f t="shared" ca="1" si="626"/>
        <v>#VALUE!</v>
      </c>
      <c r="Q174" s="138" t="e">
        <f t="shared" ca="1" si="626"/>
        <v>#VALUE!</v>
      </c>
      <c r="R174" s="138" t="e">
        <f t="shared" ca="1" si="626"/>
        <v>#VALUE!</v>
      </c>
      <c r="S174" s="138" t="e">
        <f t="shared" ca="1" si="626"/>
        <v>#VALUE!</v>
      </c>
      <c r="T174" s="138" t="e">
        <f t="shared" ca="1" si="626"/>
        <v>#VALUE!</v>
      </c>
      <c r="U174" s="138" t="e">
        <f t="shared" ca="1" si="626"/>
        <v>#VALUE!</v>
      </c>
      <c r="V174" s="138" t="e">
        <f t="shared" ca="1" si="626"/>
        <v>#VALUE!</v>
      </c>
      <c r="W174" s="138" t="e">
        <f t="shared" ca="1" si="626"/>
        <v>#VALUE!</v>
      </c>
      <c r="X174" s="138" t="e">
        <f t="shared" ca="1" si="626"/>
        <v>#VALUE!</v>
      </c>
      <c r="Y174" s="138" t="e">
        <f t="shared" ca="1" si="626"/>
        <v>#VALUE!</v>
      </c>
      <c r="Z174" s="138" t="e">
        <f t="shared" ca="1" si="626"/>
        <v>#VALUE!</v>
      </c>
      <c r="AA174" s="138" t="e">
        <f t="shared" ca="1" si="626"/>
        <v>#VALUE!</v>
      </c>
      <c r="AB174" s="138" t="e">
        <f t="shared" ca="1" si="626"/>
        <v>#VALUE!</v>
      </c>
      <c r="AC174" s="138" t="e">
        <f t="shared" ca="1" si="626"/>
        <v>#VALUE!</v>
      </c>
      <c r="AD174" s="138" t="e">
        <f t="shared" ca="1" si="626"/>
        <v>#VALUE!</v>
      </c>
      <c r="AE174" s="138" t="e">
        <f t="shared" ca="1" si="626"/>
        <v>#VALUE!</v>
      </c>
      <c r="AF174" s="138" t="e">
        <f t="shared" ca="1" si="626"/>
        <v>#VALUE!</v>
      </c>
      <c r="AG174" s="138" t="e">
        <f t="shared" ca="1" si="626"/>
        <v>#VALUE!</v>
      </c>
      <c r="AH174" s="138" t="e">
        <f t="shared" ca="1" si="626"/>
        <v>#VALUE!</v>
      </c>
      <c r="AI174" s="138" t="e">
        <f t="shared" ca="1" si="626"/>
        <v>#VALUE!</v>
      </c>
      <c r="AJ174" s="138" t="e">
        <f t="shared" ca="1" si="626"/>
        <v>#VALUE!</v>
      </c>
      <c r="AK174" s="138" t="e">
        <f t="shared" ca="1" si="626"/>
        <v>#VALUE!</v>
      </c>
      <c r="AL174" s="138" t="e">
        <f t="shared" ca="1" si="626"/>
        <v>#VALUE!</v>
      </c>
      <c r="AM174" s="138" t="e">
        <f t="shared" ca="1" si="626"/>
        <v>#VALUE!</v>
      </c>
      <c r="AN174" s="138" t="e">
        <f t="shared" ca="1" si="626"/>
        <v>#VALUE!</v>
      </c>
      <c r="AO174" s="138" t="e">
        <f t="shared" ca="1" si="626"/>
        <v>#VALUE!</v>
      </c>
      <c r="AP174" s="138" t="e">
        <f t="shared" ca="1" si="626"/>
        <v>#VALUE!</v>
      </c>
    </row>
    <row r="175" spans="1:42" s="165" customFormat="1" ht="45.75" customHeight="1" x14ac:dyDescent="0.25">
      <c r="A175" s="39" t="s">
        <v>302</v>
      </c>
      <c r="B175" s="24">
        <f>$B$102</f>
        <v>180</v>
      </c>
      <c r="C175" s="24">
        <f t="shared" ref="C175:AP175" ca="1" si="627">IF(OR(B215=1, B216=1,B217=1,B219=1), $B$175, IF(B220=1, "конец жизненного цикла", (B175+$B$102)))</f>
        <v>360</v>
      </c>
      <c r="D175" s="24">
        <f t="shared" ca="1" si="627"/>
        <v>180</v>
      </c>
      <c r="E175" s="24">
        <f t="shared" ca="1" si="627"/>
        <v>180</v>
      </c>
      <c r="F175" s="24">
        <f t="shared" ca="1" si="627"/>
        <v>360</v>
      </c>
      <c r="G175" s="24">
        <f t="shared" ca="1" si="627"/>
        <v>180</v>
      </c>
      <c r="H175" s="24">
        <f t="shared" ca="1" si="627"/>
        <v>180</v>
      </c>
      <c r="I175" s="24">
        <f t="shared" ca="1" si="627"/>
        <v>360</v>
      </c>
      <c r="J175" s="24">
        <f t="shared" ca="1" si="627"/>
        <v>180</v>
      </c>
      <c r="K175" s="24" t="str">
        <f t="shared" ca="1" si="627"/>
        <v>конец жизненного цикла</v>
      </c>
      <c r="L175" s="24" t="e">
        <f t="shared" ca="1" si="627"/>
        <v>#VALUE!</v>
      </c>
      <c r="M175" s="24" t="e">
        <f t="shared" ca="1" si="627"/>
        <v>#VALUE!</v>
      </c>
      <c r="N175" s="24" t="e">
        <f t="shared" ca="1" si="627"/>
        <v>#VALUE!</v>
      </c>
      <c r="O175" s="24" t="e">
        <f t="shared" ca="1" si="627"/>
        <v>#VALUE!</v>
      </c>
      <c r="P175" s="24" t="e">
        <f t="shared" ca="1" si="627"/>
        <v>#VALUE!</v>
      </c>
      <c r="Q175" s="24" t="e">
        <f t="shared" ca="1" si="627"/>
        <v>#VALUE!</v>
      </c>
      <c r="R175" s="24" t="e">
        <f t="shared" ca="1" si="627"/>
        <v>#VALUE!</v>
      </c>
      <c r="S175" s="24" t="e">
        <f t="shared" ca="1" si="627"/>
        <v>#VALUE!</v>
      </c>
      <c r="T175" s="24" t="e">
        <f t="shared" ca="1" si="627"/>
        <v>#VALUE!</v>
      </c>
      <c r="U175" s="24" t="e">
        <f t="shared" ca="1" si="627"/>
        <v>#VALUE!</v>
      </c>
      <c r="V175" s="24" t="e">
        <f t="shared" ca="1" si="627"/>
        <v>#VALUE!</v>
      </c>
      <c r="W175" s="24" t="e">
        <f t="shared" ca="1" si="627"/>
        <v>#VALUE!</v>
      </c>
      <c r="X175" s="24" t="e">
        <f t="shared" ca="1" si="627"/>
        <v>#VALUE!</v>
      </c>
      <c r="Y175" s="24" t="e">
        <f t="shared" ca="1" si="627"/>
        <v>#VALUE!</v>
      </c>
      <c r="Z175" s="24" t="e">
        <f t="shared" ca="1" si="627"/>
        <v>#VALUE!</v>
      </c>
      <c r="AA175" s="24" t="e">
        <f t="shared" ca="1" si="627"/>
        <v>#VALUE!</v>
      </c>
      <c r="AB175" s="24" t="e">
        <f t="shared" ca="1" si="627"/>
        <v>#VALUE!</v>
      </c>
      <c r="AC175" s="24" t="e">
        <f t="shared" ca="1" si="627"/>
        <v>#VALUE!</v>
      </c>
      <c r="AD175" s="24" t="e">
        <f t="shared" ca="1" si="627"/>
        <v>#VALUE!</v>
      </c>
      <c r="AE175" s="24" t="e">
        <f t="shared" ca="1" si="627"/>
        <v>#VALUE!</v>
      </c>
      <c r="AF175" s="24" t="e">
        <f t="shared" ca="1" si="627"/>
        <v>#VALUE!</v>
      </c>
      <c r="AG175" s="24" t="e">
        <f t="shared" ca="1" si="627"/>
        <v>#VALUE!</v>
      </c>
      <c r="AH175" s="24" t="e">
        <f t="shared" ca="1" si="627"/>
        <v>#VALUE!</v>
      </c>
      <c r="AI175" s="24" t="e">
        <f t="shared" ca="1" si="627"/>
        <v>#VALUE!</v>
      </c>
      <c r="AJ175" s="24" t="e">
        <f t="shared" ca="1" si="627"/>
        <v>#VALUE!</v>
      </c>
      <c r="AK175" s="24" t="e">
        <f t="shared" ca="1" si="627"/>
        <v>#VALUE!</v>
      </c>
      <c r="AL175" s="24" t="e">
        <f t="shared" ca="1" si="627"/>
        <v>#VALUE!</v>
      </c>
      <c r="AM175" s="24" t="e">
        <f t="shared" ca="1" si="627"/>
        <v>#VALUE!</v>
      </c>
      <c r="AN175" s="24" t="e">
        <f t="shared" ca="1" si="627"/>
        <v>#VALUE!</v>
      </c>
      <c r="AO175" s="24" t="e">
        <f t="shared" ca="1" si="627"/>
        <v>#VALUE!</v>
      </c>
      <c r="AP175" s="24" t="e">
        <f t="shared" ca="1" si="627"/>
        <v>#VALUE!</v>
      </c>
    </row>
    <row r="176" spans="1:42" s="165" customFormat="1" ht="47.25" customHeight="1" x14ac:dyDescent="0.25">
      <c r="A176" s="39" t="s">
        <v>316</v>
      </c>
      <c r="B176" s="24">
        <f t="shared" si="624"/>
        <v>180</v>
      </c>
      <c r="C176" s="24">
        <f t="shared" ref="C176:AP176" ca="1" si="628">IF(OR(B215=1, B216=1,B217=1,B219=1), $B$176, IF(B220=1, "конец жизненного цикла", (B176+$B$102)))</f>
        <v>360</v>
      </c>
      <c r="D176" s="24">
        <f t="shared" ca="1" si="628"/>
        <v>180</v>
      </c>
      <c r="E176" s="24">
        <f t="shared" ca="1" si="628"/>
        <v>180</v>
      </c>
      <c r="F176" s="24">
        <f t="shared" ca="1" si="628"/>
        <v>360</v>
      </c>
      <c r="G176" s="24">
        <f t="shared" ca="1" si="628"/>
        <v>180</v>
      </c>
      <c r="H176" s="24">
        <f t="shared" ca="1" si="628"/>
        <v>180</v>
      </c>
      <c r="I176" s="24">
        <f t="shared" ca="1" si="628"/>
        <v>360</v>
      </c>
      <c r="J176" s="24">
        <f t="shared" ca="1" si="628"/>
        <v>180</v>
      </c>
      <c r="K176" s="24" t="str">
        <f t="shared" ca="1" si="628"/>
        <v>конец жизненного цикла</v>
      </c>
      <c r="L176" s="24" t="e">
        <f t="shared" ca="1" si="628"/>
        <v>#VALUE!</v>
      </c>
      <c r="M176" s="24" t="e">
        <f t="shared" ca="1" si="628"/>
        <v>#VALUE!</v>
      </c>
      <c r="N176" s="24" t="e">
        <f t="shared" ca="1" si="628"/>
        <v>#VALUE!</v>
      </c>
      <c r="O176" s="24" t="e">
        <f t="shared" ca="1" si="628"/>
        <v>#VALUE!</v>
      </c>
      <c r="P176" s="24" t="e">
        <f t="shared" ca="1" si="628"/>
        <v>#VALUE!</v>
      </c>
      <c r="Q176" s="24" t="e">
        <f t="shared" ca="1" si="628"/>
        <v>#VALUE!</v>
      </c>
      <c r="R176" s="24" t="e">
        <f t="shared" ca="1" si="628"/>
        <v>#VALUE!</v>
      </c>
      <c r="S176" s="24" t="e">
        <f t="shared" ca="1" si="628"/>
        <v>#VALUE!</v>
      </c>
      <c r="T176" s="24" t="e">
        <f t="shared" ca="1" si="628"/>
        <v>#VALUE!</v>
      </c>
      <c r="U176" s="24" t="e">
        <f t="shared" ca="1" si="628"/>
        <v>#VALUE!</v>
      </c>
      <c r="V176" s="24" t="e">
        <f t="shared" ca="1" si="628"/>
        <v>#VALUE!</v>
      </c>
      <c r="W176" s="24" t="e">
        <f t="shared" ca="1" si="628"/>
        <v>#VALUE!</v>
      </c>
      <c r="X176" s="24" t="e">
        <f t="shared" ca="1" si="628"/>
        <v>#VALUE!</v>
      </c>
      <c r="Y176" s="24" t="e">
        <f t="shared" ca="1" si="628"/>
        <v>#VALUE!</v>
      </c>
      <c r="Z176" s="24" t="e">
        <f t="shared" ca="1" si="628"/>
        <v>#VALUE!</v>
      </c>
      <c r="AA176" s="24" t="e">
        <f t="shared" ca="1" si="628"/>
        <v>#VALUE!</v>
      </c>
      <c r="AB176" s="24" t="e">
        <f t="shared" ca="1" si="628"/>
        <v>#VALUE!</v>
      </c>
      <c r="AC176" s="24" t="e">
        <f t="shared" ca="1" si="628"/>
        <v>#VALUE!</v>
      </c>
      <c r="AD176" s="24" t="e">
        <f t="shared" ca="1" si="628"/>
        <v>#VALUE!</v>
      </c>
      <c r="AE176" s="24" t="e">
        <f t="shared" ca="1" si="628"/>
        <v>#VALUE!</v>
      </c>
      <c r="AF176" s="24" t="e">
        <f t="shared" ca="1" si="628"/>
        <v>#VALUE!</v>
      </c>
      <c r="AG176" s="24" t="e">
        <f t="shared" ca="1" si="628"/>
        <v>#VALUE!</v>
      </c>
      <c r="AH176" s="24" t="e">
        <f t="shared" ca="1" si="628"/>
        <v>#VALUE!</v>
      </c>
      <c r="AI176" s="24" t="e">
        <f t="shared" ca="1" si="628"/>
        <v>#VALUE!</v>
      </c>
      <c r="AJ176" s="24" t="e">
        <f t="shared" ca="1" si="628"/>
        <v>#VALUE!</v>
      </c>
      <c r="AK176" s="24" t="e">
        <f t="shared" ca="1" si="628"/>
        <v>#VALUE!</v>
      </c>
      <c r="AL176" s="24" t="e">
        <f t="shared" ca="1" si="628"/>
        <v>#VALUE!</v>
      </c>
      <c r="AM176" s="24" t="e">
        <f t="shared" ca="1" si="628"/>
        <v>#VALUE!</v>
      </c>
      <c r="AN176" s="24" t="e">
        <f t="shared" ca="1" si="628"/>
        <v>#VALUE!</v>
      </c>
      <c r="AO176" s="24" t="e">
        <f t="shared" ca="1" si="628"/>
        <v>#VALUE!</v>
      </c>
      <c r="AP176" s="24" t="e">
        <f t="shared" ca="1" si="628"/>
        <v>#VALUE!</v>
      </c>
    </row>
    <row r="177" spans="1:42" s="165" customFormat="1" ht="46.5" customHeight="1" x14ac:dyDescent="0.25">
      <c r="A177" s="39" t="s">
        <v>303</v>
      </c>
      <c r="B177" s="24">
        <f t="shared" si="624"/>
        <v>180</v>
      </c>
      <c r="C177" s="24">
        <f t="shared" ref="C177:AP177" ca="1" si="629">IF(AND(B217=0,B219=0,B220=0), B177+$B$102, IF(B220=1, "конец жизненного цикла", $B$177))</f>
        <v>360</v>
      </c>
      <c r="D177" s="24">
        <f t="shared" ca="1" si="629"/>
        <v>540</v>
      </c>
      <c r="E177" s="24">
        <f t="shared" ca="1" si="629"/>
        <v>180</v>
      </c>
      <c r="F177" s="24">
        <f t="shared" ca="1" si="629"/>
        <v>360</v>
      </c>
      <c r="G177" s="24">
        <f t="shared" ca="1" si="629"/>
        <v>540</v>
      </c>
      <c r="H177" s="24">
        <f t="shared" ca="1" si="629"/>
        <v>180</v>
      </c>
      <c r="I177" s="24">
        <f t="shared" ca="1" si="629"/>
        <v>360</v>
      </c>
      <c r="J177" s="24">
        <f t="shared" ca="1" si="629"/>
        <v>540</v>
      </c>
      <c r="K177" s="24" t="str">
        <f t="shared" ca="1" si="629"/>
        <v>конец жизненного цикла</v>
      </c>
      <c r="L177" s="24" t="e">
        <f t="shared" ca="1" si="629"/>
        <v>#VALUE!</v>
      </c>
      <c r="M177" s="24" t="e">
        <f t="shared" ca="1" si="629"/>
        <v>#VALUE!</v>
      </c>
      <c r="N177" s="24" t="e">
        <f t="shared" ca="1" si="629"/>
        <v>#VALUE!</v>
      </c>
      <c r="O177" s="24" t="e">
        <f t="shared" ca="1" si="629"/>
        <v>#VALUE!</v>
      </c>
      <c r="P177" s="24" t="e">
        <f t="shared" ca="1" si="629"/>
        <v>#VALUE!</v>
      </c>
      <c r="Q177" s="24" t="e">
        <f t="shared" ca="1" si="629"/>
        <v>#VALUE!</v>
      </c>
      <c r="R177" s="24" t="e">
        <f t="shared" ca="1" si="629"/>
        <v>#VALUE!</v>
      </c>
      <c r="S177" s="24" t="e">
        <f t="shared" ca="1" si="629"/>
        <v>#VALUE!</v>
      </c>
      <c r="T177" s="24" t="e">
        <f t="shared" ca="1" si="629"/>
        <v>#VALUE!</v>
      </c>
      <c r="U177" s="24" t="e">
        <f t="shared" ca="1" si="629"/>
        <v>#VALUE!</v>
      </c>
      <c r="V177" s="24" t="e">
        <f t="shared" ca="1" si="629"/>
        <v>#VALUE!</v>
      </c>
      <c r="W177" s="24" t="e">
        <f t="shared" ca="1" si="629"/>
        <v>#VALUE!</v>
      </c>
      <c r="X177" s="24" t="e">
        <f t="shared" ca="1" si="629"/>
        <v>#VALUE!</v>
      </c>
      <c r="Y177" s="24" t="e">
        <f t="shared" ca="1" si="629"/>
        <v>#VALUE!</v>
      </c>
      <c r="Z177" s="24" t="e">
        <f t="shared" ca="1" si="629"/>
        <v>#VALUE!</v>
      </c>
      <c r="AA177" s="24" t="e">
        <f t="shared" ca="1" si="629"/>
        <v>#VALUE!</v>
      </c>
      <c r="AB177" s="24" t="e">
        <f t="shared" ca="1" si="629"/>
        <v>#VALUE!</v>
      </c>
      <c r="AC177" s="24" t="e">
        <f t="shared" ca="1" si="629"/>
        <v>#VALUE!</v>
      </c>
      <c r="AD177" s="24" t="e">
        <f t="shared" ca="1" si="629"/>
        <v>#VALUE!</v>
      </c>
      <c r="AE177" s="24" t="e">
        <f t="shared" ca="1" si="629"/>
        <v>#VALUE!</v>
      </c>
      <c r="AF177" s="24" t="e">
        <f t="shared" ca="1" si="629"/>
        <v>#VALUE!</v>
      </c>
      <c r="AG177" s="24" t="e">
        <f t="shared" ca="1" si="629"/>
        <v>#VALUE!</v>
      </c>
      <c r="AH177" s="24" t="e">
        <f t="shared" ca="1" si="629"/>
        <v>#VALUE!</v>
      </c>
      <c r="AI177" s="24" t="e">
        <f t="shared" ca="1" si="629"/>
        <v>#VALUE!</v>
      </c>
      <c r="AJ177" s="24" t="e">
        <f t="shared" ca="1" si="629"/>
        <v>#VALUE!</v>
      </c>
      <c r="AK177" s="24" t="e">
        <f t="shared" ca="1" si="629"/>
        <v>#VALUE!</v>
      </c>
      <c r="AL177" s="24" t="e">
        <f t="shared" ca="1" si="629"/>
        <v>#VALUE!</v>
      </c>
      <c r="AM177" s="24" t="e">
        <f t="shared" ca="1" si="629"/>
        <v>#VALUE!</v>
      </c>
      <c r="AN177" s="24" t="e">
        <f t="shared" ca="1" si="629"/>
        <v>#VALUE!</v>
      </c>
      <c r="AO177" s="24" t="e">
        <f t="shared" ca="1" si="629"/>
        <v>#VALUE!</v>
      </c>
      <c r="AP177" s="24" t="e">
        <f t="shared" ca="1" si="629"/>
        <v>#VALUE!</v>
      </c>
    </row>
    <row r="178" spans="1:42" ht="15.75" x14ac:dyDescent="0.25">
      <c r="A178" s="139" t="s">
        <v>305</v>
      </c>
      <c r="B178" s="137">
        <f>(B172/B$170)*1000000</f>
        <v>7775377.9697624184</v>
      </c>
      <c r="C178" s="137">
        <f ca="1">(C172/C$170)*1000000</f>
        <v>15550755.939524837</v>
      </c>
      <c r="D178" s="137">
        <f t="shared" ref="D178:AP178" ca="1" si="630">(D172/D$170)*1000000</f>
        <v>23326133.909287255</v>
      </c>
      <c r="E178" s="137">
        <f t="shared" ca="1" si="630"/>
        <v>31101511.879049674</v>
      </c>
      <c r="F178" s="137">
        <f t="shared" ca="1" si="630"/>
        <v>38876889.848812088</v>
      </c>
      <c r="G178" s="137">
        <f t="shared" ca="1" si="630"/>
        <v>7775377.9697624184</v>
      </c>
      <c r="H178" s="137">
        <f t="shared" ca="1" si="630"/>
        <v>15550755.939524837</v>
      </c>
      <c r="I178" s="137">
        <f t="shared" ca="1" si="630"/>
        <v>23326133.909287255</v>
      </c>
      <c r="J178" s="137">
        <f t="shared" ca="1" si="630"/>
        <v>31101511.879049674</v>
      </c>
      <c r="K178" s="137" t="e">
        <f t="shared" ca="1" si="630"/>
        <v>#VALUE!</v>
      </c>
      <c r="L178" s="137" t="e">
        <f t="shared" ca="1" si="630"/>
        <v>#VALUE!</v>
      </c>
      <c r="M178" s="137" t="e">
        <f t="shared" ca="1" si="630"/>
        <v>#VALUE!</v>
      </c>
      <c r="N178" s="137" t="e">
        <f t="shared" ca="1" si="630"/>
        <v>#VALUE!</v>
      </c>
      <c r="O178" s="137" t="e">
        <f t="shared" ca="1" si="630"/>
        <v>#VALUE!</v>
      </c>
      <c r="P178" s="137" t="e">
        <f t="shared" ca="1" si="630"/>
        <v>#VALUE!</v>
      </c>
      <c r="Q178" s="137" t="e">
        <f t="shared" ca="1" si="630"/>
        <v>#VALUE!</v>
      </c>
      <c r="R178" s="137" t="e">
        <f t="shared" ca="1" si="630"/>
        <v>#VALUE!</v>
      </c>
      <c r="S178" s="137" t="e">
        <f t="shared" ca="1" si="630"/>
        <v>#VALUE!</v>
      </c>
      <c r="T178" s="137" t="e">
        <f t="shared" ca="1" si="630"/>
        <v>#VALUE!</v>
      </c>
      <c r="U178" s="137" t="e">
        <f t="shared" ca="1" si="630"/>
        <v>#VALUE!</v>
      </c>
      <c r="V178" s="137" t="e">
        <f t="shared" ca="1" si="630"/>
        <v>#VALUE!</v>
      </c>
      <c r="W178" s="137" t="e">
        <f t="shared" ca="1" si="630"/>
        <v>#VALUE!</v>
      </c>
      <c r="X178" s="137" t="e">
        <f t="shared" ca="1" si="630"/>
        <v>#VALUE!</v>
      </c>
      <c r="Y178" s="137" t="e">
        <f t="shared" ca="1" si="630"/>
        <v>#VALUE!</v>
      </c>
      <c r="Z178" s="137" t="e">
        <f t="shared" ca="1" si="630"/>
        <v>#VALUE!</v>
      </c>
      <c r="AA178" s="137" t="e">
        <f t="shared" ca="1" si="630"/>
        <v>#VALUE!</v>
      </c>
      <c r="AB178" s="137" t="e">
        <f t="shared" ca="1" si="630"/>
        <v>#VALUE!</v>
      </c>
      <c r="AC178" s="137" t="e">
        <f t="shared" ca="1" si="630"/>
        <v>#VALUE!</v>
      </c>
      <c r="AD178" s="137" t="e">
        <f t="shared" ca="1" si="630"/>
        <v>#VALUE!</v>
      </c>
      <c r="AE178" s="137" t="e">
        <f t="shared" ca="1" si="630"/>
        <v>#VALUE!</v>
      </c>
      <c r="AF178" s="137" t="e">
        <f t="shared" ca="1" si="630"/>
        <v>#VALUE!</v>
      </c>
      <c r="AG178" s="137" t="e">
        <f t="shared" ca="1" si="630"/>
        <v>#VALUE!</v>
      </c>
      <c r="AH178" s="137" t="e">
        <f t="shared" ca="1" si="630"/>
        <v>#VALUE!</v>
      </c>
      <c r="AI178" s="137" t="e">
        <f t="shared" ca="1" si="630"/>
        <v>#VALUE!</v>
      </c>
      <c r="AJ178" s="137" t="e">
        <f t="shared" ca="1" si="630"/>
        <v>#VALUE!</v>
      </c>
      <c r="AK178" s="137" t="e">
        <f t="shared" ca="1" si="630"/>
        <v>#VALUE!</v>
      </c>
      <c r="AL178" s="137" t="e">
        <f t="shared" ca="1" si="630"/>
        <v>#VALUE!</v>
      </c>
      <c r="AM178" s="137" t="e">
        <f t="shared" ca="1" si="630"/>
        <v>#VALUE!</v>
      </c>
      <c r="AN178" s="137" t="e">
        <f t="shared" ca="1" si="630"/>
        <v>#VALUE!</v>
      </c>
      <c r="AO178" s="137" t="e">
        <f t="shared" ca="1" si="630"/>
        <v>#VALUE!</v>
      </c>
      <c r="AP178" s="137" t="e">
        <f t="shared" ca="1" si="630"/>
        <v>#VALUE!</v>
      </c>
    </row>
    <row r="179" spans="1:42" ht="15.75" x14ac:dyDescent="0.25">
      <c r="A179" s="139" t="s">
        <v>307</v>
      </c>
      <c r="B179" s="137">
        <f t="shared" ref="B179:C183" si="631">(B173/B$170)*1000000</f>
        <v>7775377.9697624184</v>
      </c>
      <c r="C179" s="137">
        <f t="shared" ca="1" si="631"/>
        <v>15550755.939524837</v>
      </c>
      <c r="D179" s="137">
        <f t="shared" ref="D179:AP179" ca="1" si="632">(D173/D$170)*1000000</f>
        <v>23326133.909287255</v>
      </c>
      <c r="E179" s="137">
        <f t="shared" ca="1" si="632"/>
        <v>31101511.879049674</v>
      </c>
      <c r="F179" s="137">
        <f t="shared" ca="1" si="632"/>
        <v>38876889.848812088</v>
      </c>
      <c r="G179" s="137">
        <f t="shared" ca="1" si="632"/>
        <v>46652267.818574511</v>
      </c>
      <c r="H179" s="137">
        <f t="shared" ca="1" si="632"/>
        <v>54427645.788336925</v>
      </c>
      <c r="I179" s="137">
        <f t="shared" ca="1" si="632"/>
        <v>62203023.758099347</v>
      </c>
      <c r="J179" s="137">
        <f t="shared" ca="1" si="632"/>
        <v>69978401.727861762</v>
      </c>
      <c r="K179" s="137" t="e">
        <f t="shared" ca="1" si="632"/>
        <v>#VALUE!</v>
      </c>
      <c r="L179" s="137" t="e">
        <f t="shared" ca="1" si="632"/>
        <v>#VALUE!</v>
      </c>
      <c r="M179" s="137" t="e">
        <f t="shared" ca="1" si="632"/>
        <v>#VALUE!</v>
      </c>
      <c r="N179" s="137" t="e">
        <f t="shared" ca="1" si="632"/>
        <v>#VALUE!</v>
      </c>
      <c r="O179" s="137" t="e">
        <f t="shared" ca="1" si="632"/>
        <v>#VALUE!</v>
      </c>
      <c r="P179" s="137" t="e">
        <f t="shared" ca="1" si="632"/>
        <v>#VALUE!</v>
      </c>
      <c r="Q179" s="137" t="e">
        <f t="shared" ca="1" si="632"/>
        <v>#VALUE!</v>
      </c>
      <c r="R179" s="137" t="e">
        <f t="shared" ca="1" si="632"/>
        <v>#VALUE!</v>
      </c>
      <c r="S179" s="137" t="e">
        <f t="shared" ca="1" si="632"/>
        <v>#VALUE!</v>
      </c>
      <c r="T179" s="137" t="e">
        <f t="shared" ca="1" si="632"/>
        <v>#VALUE!</v>
      </c>
      <c r="U179" s="137" t="e">
        <f t="shared" ca="1" si="632"/>
        <v>#VALUE!</v>
      </c>
      <c r="V179" s="137" t="e">
        <f t="shared" ca="1" si="632"/>
        <v>#VALUE!</v>
      </c>
      <c r="W179" s="137" t="e">
        <f t="shared" ca="1" si="632"/>
        <v>#VALUE!</v>
      </c>
      <c r="X179" s="137" t="e">
        <f t="shared" ca="1" si="632"/>
        <v>#VALUE!</v>
      </c>
      <c r="Y179" s="137" t="e">
        <f t="shared" ca="1" si="632"/>
        <v>#VALUE!</v>
      </c>
      <c r="Z179" s="137" t="e">
        <f t="shared" ca="1" si="632"/>
        <v>#VALUE!</v>
      </c>
      <c r="AA179" s="137" t="e">
        <f t="shared" ca="1" si="632"/>
        <v>#VALUE!</v>
      </c>
      <c r="AB179" s="137" t="e">
        <f t="shared" ca="1" si="632"/>
        <v>#VALUE!</v>
      </c>
      <c r="AC179" s="137" t="e">
        <f t="shared" ca="1" si="632"/>
        <v>#VALUE!</v>
      </c>
      <c r="AD179" s="137" t="e">
        <f t="shared" ca="1" si="632"/>
        <v>#VALUE!</v>
      </c>
      <c r="AE179" s="137" t="e">
        <f t="shared" ca="1" si="632"/>
        <v>#VALUE!</v>
      </c>
      <c r="AF179" s="137" t="e">
        <f t="shared" ca="1" si="632"/>
        <v>#VALUE!</v>
      </c>
      <c r="AG179" s="137" t="e">
        <f t="shared" ca="1" si="632"/>
        <v>#VALUE!</v>
      </c>
      <c r="AH179" s="137" t="e">
        <f t="shared" ca="1" si="632"/>
        <v>#VALUE!</v>
      </c>
      <c r="AI179" s="137" t="e">
        <f t="shared" ca="1" si="632"/>
        <v>#VALUE!</v>
      </c>
      <c r="AJ179" s="137" t="e">
        <f t="shared" ca="1" si="632"/>
        <v>#VALUE!</v>
      </c>
      <c r="AK179" s="137" t="e">
        <f t="shared" ca="1" si="632"/>
        <v>#VALUE!</v>
      </c>
      <c r="AL179" s="137" t="e">
        <f t="shared" ca="1" si="632"/>
        <v>#VALUE!</v>
      </c>
      <c r="AM179" s="137" t="e">
        <f t="shared" ca="1" si="632"/>
        <v>#VALUE!</v>
      </c>
      <c r="AN179" s="137" t="e">
        <f t="shared" ca="1" si="632"/>
        <v>#VALUE!</v>
      </c>
      <c r="AO179" s="137" t="e">
        <f t="shared" ca="1" si="632"/>
        <v>#VALUE!</v>
      </c>
      <c r="AP179" s="137" t="e">
        <f t="shared" ca="1" si="632"/>
        <v>#VALUE!</v>
      </c>
    </row>
    <row r="180" spans="1:42" ht="15.75" x14ac:dyDescent="0.25">
      <c r="A180" s="139" t="s">
        <v>306</v>
      </c>
      <c r="B180" s="137">
        <f t="shared" si="631"/>
        <v>7775377.9697624184</v>
      </c>
      <c r="C180" s="137">
        <f t="shared" ca="1" si="631"/>
        <v>15550755.939524837</v>
      </c>
      <c r="D180" s="137">
        <f t="shared" ref="D180:AP180" ca="1" si="633">(D174/D$170)*1000000</f>
        <v>23326133.909287255</v>
      </c>
      <c r="E180" s="137">
        <f t="shared" ca="1" si="633"/>
        <v>31101511.879049674</v>
      </c>
      <c r="F180" s="137">
        <f t="shared" ca="1" si="633"/>
        <v>38876889.848812088</v>
      </c>
      <c r="G180" s="137">
        <f t="shared" ca="1" si="633"/>
        <v>46652267.818574511</v>
      </c>
      <c r="H180" s="137">
        <f t="shared" ca="1" si="633"/>
        <v>54427645.788336925</v>
      </c>
      <c r="I180" s="137">
        <f t="shared" ca="1" si="633"/>
        <v>62203023.758099347</v>
      </c>
      <c r="J180" s="137">
        <f t="shared" ca="1" si="633"/>
        <v>69978401.727861762</v>
      </c>
      <c r="K180" s="137" t="e">
        <f t="shared" ca="1" si="633"/>
        <v>#VALUE!</v>
      </c>
      <c r="L180" s="137" t="e">
        <f t="shared" ca="1" si="633"/>
        <v>#VALUE!</v>
      </c>
      <c r="M180" s="137" t="e">
        <f t="shared" ca="1" si="633"/>
        <v>#VALUE!</v>
      </c>
      <c r="N180" s="137" t="e">
        <f t="shared" ca="1" si="633"/>
        <v>#VALUE!</v>
      </c>
      <c r="O180" s="137" t="e">
        <f t="shared" ca="1" si="633"/>
        <v>#VALUE!</v>
      </c>
      <c r="P180" s="137" t="e">
        <f t="shared" ca="1" si="633"/>
        <v>#VALUE!</v>
      </c>
      <c r="Q180" s="137" t="e">
        <f t="shared" ca="1" si="633"/>
        <v>#VALUE!</v>
      </c>
      <c r="R180" s="137" t="e">
        <f t="shared" ca="1" si="633"/>
        <v>#VALUE!</v>
      </c>
      <c r="S180" s="137" t="e">
        <f t="shared" ca="1" si="633"/>
        <v>#VALUE!</v>
      </c>
      <c r="T180" s="137" t="e">
        <f t="shared" ca="1" si="633"/>
        <v>#VALUE!</v>
      </c>
      <c r="U180" s="137" t="e">
        <f t="shared" ca="1" si="633"/>
        <v>#VALUE!</v>
      </c>
      <c r="V180" s="137" t="e">
        <f t="shared" ca="1" si="633"/>
        <v>#VALUE!</v>
      </c>
      <c r="W180" s="137" t="e">
        <f t="shared" ca="1" si="633"/>
        <v>#VALUE!</v>
      </c>
      <c r="X180" s="137" t="e">
        <f t="shared" ca="1" si="633"/>
        <v>#VALUE!</v>
      </c>
      <c r="Y180" s="137" t="e">
        <f t="shared" ca="1" si="633"/>
        <v>#VALUE!</v>
      </c>
      <c r="Z180" s="137" t="e">
        <f t="shared" ca="1" si="633"/>
        <v>#VALUE!</v>
      </c>
      <c r="AA180" s="137" t="e">
        <f t="shared" ca="1" si="633"/>
        <v>#VALUE!</v>
      </c>
      <c r="AB180" s="137" t="e">
        <f t="shared" ca="1" si="633"/>
        <v>#VALUE!</v>
      </c>
      <c r="AC180" s="137" t="e">
        <f t="shared" ca="1" si="633"/>
        <v>#VALUE!</v>
      </c>
      <c r="AD180" s="137" t="e">
        <f t="shared" ca="1" si="633"/>
        <v>#VALUE!</v>
      </c>
      <c r="AE180" s="137" t="e">
        <f t="shared" ca="1" si="633"/>
        <v>#VALUE!</v>
      </c>
      <c r="AF180" s="137" t="e">
        <f t="shared" ca="1" si="633"/>
        <v>#VALUE!</v>
      </c>
      <c r="AG180" s="137" t="e">
        <f t="shared" ca="1" si="633"/>
        <v>#VALUE!</v>
      </c>
      <c r="AH180" s="137" t="e">
        <f t="shared" ca="1" si="633"/>
        <v>#VALUE!</v>
      </c>
      <c r="AI180" s="137" t="e">
        <f t="shared" ca="1" si="633"/>
        <v>#VALUE!</v>
      </c>
      <c r="AJ180" s="137" t="e">
        <f t="shared" ca="1" si="633"/>
        <v>#VALUE!</v>
      </c>
      <c r="AK180" s="137" t="e">
        <f t="shared" ca="1" si="633"/>
        <v>#VALUE!</v>
      </c>
      <c r="AL180" s="137" t="e">
        <f t="shared" ca="1" si="633"/>
        <v>#VALUE!</v>
      </c>
      <c r="AM180" s="137" t="e">
        <f t="shared" ca="1" si="633"/>
        <v>#VALUE!</v>
      </c>
      <c r="AN180" s="137" t="e">
        <f t="shared" ca="1" si="633"/>
        <v>#VALUE!</v>
      </c>
      <c r="AO180" s="137" t="e">
        <f t="shared" ca="1" si="633"/>
        <v>#VALUE!</v>
      </c>
      <c r="AP180" s="137" t="e">
        <f t="shared" ca="1" si="633"/>
        <v>#VALUE!</v>
      </c>
    </row>
    <row r="181" spans="1:42" ht="31.5" x14ac:dyDescent="0.25">
      <c r="A181" s="139" t="s">
        <v>308</v>
      </c>
      <c r="B181" s="137">
        <f t="shared" si="631"/>
        <v>7775377.9697624184</v>
      </c>
      <c r="C181" s="137">
        <f t="shared" ca="1" si="631"/>
        <v>15550755.939524837</v>
      </c>
      <c r="D181" s="137">
        <f t="shared" ref="D181:AP181" ca="1" si="634">(D175/D$170)*1000000</f>
        <v>7775377.9697624184</v>
      </c>
      <c r="E181" s="137">
        <f t="shared" ca="1" si="634"/>
        <v>7775377.9697624184</v>
      </c>
      <c r="F181" s="137">
        <f t="shared" ca="1" si="634"/>
        <v>15550755.939524837</v>
      </c>
      <c r="G181" s="137">
        <f t="shared" ca="1" si="634"/>
        <v>7775377.9697624184</v>
      </c>
      <c r="H181" s="137">
        <f t="shared" ca="1" si="634"/>
        <v>7775377.9697624184</v>
      </c>
      <c r="I181" s="137">
        <f t="shared" ca="1" si="634"/>
        <v>15550755.939524837</v>
      </c>
      <c r="J181" s="137">
        <f t="shared" ca="1" si="634"/>
        <v>7775377.9697624184</v>
      </c>
      <c r="K181" s="137" t="e">
        <f t="shared" ca="1" si="634"/>
        <v>#VALUE!</v>
      </c>
      <c r="L181" s="137" t="e">
        <f t="shared" ca="1" si="634"/>
        <v>#VALUE!</v>
      </c>
      <c r="M181" s="137" t="e">
        <f t="shared" ca="1" si="634"/>
        <v>#VALUE!</v>
      </c>
      <c r="N181" s="137" t="e">
        <f t="shared" ca="1" si="634"/>
        <v>#VALUE!</v>
      </c>
      <c r="O181" s="137" t="e">
        <f t="shared" ca="1" si="634"/>
        <v>#VALUE!</v>
      </c>
      <c r="P181" s="137" t="e">
        <f t="shared" ca="1" si="634"/>
        <v>#VALUE!</v>
      </c>
      <c r="Q181" s="137" t="e">
        <f t="shared" ca="1" si="634"/>
        <v>#VALUE!</v>
      </c>
      <c r="R181" s="137" t="e">
        <f t="shared" ca="1" si="634"/>
        <v>#VALUE!</v>
      </c>
      <c r="S181" s="137" t="e">
        <f t="shared" ca="1" si="634"/>
        <v>#VALUE!</v>
      </c>
      <c r="T181" s="137" t="e">
        <f t="shared" ca="1" si="634"/>
        <v>#VALUE!</v>
      </c>
      <c r="U181" s="137" t="e">
        <f t="shared" ca="1" si="634"/>
        <v>#VALUE!</v>
      </c>
      <c r="V181" s="137" t="e">
        <f t="shared" ca="1" si="634"/>
        <v>#VALUE!</v>
      </c>
      <c r="W181" s="137" t="e">
        <f t="shared" ca="1" si="634"/>
        <v>#VALUE!</v>
      </c>
      <c r="X181" s="137" t="e">
        <f t="shared" ca="1" si="634"/>
        <v>#VALUE!</v>
      </c>
      <c r="Y181" s="137" t="e">
        <f t="shared" ca="1" si="634"/>
        <v>#VALUE!</v>
      </c>
      <c r="Z181" s="137" t="e">
        <f t="shared" ca="1" si="634"/>
        <v>#VALUE!</v>
      </c>
      <c r="AA181" s="137" t="e">
        <f t="shared" ca="1" si="634"/>
        <v>#VALUE!</v>
      </c>
      <c r="AB181" s="137" t="e">
        <f t="shared" ca="1" si="634"/>
        <v>#VALUE!</v>
      </c>
      <c r="AC181" s="137" t="e">
        <f t="shared" ca="1" si="634"/>
        <v>#VALUE!</v>
      </c>
      <c r="AD181" s="137" t="e">
        <f t="shared" ca="1" si="634"/>
        <v>#VALUE!</v>
      </c>
      <c r="AE181" s="137" t="e">
        <f t="shared" ca="1" si="634"/>
        <v>#VALUE!</v>
      </c>
      <c r="AF181" s="137" t="e">
        <f t="shared" ca="1" si="634"/>
        <v>#VALUE!</v>
      </c>
      <c r="AG181" s="137" t="e">
        <f t="shared" ca="1" si="634"/>
        <v>#VALUE!</v>
      </c>
      <c r="AH181" s="137" t="e">
        <f t="shared" ca="1" si="634"/>
        <v>#VALUE!</v>
      </c>
      <c r="AI181" s="137" t="e">
        <f t="shared" ca="1" si="634"/>
        <v>#VALUE!</v>
      </c>
      <c r="AJ181" s="137" t="e">
        <f t="shared" ca="1" si="634"/>
        <v>#VALUE!</v>
      </c>
      <c r="AK181" s="137" t="e">
        <f t="shared" ca="1" si="634"/>
        <v>#VALUE!</v>
      </c>
      <c r="AL181" s="137" t="e">
        <f t="shared" ca="1" si="634"/>
        <v>#VALUE!</v>
      </c>
      <c r="AM181" s="137" t="e">
        <f t="shared" ca="1" si="634"/>
        <v>#VALUE!</v>
      </c>
      <c r="AN181" s="137" t="e">
        <f t="shared" ca="1" si="634"/>
        <v>#VALUE!</v>
      </c>
      <c r="AO181" s="137" t="e">
        <f t="shared" ca="1" si="634"/>
        <v>#VALUE!</v>
      </c>
      <c r="AP181" s="137" t="e">
        <f t="shared" ca="1" si="634"/>
        <v>#VALUE!</v>
      </c>
    </row>
    <row r="182" spans="1:42" ht="31.5" x14ac:dyDescent="0.25">
      <c r="A182" s="139" t="s">
        <v>310</v>
      </c>
      <c r="B182" s="137">
        <f t="shared" si="631"/>
        <v>7775377.9697624184</v>
      </c>
      <c r="C182" s="137">
        <f t="shared" ref="C182:AP182" ca="1" si="635">(C176/C$170)*1000000</f>
        <v>15550755.939524837</v>
      </c>
      <c r="D182" s="137">
        <f t="shared" ca="1" si="635"/>
        <v>7775377.9697624184</v>
      </c>
      <c r="E182" s="137">
        <f t="shared" ca="1" si="635"/>
        <v>7775377.9697624184</v>
      </c>
      <c r="F182" s="137">
        <f t="shared" ca="1" si="635"/>
        <v>15550755.939524837</v>
      </c>
      <c r="G182" s="137">
        <f t="shared" ca="1" si="635"/>
        <v>7775377.9697624184</v>
      </c>
      <c r="H182" s="137">
        <f t="shared" ca="1" si="635"/>
        <v>7775377.9697624184</v>
      </c>
      <c r="I182" s="137">
        <f t="shared" ca="1" si="635"/>
        <v>15550755.939524837</v>
      </c>
      <c r="J182" s="137">
        <f t="shared" ca="1" si="635"/>
        <v>7775377.9697624184</v>
      </c>
      <c r="K182" s="137" t="e">
        <f t="shared" ca="1" si="635"/>
        <v>#VALUE!</v>
      </c>
      <c r="L182" s="137" t="e">
        <f t="shared" ca="1" si="635"/>
        <v>#VALUE!</v>
      </c>
      <c r="M182" s="137" t="e">
        <f t="shared" ca="1" si="635"/>
        <v>#VALUE!</v>
      </c>
      <c r="N182" s="137" t="e">
        <f t="shared" ca="1" si="635"/>
        <v>#VALUE!</v>
      </c>
      <c r="O182" s="137" t="e">
        <f t="shared" ca="1" si="635"/>
        <v>#VALUE!</v>
      </c>
      <c r="P182" s="137" t="e">
        <f t="shared" ca="1" si="635"/>
        <v>#VALUE!</v>
      </c>
      <c r="Q182" s="137" t="e">
        <f t="shared" ca="1" si="635"/>
        <v>#VALUE!</v>
      </c>
      <c r="R182" s="137" t="e">
        <f t="shared" ca="1" si="635"/>
        <v>#VALUE!</v>
      </c>
      <c r="S182" s="137" t="e">
        <f t="shared" ca="1" si="635"/>
        <v>#VALUE!</v>
      </c>
      <c r="T182" s="137" t="e">
        <f t="shared" ca="1" si="635"/>
        <v>#VALUE!</v>
      </c>
      <c r="U182" s="137" t="e">
        <f t="shared" ca="1" si="635"/>
        <v>#VALUE!</v>
      </c>
      <c r="V182" s="137" t="e">
        <f t="shared" ca="1" si="635"/>
        <v>#VALUE!</v>
      </c>
      <c r="W182" s="137" t="e">
        <f t="shared" ca="1" si="635"/>
        <v>#VALUE!</v>
      </c>
      <c r="X182" s="137" t="e">
        <f t="shared" ca="1" si="635"/>
        <v>#VALUE!</v>
      </c>
      <c r="Y182" s="137" t="e">
        <f t="shared" ca="1" si="635"/>
        <v>#VALUE!</v>
      </c>
      <c r="Z182" s="137" t="e">
        <f t="shared" ca="1" si="635"/>
        <v>#VALUE!</v>
      </c>
      <c r="AA182" s="137" t="e">
        <f t="shared" ca="1" si="635"/>
        <v>#VALUE!</v>
      </c>
      <c r="AB182" s="137" t="e">
        <f t="shared" ca="1" si="635"/>
        <v>#VALUE!</v>
      </c>
      <c r="AC182" s="137" t="e">
        <f t="shared" ca="1" si="635"/>
        <v>#VALUE!</v>
      </c>
      <c r="AD182" s="137" t="e">
        <f t="shared" ca="1" si="635"/>
        <v>#VALUE!</v>
      </c>
      <c r="AE182" s="137" t="e">
        <f t="shared" ca="1" si="635"/>
        <v>#VALUE!</v>
      </c>
      <c r="AF182" s="137" t="e">
        <f t="shared" ca="1" si="635"/>
        <v>#VALUE!</v>
      </c>
      <c r="AG182" s="137" t="e">
        <f t="shared" ca="1" si="635"/>
        <v>#VALUE!</v>
      </c>
      <c r="AH182" s="137" t="e">
        <f t="shared" ca="1" si="635"/>
        <v>#VALUE!</v>
      </c>
      <c r="AI182" s="137" t="e">
        <f t="shared" ca="1" si="635"/>
        <v>#VALUE!</v>
      </c>
      <c r="AJ182" s="137" t="e">
        <f t="shared" ca="1" si="635"/>
        <v>#VALUE!</v>
      </c>
      <c r="AK182" s="137" t="e">
        <f t="shared" ca="1" si="635"/>
        <v>#VALUE!</v>
      </c>
      <c r="AL182" s="137" t="e">
        <f t="shared" ca="1" si="635"/>
        <v>#VALUE!</v>
      </c>
      <c r="AM182" s="137" t="e">
        <f t="shared" ca="1" si="635"/>
        <v>#VALUE!</v>
      </c>
      <c r="AN182" s="137" t="e">
        <f t="shared" ca="1" si="635"/>
        <v>#VALUE!</v>
      </c>
      <c r="AO182" s="137" t="e">
        <f t="shared" ca="1" si="635"/>
        <v>#VALUE!</v>
      </c>
      <c r="AP182" s="137" t="e">
        <f t="shared" ca="1" si="635"/>
        <v>#VALUE!</v>
      </c>
    </row>
    <row r="183" spans="1:42" ht="15.75" x14ac:dyDescent="0.25">
      <c r="A183" s="139" t="s">
        <v>311</v>
      </c>
      <c r="B183" s="137">
        <f t="shared" si="631"/>
        <v>7775377.9697624184</v>
      </c>
      <c r="C183" s="137">
        <f t="shared" ref="C183:AP183" ca="1" si="636">(C177/C$170)*1000000</f>
        <v>15550755.939524837</v>
      </c>
      <c r="D183" s="137">
        <f t="shared" ca="1" si="636"/>
        <v>23326133.909287255</v>
      </c>
      <c r="E183" s="137">
        <f t="shared" ca="1" si="636"/>
        <v>7775377.9697624184</v>
      </c>
      <c r="F183" s="137">
        <f t="shared" ca="1" si="636"/>
        <v>15550755.939524837</v>
      </c>
      <c r="G183" s="137">
        <f t="shared" ca="1" si="636"/>
        <v>23326133.909287255</v>
      </c>
      <c r="H183" s="137">
        <f t="shared" ca="1" si="636"/>
        <v>7775377.9697624184</v>
      </c>
      <c r="I183" s="137">
        <f t="shared" ca="1" si="636"/>
        <v>15550755.939524837</v>
      </c>
      <c r="J183" s="137">
        <f t="shared" ca="1" si="636"/>
        <v>23326133.909287255</v>
      </c>
      <c r="K183" s="137" t="e">
        <f t="shared" ca="1" si="636"/>
        <v>#VALUE!</v>
      </c>
      <c r="L183" s="137" t="e">
        <f t="shared" ca="1" si="636"/>
        <v>#VALUE!</v>
      </c>
      <c r="M183" s="137" t="e">
        <f t="shared" ca="1" si="636"/>
        <v>#VALUE!</v>
      </c>
      <c r="N183" s="137" t="e">
        <f t="shared" ca="1" si="636"/>
        <v>#VALUE!</v>
      </c>
      <c r="O183" s="137" t="e">
        <f t="shared" ca="1" si="636"/>
        <v>#VALUE!</v>
      </c>
      <c r="P183" s="137" t="e">
        <f t="shared" ca="1" si="636"/>
        <v>#VALUE!</v>
      </c>
      <c r="Q183" s="137" t="e">
        <f t="shared" ca="1" si="636"/>
        <v>#VALUE!</v>
      </c>
      <c r="R183" s="137" t="e">
        <f t="shared" ca="1" si="636"/>
        <v>#VALUE!</v>
      </c>
      <c r="S183" s="137" t="e">
        <f t="shared" ca="1" si="636"/>
        <v>#VALUE!</v>
      </c>
      <c r="T183" s="137" t="e">
        <f t="shared" ca="1" si="636"/>
        <v>#VALUE!</v>
      </c>
      <c r="U183" s="137" t="e">
        <f t="shared" ca="1" si="636"/>
        <v>#VALUE!</v>
      </c>
      <c r="V183" s="137" t="e">
        <f t="shared" ca="1" si="636"/>
        <v>#VALUE!</v>
      </c>
      <c r="W183" s="137" t="e">
        <f t="shared" ca="1" si="636"/>
        <v>#VALUE!</v>
      </c>
      <c r="X183" s="137" t="e">
        <f t="shared" ca="1" si="636"/>
        <v>#VALUE!</v>
      </c>
      <c r="Y183" s="137" t="e">
        <f t="shared" ca="1" si="636"/>
        <v>#VALUE!</v>
      </c>
      <c r="Z183" s="137" t="e">
        <f t="shared" ca="1" si="636"/>
        <v>#VALUE!</v>
      </c>
      <c r="AA183" s="137" t="e">
        <f t="shared" ca="1" si="636"/>
        <v>#VALUE!</v>
      </c>
      <c r="AB183" s="137" t="e">
        <f t="shared" ca="1" si="636"/>
        <v>#VALUE!</v>
      </c>
      <c r="AC183" s="137" t="e">
        <f t="shared" ca="1" si="636"/>
        <v>#VALUE!</v>
      </c>
      <c r="AD183" s="137" t="e">
        <f t="shared" ca="1" si="636"/>
        <v>#VALUE!</v>
      </c>
      <c r="AE183" s="137" t="e">
        <f t="shared" ca="1" si="636"/>
        <v>#VALUE!</v>
      </c>
      <c r="AF183" s="137" t="e">
        <f t="shared" ca="1" si="636"/>
        <v>#VALUE!</v>
      </c>
      <c r="AG183" s="137" t="e">
        <f t="shared" ca="1" si="636"/>
        <v>#VALUE!</v>
      </c>
      <c r="AH183" s="137" t="e">
        <f t="shared" ca="1" si="636"/>
        <v>#VALUE!</v>
      </c>
      <c r="AI183" s="137" t="e">
        <f t="shared" ca="1" si="636"/>
        <v>#VALUE!</v>
      </c>
      <c r="AJ183" s="137" t="e">
        <f t="shared" ca="1" si="636"/>
        <v>#VALUE!</v>
      </c>
      <c r="AK183" s="137" t="e">
        <f t="shared" ca="1" si="636"/>
        <v>#VALUE!</v>
      </c>
      <c r="AL183" s="137" t="e">
        <f t="shared" ca="1" si="636"/>
        <v>#VALUE!</v>
      </c>
      <c r="AM183" s="137" t="e">
        <f t="shared" ca="1" si="636"/>
        <v>#VALUE!</v>
      </c>
      <c r="AN183" s="137" t="e">
        <f t="shared" ca="1" si="636"/>
        <v>#VALUE!</v>
      </c>
      <c r="AO183" s="137" t="e">
        <f t="shared" ca="1" si="636"/>
        <v>#VALUE!</v>
      </c>
      <c r="AP183" s="137" t="e">
        <f t="shared" ca="1" si="636"/>
        <v>#VALUE!</v>
      </c>
    </row>
    <row r="184" spans="1:42" ht="31.5" x14ac:dyDescent="0.25">
      <c r="A184" s="139" t="s">
        <v>309</v>
      </c>
      <c r="B184" s="137">
        <f>(B177/B$170)*1000000</f>
        <v>7775377.9697624184</v>
      </c>
      <c r="C184" s="137">
        <f ca="1">(C177/C$170)*1000000</f>
        <v>15550755.939524837</v>
      </c>
      <c r="D184" s="137">
        <f t="shared" ref="D184:AP184" ca="1" si="637">(D177/D$170)*1000000</f>
        <v>23326133.909287255</v>
      </c>
      <c r="E184" s="137">
        <f t="shared" ca="1" si="637"/>
        <v>7775377.9697624184</v>
      </c>
      <c r="F184" s="137">
        <f t="shared" ca="1" si="637"/>
        <v>15550755.939524837</v>
      </c>
      <c r="G184" s="137">
        <f t="shared" ca="1" si="637"/>
        <v>23326133.909287255</v>
      </c>
      <c r="H184" s="137">
        <f t="shared" ca="1" si="637"/>
        <v>7775377.9697624184</v>
      </c>
      <c r="I184" s="137">
        <f t="shared" ca="1" si="637"/>
        <v>15550755.939524837</v>
      </c>
      <c r="J184" s="137">
        <f t="shared" ca="1" si="637"/>
        <v>23326133.909287255</v>
      </c>
      <c r="K184" s="137" t="e">
        <f t="shared" ca="1" si="637"/>
        <v>#VALUE!</v>
      </c>
      <c r="L184" s="137" t="e">
        <f t="shared" ca="1" si="637"/>
        <v>#VALUE!</v>
      </c>
      <c r="M184" s="137" t="e">
        <f t="shared" ca="1" si="637"/>
        <v>#VALUE!</v>
      </c>
      <c r="N184" s="137" t="e">
        <f t="shared" ca="1" si="637"/>
        <v>#VALUE!</v>
      </c>
      <c r="O184" s="137" t="e">
        <f t="shared" ca="1" si="637"/>
        <v>#VALUE!</v>
      </c>
      <c r="P184" s="137" t="e">
        <f t="shared" ca="1" si="637"/>
        <v>#VALUE!</v>
      </c>
      <c r="Q184" s="137" t="e">
        <f t="shared" ca="1" si="637"/>
        <v>#VALUE!</v>
      </c>
      <c r="R184" s="137" t="e">
        <f t="shared" ca="1" si="637"/>
        <v>#VALUE!</v>
      </c>
      <c r="S184" s="137" t="e">
        <f t="shared" ca="1" si="637"/>
        <v>#VALUE!</v>
      </c>
      <c r="T184" s="137" t="e">
        <f t="shared" ca="1" si="637"/>
        <v>#VALUE!</v>
      </c>
      <c r="U184" s="137" t="e">
        <f t="shared" ca="1" si="637"/>
        <v>#VALUE!</v>
      </c>
      <c r="V184" s="137" t="e">
        <f t="shared" ca="1" si="637"/>
        <v>#VALUE!</v>
      </c>
      <c r="W184" s="137" t="e">
        <f t="shared" ca="1" si="637"/>
        <v>#VALUE!</v>
      </c>
      <c r="X184" s="137" t="e">
        <f t="shared" ca="1" si="637"/>
        <v>#VALUE!</v>
      </c>
      <c r="Y184" s="137" t="e">
        <f t="shared" ca="1" si="637"/>
        <v>#VALUE!</v>
      </c>
      <c r="Z184" s="137" t="e">
        <f t="shared" ca="1" si="637"/>
        <v>#VALUE!</v>
      </c>
      <c r="AA184" s="137" t="e">
        <f t="shared" ca="1" si="637"/>
        <v>#VALUE!</v>
      </c>
      <c r="AB184" s="137" t="e">
        <f t="shared" ca="1" si="637"/>
        <v>#VALUE!</v>
      </c>
      <c r="AC184" s="137" t="e">
        <f t="shared" ca="1" si="637"/>
        <v>#VALUE!</v>
      </c>
      <c r="AD184" s="137" t="e">
        <f t="shared" ca="1" si="637"/>
        <v>#VALUE!</v>
      </c>
      <c r="AE184" s="137" t="e">
        <f t="shared" ca="1" si="637"/>
        <v>#VALUE!</v>
      </c>
      <c r="AF184" s="137" t="e">
        <f t="shared" ca="1" si="637"/>
        <v>#VALUE!</v>
      </c>
      <c r="AG184" s="137" t="e">
        <f t="shared" ca="1" si="637"/>
        <v>#VALUE!</v>
      </c>
      <c r="AH184" s="137" t="e">
        <f t="shared" ca="1" si="637"/>
        <v>#VALUE!</v>
      </c>
      <c r="AI184" s="137" t="e">
        <f t="shared" ca="1" si="637"/>
        <v>#VALUE!</v>
      </c>
      <c r="AJ184" s="137" t="e">
        <f t="shared" ca="1" si="637"/>
        <v>#VALUE!</v>
      </c>
      <c r="AK184" s="137" t="e">
        <f t="shared" ca="1" si="637"/>
        <v>#VALUE!</v>
      </c>
      <c r="AL184" s="137" t="e">
        <f t="shared" ca="1" si="637"/>
        <v>#VALUE!</v>
      </c>
      <c r="AM184" s="137" t="e">
        <f t="shared" ca="1" si="637"/>
        <v>#VALUE!</v>
      </c>
      <c r="AN184" s="137" t="e">
        <f t="shared" ca="1" si="637"/>
        <v>#VALUE!</v>
      </c>
      <c r="AO184" s="137" t="e">
        <f t="shared" ca="1" si="637"/>
        <v>#VALUE!</v>
      </c>
      <c r="AP184" s="137" t="e">
        <f t="shared" ca="1" si="637"/>
        <v>#VALUE!</v>
      </c>
    </row>
    <row r="185" spans="1:42" ht="15.75" x14ac:dyDescent="0.25">
      <c r="A185" s="81" t="s">
        <v>282</v>
      </c>
      <c r="B185" s="102">
        <f ca="1">ABS(($C120*($B120*B$178)^5+$D120*($B120*B$178)^4+ $E120*($B120*B$178)^3+$F120*($B120*B$178)^2+$G120*($B120*B$178)^1+$H120))</f>
        <v>0.66330516693358921</v>
      </c>
      <c r="C185" s="145">
        <f t="shared" ref="C185:AP185" ca="1" si="638">ABS(($C120*($B120*C$178)^5+$D120*($B120*C$178)^4+ $E120*($B120*C$178)^3+$F120*($B120*C$178)^2+$G120*($B120*C$178)^1+$H120))+B185*B$201</f>
        <v>1.1848405062512963</v>
      </c>
      <c r="D185" s="145">
        <f t="shared" ca="1" si="638"/>
        <v>2.3711855364196648</v>
      </c>
      <c r="E185" s="145">
        <f t="shared" ca="1" si="638"/>
        <v>4.7530261940521861</v>
      </c>
      <c r="F185" s="145">
        <f t="shared" ca="1" si="638"/>
        <v>9.3800864898263079</v>
      </c>
      <c r="G185" s="145">
        <f t="shared" ca="1" si="638"/>
        <v>0.66330516693358921</v>
      </c>
      <c r="H185" s="145">
        <f t="shared" ca="1" si="638"/>
        <v>1.1848405062512963</v>
      </c>
      <c r="I185" s="145">
        <f t="shared" ca="1" si="638"/>
        <v>2.3711855364196648</v>
      </c>
      <c r="J185" s="145">
        <f t="shared" ca="1" si="638"/>
        <v>4.7530261940521861</v>
      </c>
      <c r="K185" s="145" t="e">
        <f t="shared" ca="1" si="638"/>
        <v>#VALUE!</v>
      </c>
      <c r="L185" s="145" t="e">
        <f t="shared" ca="1" si="638"/>
        <v>#VALUE!</v>
      </c>
      <c r="M185" s="145" t="e">
        <f t="shared" ca="1" si="638"/>
        <v>#VALUE!</v>
      </c>
      <c r="N185" s="145" t="e">
        <f t="shared" ca="1" si="638"/>
        <v>#VALUE!</v>
      </c>
      <c r="O185" s="145" t="e">
        <f t="shared" ca="1" si="638"/>
        <v>#VALUE!</v>
      </c>
      <c r="P185" s="145" t="e">
        <f t="shared" ca="1" si="638"/>
        <v>#VALUE!</v>
      </c>
      <c r="Q185" s="145" t="e">
        <f t="shared" ca="1" si="638"/>
        <v>#VALUE!</v>
      </c>
      <c r="R185" s="145" t="e">
        <f t="shared" ca="1" si="638"/>
        <v>#VALUE!</v>
      </c>
      <c r="S185" s="145" t="e">
        <f t="shared" ca="1" si="638"/>
        <v>#VALUE!</v>
      </c>
      <c r="T185" s="145" t="e">
        <f t="shared" ca="1" si="638"/>
        <v>#VALUE!</v>
      </c>
      <c r="U185" s="145" t="e">
        <f t="shared" ca="1" si="638"/>
        <v>#VALUE!</v>
      </c>
      <c r="V185" s="145" t="e">
        <f t="shared" ca="1" si="638"/>
        <v>#VALUE!</v>
      </c>
      <c r="W185" s="145" t="e">
        <f t="shared" ca="1" si="638"/>
        <v>#VALUE!</v>
      </c>
      <c r="X185" s="145" t="e">
        <f t="shared" ca="1" si="638"/>
        <v>#VALUE!</v>
      </c>
      <c r="Y185" s="145" t="e">
        <f t="shared" ca="1" si="638"/>
        <v>#VALUE!</v>
      </c>
      <c r="Z185" s="145" t="e">
        <f t="shared" ca="1" si="638"/>
        <v>#VALUE!</v>
      </c>
      <c r="AA185" s="145" t="e">
        <f t="shared" ca="1" si="638"/>
        <v>#VALUE!</v>
      </c>
      <c r="AB185" s="145" t="e">
        <f t="shared" ca="1" si="638"/>
        <v>#VALUE!</v>
      </c>
      <c r="AC185" s="145" t="e">
        <f t="shared" ca="1" si="638"/>
        <v>#VALUE!</v>
      </c>
      <c r="AD185" s="145" t="e">
        <f t="shared" ca="1" si="638"/>
        <v>#VALUE!</v>
      </c>
      <c r="AE185" s="145" t="e">
        <f t="shared" ca="1" si="638"/>
        <v>#VALUE!</v>
      </c>
      <c r="AF185" s="145" t="e">
        <f t="shared" ca="1" si="638"/>
        <v>#VALUE!</v>
      </c>
      <c r="AG185" s="145" t="e">
        <f t="shared" ca="1" si="638"/>
        <v>#VALUE!</v>
      </c>
      <c r="AH185" s="145" t="e">
        <f t="shared" ca="1" si="638"/>
        <v>#VALUE!</v>
      </c>
      <c r="AI185" s="145" t="e">
        <f t="shared" ca="1" si="638"/>
        <v>#VALUE!</v>
      </c>
      <c r="AJ185" s="145" t="e">
        <f t="shared" ca="1" si="638"/>
        <v>#VALUE!</v>
      </c>
      <c r="AK185" s="145" t="e">
        <f t="shared" ca="1" si="638"/>
        <v>#VALUE!</v>
      </c>
      <c r="AL185" s="145" t="e">
        <f t="shared" ca="1" si="638"/>
        <v>#VALUE!</v>
      </c>
      <c r="AM185" s="145" t="e">
        <f t="shared" ca="1" si="638"/>
        <v>#VALUE!</v>
      </c>
      <c r="AN185" s="145" t="e">
        <f t="shared" ca="1" si="638"/>
        <v>#VALUE!</v>
      </c>
      <c r="AO185" s="145" t="e">
        <f t="shared" ca="1" si="638"/>
        <v>#VALUE!</v>
      </c>
      <c r="AP185" s="145" t="e">
        <f t="shared" ca="1" si="638"/>
        <v>#VALUE!</v>
      </c>
    </row>
    <row r="186" spans="1:42" ht="15.75" x14ac:dyDescent="0.25">
      <c r="A186" s="81" t="s">
        <v>281</v>
      </c>
      <c r="B186" s="192">
        <f ca="1">ABS(($C121*($B121*B$178)^5+$D121*($B121*B$178)^4+ $E121*($B121*B$178)^3+$F121*($B121*B$178)^2+$G121*($B121*B$178)^1+$H121))</f>
        <v>7.3700574103732125E-2</v>
      </c>
      <c r="C186" s="145">
        <f t="shared" ref="C186:AP186" ca="1" si="639">ABS(($C121*($B121*C$178)^5+$D121*($B121*C$178)^4+ $E121*($B121*C$178)^3+$F121*($B121*C$178)^2+$G121*($B121*C$178)^1+$H121))+B186*B$201</f>
        <v>0.13164894513903297</v>
      </c>
      <c r="D186" s="145">
        <f t="shared" ca="1" si="639"/>
        <v>0.2634650596021848</v>
      </c>
      <c r="E186" s="145">
        <f t="shared" ca="1" si="639"/>
        <v>0.52811402156135412</v>
      </c>
      <c r="F186" s="145">
        <f t="shared" ca="1" si="639"/>
        <v>1.0422318322029231</v>
      </c>
      <c r="G186" s="145">
        <f t="shared" ca="1" si="639"/>
        <v>7.3700574103732125E-2</v>
      </c>
      <c r="H186" s="145">
        <f t="shared" ca="1" si="639"/>
        <v>0.13164894513903297</v>
      </c>
      <c r="I186" s="145">
        <f t="shared" ca="1" si="639"/>
        <v>0.2634650596021848</v>
      </c>
      <c r="J186" s="145">
        <f t="shared" ca="1" si="639"/>
        <v>0.52811402156135412</v>
      </c>
      <c r="K186" s="145" t="e">
        <f t="shared" ca="1" si="639"/>
        <v>#VALUE!</v>
      </c>
      <c r="L186" s="145" t="e">
        <f t="shared" ca="1" si="639"/>
        <v>#VALUE!</v>
      </c>
      <c r="M186" s="145" t="e">
        <f t="shared" ca="1" si="639"/>
        <v>#VALUE!</v>
      </c>
      <c r="N186" s="145" t="e">
        <f t="shared" ca="1" si="639"/>
        <v>#VALUE!</v>
      </c>
      <c r="O186" s="145" t="e">
        <f t="shared" ca="1" si="639"/>
        <v>#VALUE!</v>
      </c>
      <c r="P186" s="145" t="e">
        <f t="shared" ca="1" si="639"/>
        <v>#VALUE!</v>
      </c>
      <c r="Q186" s="145" t="e">
        <f t="shared" ca="1" si="639"/>
        <v>#VALUE!</v>
      </c>
      <c r="R186" s="145" t="e">
        <f t="shared" ca="1" si="639"/>
        <v>#VALUE!</v>
      </c>
      <c r="S186" s="145" t="e">
        <f t="shared" ca="1" si="639"/>
        <v>#VALUE!</v>
      </c>
      <c r="T186" s="145" t="e">
        <f t="shared" ca="1" si="639"/>
        <v>#VALUE!</v>
      </c>
      <c r="U186" s="145" t="e">
        <f t="shared" ca="1" si="639"/>
        <v>#VALUE!</v>
      </c>
      <c r="V186" s="145" t="e">
        <f t="shared" ca="1" si="639"/>
        <v>#VALUE!</v>
      </c>
      <c r="W186" s="145" t="e">
        <f t="shared" ca="1" si="639"/>
        <v>#VALUE!</v>
      </c>
      <c r="X186" s="145" t="e">
        <f t="shared" ca="1" si="639"/>
        <v>#VALUE!</v>
      </c>
      <c r="Y186" s="145" t="e">
        <f t="shared" ca="1" si="639"/>
        <v>#VALUE!</v>
      </c>
      <c r="Z186" s="145" t="e">
        <f t="shared" ca="1" si="639"/>
        <v>#VALUE!</v>
      </c>
      <c r="AA186" s="145" t="e">
        <f t="shared" ca="1" si="639"/>
        <v>#VALUE!</v>
      </c>
      <c r="AB186" s="145" t="e">
        <f t="shared" ca="1" si="639"/>
        <v>#VALUE!</v>
      </c>
      <c r="AC186" s="145" t="e">
        <f t="shared" ca="1" si="639"/>
        <v>#VALUE!</v>
      </c>
      <c r="AD186" s="145" t="e">
        <f t="shared" ca="1" si="639"/>
        <v>#VALUE!</v>
      </c>
      <c r="AE186" s="145" t="e">
        <f t="shared" ca="1" si="639"/>
        <v>#VALUE!</v>
      </c>
      <c r="AF186" s="145" t="e">
        <f t="shared" ca="1" si="639"/>
        <v>#VALUE!</v>
      </c>
      <c r="AG186" s="145" t="e">
        <f t="shared" ca="1" si="639"/>
        <v>#VALUE!</v>
      </c>
      <c r="AH186" s="145" t="e">
        <f t="shared" ca="1" si="639"/>
        <v>#VALUE!</v>
      </c>
      <c r="AI186" s="145" t="e">
        <f t="shared" ca="1" si="639"/>
        <v>#VALUE!</v>
      </c>
      <c r="AJ186" s="145" t="e">
        <f t="shared" ca="1" si="639"/>
        <v>#VALUE!</v>
      </c>
      <c r="AK186" s="145" t="e">
        <f t="shared" ca="1" si="639"/>
        <v>#VALUE!</v>
      </c>
      <c r="AL186" s="145" t="e">
        <f t="shared" ca="1" si="639"/>
        <v>#VALUE!</v>
      </c>
      <c r="AM186" s="145" t="e">
        <f t="shared" ca="1" si="639"/>
        <v>#VALUE!</v>
      </c>
      <c r="AN186" s="145" t="e">
        <f t="shared" ca="1" si="639"/>
        <v>#VALUE!</v>
      </c>
      <c r="AO186" s="145" t="e">
        <f t="shared" ca="1" si="639"/>
        <v>#VALUE!</v>
      </c>
      <c r="AP186" s="145" t="e">
        <f t="shared" ca="1" si="639"/>
        <v>#VALUE!</v>
      </c>
    </row>
    <row r="187" spans="1:42" ht="15.75" x14ac:dyDescent="0.25">
      <c r="A187" s="81" t="s">
        <v>17</v>
      </c>
      <c r="B187" s="192">
        <f ca="1">ABS(($C122*($B122*B$179)^5+$D122*($B122*B$179)^4+ $E122*($B122*B$179)^3+$F122*($B122*B$179)^2+$G122*($B122*B$179)^1+$H122))</f>
        <v>1.9676155082925817</v>
      </c>
      <c r="C187" s="145">
        <f ca="1">IF(AND(B$215=0,B$216=0,B$217=0,B219=0), (ABS(($C122*($B122*C$179)^5+$D122*($B122*C$179)^4+ $E122*($B122*C$179)^3+$F122*($B122*C$179)^2+$G122*($B122*C$179)^1+$H122))+B187*B$201), ($B187))</f>
        <v>12.704106594171751</v>
      </c>
      <c r="D187" s="145">
        <f t="shared" ref="D187:AP187" ca="1" si="640">IF(AND((C$215=0),(C$216=0),(C$217=0)), (ABS(($C122*($B122*D$179)^5+$D122*($B122*D$179)^4+ $E122*($B122*D$179)^3+$F122*($B122*D$179)^2+$G122*($B122*D$179)^1+$H122))+C187*C$201), ($B187))</f>
        <v>1.9676155082925817</v>
      </c>
      <c r="E187" s="145">
        <f t="shared" ca="1" si="640"/>
        <v>1.9676155082925817</v>
      </c>
      <c r="F187" s="145">
        <f t="shared" ca="1" si="640"/>
        <v>47.397195828023314</v>
      </c>
      <c r="G187" s="145">
        <f t="shared" ca="1" si="640"/>
        <v>1.9676155082925817</v>
      </c>
      <c r="H187" s="145">
        <f t="shared" ca="1" si="640"/>
        <v>1.9676155082925817</v>
      </c>
      <c r="I187" s="145">
        <f t="shared" ca="1" si="640"/>
        <v>58.470441715697035</v>
      </c>
      <c r="J187" s="145">
        <f t="shared" ca="1" si="640"/>
        <v>1.9676155082925817</v>
      </c>
      <c r="K187" s="145" t="e">
        <f t="shared" ca="1" si="640"/>
        <v>#VALUE!</v>
      </c>
      <c r="L187" s="145" t="e">
        <f t="shared" ca="1" si="640"/>
        <v>#VALUE!</v>
      </c>
      <c r="M187" s="145" t="e">
        <f t="shared" ca="1" si="640"/>
        <v>#VALUE!</v>
      </c>
      <c r="N187" s="145" t="e">
        <f t="shared" ca="1" si="640"/>
        <v>#VALUE!</v>
      </c>
      <c r="O187" s="145" t="e">
        <f t="shared" ca="1" si="640"/>
        <v>#VALUE!</v>
      </c>
      <c r="P187" s="145" t="e">
        <f t="shared" ca="1" si="640"/>
        <v>#VALUE!</v>
      </c>
      <c r="Q187" s="145" t="e">
        <f t="shared" ca="1" si="640"/>
        <v>#VALUE!</v>
      </c>
      <c r="R187" s="145" t="e">
        <f t="shared" ca="1" si="640"/>
        <v>#VALUE!</v>
      </c>
      <c r="S187" s="145" t="e">
        <f t="shared" ca="1" si="640"/>
        <v>#VALUE!</v>
      </c>
      <c r="T187" s="145" t="e">
        <f t="shared" ca="1" si="640"/>
        <v>#VALUE!</v>
      </c>
      <c r="U187" s="145" t="e">
        <f t="shared" ca="1" si="640"/>
        <v>#VALUE!</v>
      </c>
      <c r="V187" s="145" t="e">
        <f t="shared" ca="1" si="640"/>
        <v>#VALUE!</v>
      </c>
      <c r="W187" s="145" t="e">
        <f t="shared" ca="1" si="640"/>
        <v>#VALUE!</v>
      </c>
      <c r="X187" s="145" t="e">
        <f t="shared" ca="1" si="640"/>
        <v>#VALUE!</v>
      </c>
      <c r="Y187" s="145" t="e">
        <f t="shared" ca="1" si="640"/>
        <v>#VALUE!</v>
      </c>
      <c r="Z187" s="145" t="e">
        <f t="shared" ca="1" si="640"/>
        <v>#VALUE!</v>
      </c>
      <c r="AA187" s="145" t="e">
        <f t="shared" ca="1" si="640"/>
        <v>#VALUE!</v>
      </c>
      <c r="AB187" s="145" t="e">
        <f t="shared" ca="1" si="640"/>
        <v>#VALUE!</v>
      </c>
      <c r="AC187" s="145" t="e">
        <f t="shared" ca="1" si="640"/>
        <v>#VALUE!</v>
      </c>
      <c r="AD187" s="145" t="e">
        <f t="shared" ca="1" si="640"/>
        <v>#VALUE!</v>
      </c>
      <c r="AE187" s="145" t="e">
        <f t="shared" ca="1" si="640"/>
        <v>#VALUE!</v>
      </c>
      <c r="AF187" s="145" t="e">
        <f t="shared" ca="1" si="640"/>
        <v>#VALUE!</v>
      </c>
      <c r="AG187" s="145" t="e">
        <f t="shared" ca="1" si="640"/>
        <v>#VALUE!</v>
      </c>
      <c r="AH187" s="145" t="e">
        <f t="shared" ca="1" si="640"/>
        <v>#VALUE!</v>
      </c>
      <c r="AI187" s="145" t="e">
        <f t="shared" ca="1" si="640"/>
        <v>#VALUE!</v>
      </c>
      <c r="AJ187" s="145" t="e">
        <f t="shared" ca="1" si="640"/>
        <v>#VALUE!</v>
      </c>
      <c r="AK187" s="145" t="e">
        <f t="shared" ca="1" si="640"/>
        <v>#VALUE!</v>
      </c>
      <c r="AL187" s="145" t="e">
        <f t="shared" ca="1" si="640"/>
        <v>#VALUE!</v>
      </c>
      <c r="AM187" s="145" t="e">
        <f t="shared" ca="1" si="640"/>
        <v>#VALUE!</v>
      </c>
      <c r="AN187" s="145" t="e">
        <f t="shared" ca="1" si="640"/>
        <v>#VALUE!</v>
      </c>
      <c r="AO187" s="145" t="e">
        <f t="shared" ca="1" si="640"/>
        <v>#VALUE!</v>
      </c>
      <c r="AP187" s="145" t="e">
        <f t="shared" ca="1" si="640"/>
        <v>#VALUE!</v>
      </c>
    </row>
    <row r="188" spans="1:42" ht="15.75" x14ac:dyDescent="0.25">
      <c r="A188" s="81" t="s">
        <v>18</v>
      </c>
      <c r="B188" s="102">
        <f ca="1">ABS(($C123*($B123*B$180)^5+$D123*($B123*B$180)^4+ $E123*($B123*B$180)^3+$F123*($B123*B$180)^2+$G123*($B123*B$180)^1+$H123))</f>
        <v>1.2281595092366784</v>
      </c>
      <c r="C188" s="145">
        <f t="shared" ref="C188:AP188" ca="1" si="641">IF(AND((B$215=0),(B$216=0),(B$217=0)), (ABS(($C123*($B123*C$180)^5+$D123*($B123*C$180)^4+ $E123*($B123*C$180)^3+$F123*($B123*C$180)^2+$G123*($B123*C$180)^1+$H123))+B188*B$201), ($B188))</f>
        <v>7.9369279028291775</v>
      </c>
      <c r="D188" s="145">
        <f t="shared" ca="1" si="641"/>
        <v>1.2281595092366784</v>
      </c>
      <c r="E188" s="145">
        <f t="shared" ca="1" si="641"/>
        <v>1.2281595092366784</v>
      </c>
      <c r="F188" s="145">
        <f t="shared" ca="1" si="641"/>
        <v>29.626814586473511</v>
      </c>
      <c r="G188" s="145">
        <f t="shared" ca="1" si="641"/>
        <v>1.2281595092366784</v>
      </c>
      <c r="H188" s="145">
        <f t="shared" ca="1" si="641"/>
        <v>1.2281595092366784</v>
      </c>
      <c r="I188" s="145">
        <f t="shared" ca="1" si="641"/>
        <v>36.576849265756401</v>
      </c>
      <c r="J188" s="145">
        <f t="shared" ca="1" si="641"/>
        <v>1.2281595092366784</v>
      </c>
      <c r="K188" s="145" t="e">
        <f t="shared" ca="1" si="641"/>
        <v>#VALUE!</v>
      </c>
      <c r="L188" s="145" t="e">
        <f t="shared" ca="1" si="641"/>
        <v>#VALUE!</v>
      </c>
      <c r="M188" s="145" t="e">
        <f t="shared" ca="1" si="641"/>
        <v>#VALUE!</v>
      </c>
      <c r="N188" s="145" t="e">
        <f t="shared" ca="1" si="641"/>
        <v>#VALUE!</v>
      </c>
      <c r="O188" s="145" t="e">
        <f t="shared" ca="1" si="641"/>
        <v>#VALUE!</v>
      </c>
      <c r="P188" s="145" t="e">
        <f t="shared" ca="1" si="641"/>
        <v>#VALUE!</v>
      </c>
      <c r="Q188" s="145" t="e">
        <f t="shared" ca="1" si="641"/>
        <v>#VALUE!</v>
      </c>
      <c r="R188" s="145" t="e">
        <f t="shared" ca="1" si="641"/>
        <v>#VALUE!</v>
      </c>
      <c r="S188" s="145" t="e">
        <f t="shared" ca="1" si="641"/>
        <v>#VALUE!</v>
      </c>
      <c r="T188" s="145" t="e">
        <f t="shared" ca="1" si="641"/>
        <v>#VALUE!</v>
      </c>
      <c r="U188" s="145" t="e">
        <f t="shared" ca="1" si="641"/>
        <v>#VALUE!</v>
      </c>
      <c r="V188" s="145" t="e">
        <f t="shared" ca="1" si="641"/>
        <v>#VALUE!</v>
      </c>
      <c r="W188" s="145" t="e">
        <f t="shared" ca="1" si="641"/>
        <v>#VALUE!</v>
      </c>
      <c r="X188" s="145" t="e">
        <f t="shared" ca="1" si="641"/>
        <v>#VALUE!</v>
      </c>
      <c r="Y188" s="145" t="e">
        <f t="shared" ca="1" si="641"/>
        <v>#VALUE!</v>
      </c>
      <c r="Z188" s="145" t="e">
        <f t="shared" ca="1" si="641"/>
        <v>#VALUE!</v>
      </c>
      <c r="AA188" s="145" t="e">
        <f t="shared" ca="1" si="641"/>
        <v>#VALUE!</v>
      </c>
      <c r="AB188" s="145" t="e">
        <f t="shared" ca="1" si="641"/>
        <v>#VALUE!</v>
      </c>
      <c r="AC188" s="145" t="e">
        <f t="shared" ca="1" si="641"/>
        <v>#VALUE!</v>
      </c>
      <c r="AD188" s="145" t="e">
        <f t="shared" ca="1" si="641"/>
        <v>#VALUE!</v>
      </c>
      <c r="AE188" s="145" t="e">
        <f t="shared" ca="1" si="641"/>
        <v>#VALUE!</v>
      </c>
      <c r="AF188" s="145" t="e">
        <f t="shared" ca="1" si="641"/>
        <v>#VALUE!</v>
      </c>
      <c r="AG188" s="145" t="e">
        <f t="shared" ca="1" si="641"/>
        <v>#VALUE!</v>
      </c>
      <c r="AH188" s="145" t="e">
        <f t="shared" ca="1" si="641"/>
        <v>#VALUE!</v>
      </c>
      <c r="AI188" s="145" t="e">
        <f t="shared" ca="1" si="641"/>
        <v>#VALUE!</v>
      </c>
      <c r="AJ188" s="145" t="e">
        <f t="shared" ca="1" si="641"/>
        <v>#VALUE!</v>
      </c>
      <c r="AK188" s="145" t="e">
        <f t="shared" ca="1" si="641"/>
        <v>#VALUE!</v>
      </c>
      <c r="AL188" s="145" t="e">
        <f t="shared" ca="1" si="641"/>
        <v>#VALUE!</v>
      </c>
      <c r="AM188" s="145" t="e">
        <f t="shared" ca="1" si="641"/>
        <v>#VALUE!</v>
      </c>
      <c r="AN188" s="145" t="e">
        <f t="shared" ca="1" si="641"/>
        <v>#VALUE!</v>
      </c>
      <c r="AO188" s="145" t="e">
        <f t="shared" ca="1" si="641"/>
        <v>#VALUE!</v>
      </c>
      <c r="AP188" s="145" t="e">
        <f t="shared" ca="1" si="641"/>
        <v>#VALUE!</v>
      </c>
    </row>
    <row r="189" spans="1:42" s="195" customFormat="1" ht="15.75" x14ac:dyDescent="0.25">
      <c r="A189" s="81" t="s">
        <v>290</v>
      </c>
      <c r="B189" s="193">
        <f ca="1">ABS(($C126*($B126*B$181)^5+$D126*($B126*B$181)^4+ $E126*($B126*B$181)^3+$F126*($B126*B$181)^2+$G126*($B126*B$181)^1+$H126))</f>
        <v>0.3842833280446914</v>
      </c>
      <c r="C189" s="194">
        <f ca="1">ABS(($C126*($B126*C$181)^5+$D126*($B126*C$181)^4+ $E126*($B126*C$181)^3+$F126*($B126*C$181)^2+$G126*($B126*C$181)^1+$H126))+B189*B$201</f>
        <v>1.0232087756445261</v>
      </c>
      <c r="D189" s="194">
        <f ca="1">ABS(($C126*($B126*D$181)^5+$D126*($B126*D$181)^4+ $E126*($B126*D$181)^3+$F126*($B126*D$181)^2+$G126*($B126*D$181)^1+$H126))+C189*C$201</f>
        <v>0.3842833280446914</v>
      </c>
      <c r="E189" s="222">
        <f t="shared" ref="E189:AP189" ca="1" si="642">ABS(($C126*($B126*E$181)^5+$D126*($B126*E$181)^4+ $E126*($B126*E$181)^3+$F126*($B126*E$181)^2+$G126*($B126*E$181)^1+$H126))+D189*D$201</f>
        <v>0.3842833280446914</v>
      </c>
      <c r="F189" s="222">
        <f t="shared" ca="1" si="642"/>
        <v>1.0232087756445261</v>
      </c>
      <c r="G189" s="145">
        <f t="shared" ca="1" si="642"/>
        <v>0.3842833280446914</v>
      </c>
      <c r="H189" s="145">
        <f t="shared" ca="1" si="642"/>
        <v>0.3842833280446914</v>
      </c>
      <c r="I189" s="145">
        <f t="shared" ca="1" si="642"/>
        <v>1.0232087756445261</v>
      </c>
      <c r="J189" s="145">
        <f t="shared" ca="1" si="642"/>
        <v>0.3842833280446914</v>
      </c>
      <c r="K189" s="145" t="e">
        <f t="shared" ca="1" si="642"/>
        <v>#VALUE!</v>
      </c>
      <c r="L189" s="145" t="e">
        <f t="shared" ca="1" si="642"/>
        <v>#VALUE!</v>
      </c>
      <c r="M189" s="145" t="e">
        <f t="shared" ca="1" si="642"/>
        <v>#VALUE!</v>
      </c>
      <c r="N189" s="193" t="e">
        <f t="shared" ca="1" si="642"/>
        <v>#VALUE!</v>
      </c>
      <c r="O189" s="193" t="e">
        <f t="shared" ca="1" si="642"/>
        <v>#VALUE!</v>
      </c>
      <c r="P189" s="193" t="e">
        <f t="shared" ca="1" si="642"/>
        <v>#VALUE!</v>
      </c>
      <c r="Q189" s="193" t="e">
        <f t="shared" ca="1" si="642"/>
        <v>#VALUE!</v>
      </c>
      <c r="R189" s="193" t="e">
        <f t="shared" ca="1" si="642"/>
        <v>#VALUE!</v>
      </c>
      <c r="S189" s="193" t="e">
        <f t="shared" ca="1" si="642"/>
        <v>#VALUE!</v>
      </c>
      <c r="T189" s="193" t="e">
        <f t="shared" ca="1" si="642"/>
        <v>#VALUE!</v>
      </c>
      <c r="U189" s="193" t="e">
        <f t="shared" ca="1" si="642"/>
        <v>#VALUE!</v>
      </c>
      <c r="V189" s="193" t="e">
        <f t="shared" ca="1" si="642"/>
        <v>#VALUE!</v>
      </c>
      <c r="W189" s="193" t="e">
        <f t="shared" ca="1" si="642"/>
        <v>#VALUE!</v>
      </c>
      <c r="X189" s="193" t="e">
        <f t="shared" ca="1" si="642"/>
        <v>#VALUE!</v>
      </c>
      <c r="Y189" s="193" t="e">
        <f t="shared" ca="1" si="642"/>
        <v>#VALUE!</v>
      </c>
      <c r="Z189" s="193" t="e">
        <f t="shared" ca="1" si="642"/>
        <v>#VALUE!</v>
      </c>
      <c r="AA189" s="193" t="e">
        <f t="shared" ca="1" si="642"/>
        <v>#VALUE!</v>
      </c>
      <c r="AB189" s="193" t="e">
        <f t="shared" ca="1" si="642"/>
        <v>#VALUE!</v>
      </c>
      <c r="AC189" s="193" t="e">
        <f t="shared" ca="1" si="642"/>
        <v>#VALUE!</v>
      </c>
      <c r="AD189" s="193" t="e">
        <f t="shared" ca="1" si="642"/>
        <v>#VALUE!</v>
      </c>
      <c r="AE189" s="193" t="e">
        <f t="shared" ca="1" si="642"/>
        <v>#VALUE!</v>
      </c>
      <c r="AF189" s="193" t="e">
        <f t="shared" ca="1" si="642"/>
        <v>#VALUE!</v>
      </c>
      <c r="AG189" s="193" t="e">
        <f t="shared" ca="1" si="642"/>
        <v>#VALUE!</v>
      </c>
      <c r="AH189" s="193" t="e">
        <f t="shared" ca="1" si="642"/>
        <v>#VALUE!</v>
      </c>
      <c r="AI189" s="193" t="e">
        <f t="shared" ca="1" si="642"/>
        <v>#VALUE!</v>
      </c>
      <c r="AJ189" s="193" t="e">
        <f t="shared" ca="1" si="642"/>
        <v>#VALUE!</v>
      </c>
      <c r="AK189" s="193" t="e">
        <f t="shared" ca="1" si="642"/>
        <v>#VALUE!</v>
      </c>
      <c r="AL189" s="193" t="e">
        <f t="shared" ca="1" si="642"/>
        <v>#VALUE!</v>
      </c>
      <c r="AM189" s="193" t="e">
        <f t="shared" ca="1" si="642"/>
        <v>#VALUE!</v>
      </c>
      <c r="AN189" s="193" t="e">
        <f t="shared" ca="1" si="642"/>
        <v>#VALUE!</v>
      </c>
      <c r="AO189" s="193" t="e">
        <f t="shared" ca="1" si="642"/>
        <v>#VALUE!</v>
      </c>
      <c r="AP189" s="193" t="e">
        <f t="shared" ca="1" si="642"/>
        <v>#VALUE!</v>
      </c>
    </row>
    <row r="190" spans="1:42" ht="15.75" x14ac:dyDescent="0.25">
      <c r="A190" s="81" t="s">
        <v>292</v>
      </c>
      <c r="B190" s="102">
        <f ca="1">ABS(($C127*($B127*B$181)^5+$D127*($B127*B$181)^4+ $E127*($B127*B$181)^3+$F127*($B127*B$181)^2+$G127*($B127*B$181)^1+$H127))</f>
        <v>0.12810134469130316</v>
      </c>
      <c r="C190" s="194">
        <f ca="1">ABS(($C127*($B127*C$181)^5+$D127*($B127*C$181)^4+ $E127*($B127*C$181)^3+$F127*($B127*C$181)^2+$G127*($B127*C$181)^1+$H127))+B190*B$201</f>
        <v>0.34109883338718983</v>
      </c>
      <c r="D190" s="194">
        <f t="shared" ref="D190:AP190" ca="1" si="643">ABS(($C127*($B127*D$181)^5+$D127*($B127*D$181)^4+ $E127*($B127*D$181)^3+$F127*($B127*D$181)^2+$G127*($B127*D$181)^1+$H127))+C190*C$201</f>
        <v>0.12810134469130316</v>
      </c>
      <c r="E190" s="222">
        <f t="shared" ca="1" si="643"/>
        <v>0.12810134469130316</v>
      </c>
      <c r="F190" s="222">
        <f t="shared" ca="1" si="643"/>
        <v>0.34109883338718983</v>
      </c>
      <c r="G190" s="145">
        <f t="shared" ca="1" si="643"/>
        <v>0.12810134469130316</v>
      </c>
      <c r="H190" s="145">
        <f t="shared" ca="1" si="643"/>
        <v>0.12810134469130316</v>
      </c>
      <c r="I190" s="145">
        <f t="shared" ca="1" si="643"/>
        <v>0.34109883338718983</v>
      </c>
      <c r="J190" s="145">
        <f t="shared" ca="1" si="643"/>
        <v>0.12810134469130316</v>
      </c>
      <c r="K190" s="145" t="e">
        <f t="shared" ca="1" si="643"/>
        <v>#VALUE!</v>
      </c>
      <c r="L190" s="145" t="e">
        <f t="shared" ca="1" si="643"/>
        <v>#VALUE!</v>
      </c>
      <c r="M190" s="145" t="e">
        <f t="shared" ca="1" si="643"/>
        <v>#VALUE!</v>
      </c>
      <c r="N190" s="193" t="e">
        <f t="shared" ca="1" si="643"/>
        <v>#VALUE!</v>
      </c>
      <c r="O190" s="193" t="e">
        <f t="shared" ca="1" si="643"/>
        <v>#VALUE!</v>
      </c>
      <c r="P190" s="193" t="e">
        <f t="shared" ca="1" si="643"/>
        <v>#VALUE!</v>
      </c>
      <c r="Q190" s="193" t="e">
        <f t="shared" ca="1" si="643"/>
        <v>#VALUE!</v>
      </c>
      <c r="R190" s="193" t="e">
        <f t="shared" ca="1" si="643"/>
        <v>#VALUE!</v>
      </c>
      <c r="S190" s="193" t="e">
        <f t="shared" ca="1" si="643"/>
        <v>#VALUE!</v>
      </c>
      <c r="T190" s="193" t="e">
        <f t="shared" ca="1" si="643"/>
        <v>#VALUE!</v>
      </c>
      <c r="U190" s="193" t="e">
        <f t="shared" ca="1" si="643"/>
        <v>#VALUE!</v>
      </c>
      <c r="V190" s="193" t="e">
        <f t="shared" ca="1" si="643"/>
        <v>#VALUE!</v>
      </c>
      <c r="W190" s="193" t="e">
        <f t="shared" ca="1" si="643"/>
        <v>#VALUE!</v>
      </c>
      <c r="X190" s="193" t="e">
        <f t="shared" ca="1" si="643"/>
        <v>#VALUE!</v>
      </c>
      <c r="Y190" s="193" t="e">
        <f t="shared" ca="1" si="643"/>
        <v>#VALUE!</v>
      </c>
      <c r="Z190" s="193" t="e">
        <f t="shared" ca="1" si="643"/>
        <v>#VALUE!</v>
      </c>
      <c r="AA190" s="193" t="e">
        <f t="shared" ca="1" si="643"/>
        <v>#VALUE!</v>
      </c>
      <c r="AB190" s="193" t="e">
        <f t="shared" ca="1" si="643"/>
        <v>#VALUE!</v>
      </c>
      <c r="AC190" s="193" t="e">
        <f t="shared" ca="1" si="643"/>
        <v>#VALUE!</v>
      </c>
      <c r="AD190" s="193" t="e">
        <f t="shared" ca="1" si="643"/>
        <v>#VALUE!</v>
      </c>
      <c r="AE190" s="193" t="e">
        <f t="shared" ca="1" si="643"/>
        <v>#VALUE!</v>
      </c>
      <c r="AF190" s="193" t="e">
        <f t="shared" ca="1" si="643"/>
        <v>#VALUE!</v>
      </c>
      <c r="AG190" s="193" t="e">
        <f t="shared" ca="1" si="643"/>
        <v>#VALUE!</v>
      </c>
      <c r="AH190" s="193" t="e">
        <f t="shared" ca="1" si="643"/>
        <v>#VALUE!</v>
      </c>
      <c r="AI190" s="193" t="e">
        <f t="shared" ca="1" si="643"/>
        <v>#VALUE!</v>
      </c>
      <c r="AJ190" s="193" t="e">
        <f t="shared" ca="1" si="643"/>
        <v>#VALUE!</v>
      </c>
      <c r="AK190" s="193" t="e">
        <f t="shared" ca="1" si="643"/>
        <v>#VALUE!</v>
      </c>
      <c r="AL190" s="193" t="e">
        <f t="shared" ca="1" si="643"/>
        <v>#VALUE!</v>
      </c>
      <c r="AM190" s="193" t="e">
        <f t="shared" ca="1" si="643"/>
        <v>#VALUE!</v>
      </c>
      <c r="AN190" s="193" t="e">
        <f t="shared" ca="1" si="643"/>
        <v>#VALUE!</v>
      </c>
      <c r="AO190" s="193" t="e">
        <f t="shared" ca="1" si="643"/>
        <v>#VALUE!</v>
      </c>
      <c r="AP190" s="193" t="e">
        <f t="shared" ca="1" si="643"/>
        <v>#VALUE!</v>
      </c>
    </row>
    <row r="191" spans="1:42" ht="15.75" x14ac:dyDescent="0.25">
      <c r="A191" s="81" t="s">
        <v>291</v>
      </c>
      <c r="B191" s="102">
        <f ca="1">ABS(($C128*($B128*B$181)^5+$D128*($B128*B$181)^4+ $E128*($B128*B$181)^3+$F128*($B128*B$181)^2+$G128*($B128*B$181)^1+$H128))</f>
        <v>3.2025813335963743E-2</v>
      </c>
      <c r="C191" s="194">
        <f ca="1">ABS(($C128*($B128*C$181)^5+$D128*($B128*C$181)^4+ $E128*($B128*C$181)^3+$F128*($B128*C$181)^2+$G128*($B128*C$181)^1+$H128))+B191*B$201</f>
        <v>8.5273168853323339E-2</v>
      </c>
      <c r="D191" s="194">
        <f t="shared" ref="D191:AP191" ca="1" si="644">ABS(($C128*($B128*D$181)^5+$D128*($B128*D$181)^4+ $E128*($B128*D$181)^3+$F128*($B128*D$181)^2+$G128*($B128*D$181)^1+$H128))+C191*C$201</f>
        <v>3.2025813335963743E-2</v>
      </c>
      <c r="E191" s="222">
        <f t="shared" ca="1" si="644"/>
        <v>3.2025813335963743E-2</v>
      </c>
      <c r="F191" s="222">
        <f t="shared" ca="1" si="644"/>
        <v>8.5273168853323339E-2</v>
      </c>
      <c r="G191" s="145">
        <f t="shared" ca="1" si="644"/>
        <v>3.2025813335963743E-2</v>
      </c>
      <c r="H191" s="145">
        <f t="shared" ca="1" si="644"/>
        <v>3.2025813335963743E-2</v>
      </c>
      <c r="I191" s="145">
        <f t="shared" ca="1" si="644"/>
        <v>8.5273168853323339E-2</v>
      </c>
      <c r="J191" s="145">
        <f t="shared" ca="1" si="644"/>
        <v>3.2025813335963743E-2</v>
      </c>
      <c r="K191" s="145" t="e">
        <f t="shared" ca="1" si="644"/>
        <v>#VALUE!</v>
      </c>
      <c r="L191" s="145" t="e">
        <f t="shared" ca="1" si="644"/>
        <v>#VALUE!</v>
      </c>
      <c r="M191" s="145" t="e">
        <f t="shared" ca="1" si="644"/>
        <v>#VALUE!</v>
      </c>
      <c r="N191" s="193" t="e">
        <f t="shared" ca="1" si="644"/>
        <v>#VALUE!</v>
      </c>
      <c r="O191" s="193" t="e">
        <f t="shared" ca="1" si="644"/>
        <v>#VALUE!</v>
      </c>
      <c r="P191" s="193" t="e">
        <f t="shared" ca="1" si="644"/>
        <v>#VALUE!</v>
      </c>
      <c r="Q191" s="193" t="e">
        <f t="shared" ca="1" si="644"/>
        <v>#VALUE!</v>
      </c>
      <c r="R191" s="193" t="e">
        <f t="shared" ca="1" si="644"/>
        <v>#VALUE!</v>
      </c>
      <c r="S191" s="193" t="e">
        <f t="shared" ca="1" si="644"/>
        <v>#VALUE!</v>
      </c>
      <c r="T191" s="193" t="e">
        <f t="shared" ca="1" si="644"/>
        <v>#VALUE!</v>
      </c>
      <c r="U191" s="193" t="e">
        <f t="shared" ca="1" si="644"/>
        <v>#VALUE!</v>
      </c>
      <c r="V191" s="193" t="e">
        <f t="shared" ca="1" si="644"/>
        <v>#VALUE!</v>
      </c>
      <c r="W191" s="193" t="e">
        <f t="shared" ca="1" si="644"/>
        <v>#VALUE!</v>
      </c>
      <c r="X191" s="193" t="e">
        <f t="shared" ca="1" si="644"/>
        <v>#VALUE!</v>
      </c>
      <c r="Y191" s="193" t="e">
        <f t="shared" ca="1" si="644"/>
        <v>#VALUE!</v>
      </c>
      <c r="Z191" s="193" t="e">
        <f t="shared" ca="1" si="644"/>
        <v>#VALUE!</v>
      </c>
      <c r="AA191" s="193" t="e">
        <f t="shared" ca="1" si="644"/>
        <v>#VALUE!</v>
      </c>
      <c r="AB191" s="193" t="e">
        <f t="shared" ca="1" si="644"/>
        <v>#VALUE!</v>
      </c>
      <c r="AC191" s="193" t="e">
        <f t="shared" ca="1" si="644"/>
        <v>#VALUE!</v>
      </c>
      <c r="AD191" s="193" t="e">
        <f t="shared" ca="1" si="644"/>
        <v>#VALUE!</v>
      </c>
      <c r="AE191" s="193" t="e">
        <f t="shared" ca="1" si="644"/>
        <v>#VALUE!</v>
      </c>
      <c r="AF191" s="193" t="e">
        <f t="shared" ca="1" si="644"/>
        <v>#VALUE!</v>
      </c>
      <c r="AG191" s="193" t="e">
        <f t="shared" ca="1" si="644"/>
        <v>#VALUE!</v>
      </c>
      <c r="AH191" s="193" t="e">
        <f t="shared" ca="1" si="644"/>
        <v>#VALUE!</v>
      </c>
      <c r="AI191" s="193" t="e">
        <f t="shared" ca="1" si="644"/>
        <v>#VALUE!</v>
      </c>
      <c r="AJ191" s="193" t="e">
        <f t="shared" ca="1" si="644"/>
        <v>#VALUE!</v>
      </c>
      <c r="AK191" s="193" t="e">
        <f t="shared" ca="1" si="644"/>
        <v>#VALUE!</v>
      </c>
      <c r="AL191" s="193" t="e">
        <f t="shared" ca="1" si="644"/>
        <v>#VALUE!</v>
      </c>
      <c r="AM191" s="193" t="e">
        <f t="shared" ca="1" si="644"/>
        <v>#VALUE!</v>
      </c>
      <c r="AN191" s="193" t="e">
        <f t="shared" ca="1" si="644"/>
        <v>#VALUE!</v>
      </c>
      <c r="AO191" s="193" t="e">
        <f t="shared" ca="1" si="644"/>
        <v>#VALUE!</v>
      </c>
      <c r="AP191" s="193" t="e">
        <f t="shared" ca="1" si="644"/>
        <v>#VALUE!</v>
      </c>
    </row>
    <row r="192" spans="1:42" ht="15.75" x14ac:dyDescent="0.25">
      <c r="A192" s="81" t="s">
        <v>293</v>
      </c>
      <c r="B192" s="102">
        <f t="shared" ref="B192:B197" ca="1" si="645">ABS(($C129*($B129*B$182)^5+$D129*($B129*B$182)^4+ $E129*($B129*B$182)^3+$F129*($B129*B$182)^2+$G129*($B129*B$182)^1+$H129))</f>
        <v>7.9850617070119432</v>
      </c>
      <c r="C192" s="193">
        <f t="shared" ref="C192:C197" ca="1" si="646">ABS(($C129*($B129*C$182)^5+$D129*($B129*C$182)^4+ $E129*($B129*C$182)^3+$F129*($B129*C$182)^2+$G129*($B129*C$182)^1+$H129))+B192*B$201</f>
        <v>12.889318392381364</v>
      </c>
      <c r="D192" s="193">
        <f t="shared" ref="D192:AP192" ca="1" si="647">ABS(($C129*($B129*D$182)^5+$D129*($B129*D$182)^4+ $E129*($B129*D$182)^3+$F129*($B129*D$182)^2+$G129*($B129*D$182)^1+$H129))+C192*C$201</f>
        <v>7.9850617070119432</v>
      </c>
      <c r="E192" s="145">
        <f t="shared" ca="1" si="647"/>
        <v>7.9850617070119432</v>
      </c>
      <c r="F192" s="145">
        <f t="shared" ca="1" si="647"/>
        <v>12.889318392381364</v>
      </c>
      <c r="G192" s="145">
        <f t="shared" ca="1" si="647"/>
        <v>7.9850617070119432</v>
      </c>
      <c r="H192" s="145">
        <f t="shared" ca="1" si="647"/>
        <v>7.9850617070119432</v>
      </c>
      <c r="I192" s="145">
        <f t="shared" ca="1" si="647"/>
        <v>12.889318392381364</v>
      </c>
      <c r="J192" s="145">
        <f t="shared" ca="1" si="647"/>
        <v>7.9850617070119432</v>
      </c>
      <c r="K192" s="145" t="e">
        <f t="shared" ca="1" si="647"/>
        <v>#VALUE!</v>
      </c>
      <c r="L192" s="145" t="e">
        <f t="shared" ca="1" si="647"/>
        <v>#VALUE!</v>
      </c>
      <c r="M192" s="145" t="e">
        <f t="shared" ca="1" si="647"/>
        <v>#VALUE!</v>
      </c>
      <c r="N192" s="193" t="e">
        <f t="shared" ca="1" si="647"/>
        <v>#VALUE!</v>
      </c>
      <c r="O192" s="193" t="e">
        <f t="shared" ca="1" si="647"/>
        <v>#VALUE!</v>
      </c>
      <c r="P192" s="193" t="e">
        <f t="shared" ca="1" si="647"/>
        <v>#VALUE!</v>
      </c>
      <c r="Q192" s="193" t="e">
        <f t="shared" ca="1" si="647"/>
        <v>#VALUE!</v>
      </c>
      <c r="R192" s="193" t="e">
        <f t="shared" ca="1" si="647"/>
        <v>#VALUE!</v>
      </c>
      <c r="S192" s="193" t="e">
        <f t="shared" ca="1" si="647"/>
        <v>#VALUE!</v>
      </c>
      <c r="T192" s="193" t="e">
        <f t="shared" ca="1" si="647"/>
        <v>#VALUE!</v>
      </c>
      <c r="U192" s="193" t="e">
        <f t="shared" ca="1" si="647"/>
        <v>#VALUE!</v>
      </c>
      <c r="V192" s="193" t="e">
        <f t="shared" ca="1" si="647"/>
        <v>#VALUE!</v>
      </c>
      <c r="W192" s="193" t="e">
        <f t="shared" ca="1" si="647"/>
        <v>#VALUE!</v>
      </c>
      <c r="X192" s="193" t="e">
        <f t="shared" ca="1" si="647"/>
        <v>#VALUE!</v>
      </c>
      <c r="Y192" s="193" t="e">
        <f t="shared" ca="1" si="647"/>
        <v>#VALUE!</v>
      </c>
      <c r="Z192" s="193" t="e">
        <f t="shared" ca="1" si="647"/>
        <v>#VALUE!</v>
      </c>
      <c r="AA192" s="193" t="e">
        <f t="shared" ca="1" si="647"/>
        <v>#VALUE!</v>
      </c>
      <c r="AB192" s="193" t="e">
        <f t="shared" ca="1" si="647"/>
        <v>#VALUE!</v>
      </c>
      <c r="AC192" s="193" t="e">
        <f t="shared" ca="1" si="647"/>
        <v>#VALUE!</v>
      </c>
      <c r="AD192" s="193" t="e">
        <f t="shared" ca="1" si="647"/>
        <v>#VALUE!</v>
      </c>
      <c r="AE192" s="193" t="e">
        <f t="shared" ca="1" si="647"/>
        <v>#VALUE!</v>
      </c>
      <c r="AF192" s="193" t="e">
        <f t="shared" ca="1" si="647"/>
        <v>#VALUE!</v>
      </c>
      <c r="AG192" s="193" t="e">
        <f t="shared" ca="1" si="647"/>
        <v>#VALUE!</v>
      </c>
      <c r="AH192" s="193" t="e">
        <f t="shared" ca="1" si="647"/>
        <v>#VALUE!</v>
      </c>
      <c r="AI192" s="193" t="e">
        <f t="shared" ca="1" si="647"/>
        <v>#VALUE!</v>
      </c>
      <c r="AJ192" s="193" t="e">
        <f t="shared" ca="1" si="647"/>
        <v>#VALUE!</v>
      </c>
      <c r="AK192" s="193" t="e">
        <f t="shared" ca="1" si="647"/>
        <v>#VALUE!</v>
      </c>
      <c r="AL192" s="193" t="e">
        <f t="shared" ca="1" si="647"/>
        <v>#VALUE!</v>
      </c>
      <c r="AM192" s="193" t="e">
        <f t="shared" ca="1" si="647"/>
        <v>#VALUE!</v>
      </c>
      <c r="AN192" s="193" t="e">
        <f t="shared" ca="1" si="647"/>
        <v>#VALUE!</v>
      </c>
      <c r="AO192" s="193" t="e">
        <f t="shared" ca="1" si="647"/>
        <v>#VALUE!</v>
      </c>
      <c r="AP192" s="193" t="e">
        <f t="shared" ca="1" si="647"/>
        <v>#VALUE!</v>
      </c>
    </row>
    <row r="193" spans="1:42" ht="15.75" x14ac:dyDescent="0.25">
      <c r="A193" s="81" t="s">
        <v>297</v>
      </c>
      <c r="B193" s="102">
        <f t="shared" ca="1" si="645"/>
        <v>2.7578515989868904</v>
      </c>
      <c r="C193" s="193">
        <f t="shared" ca="1" si="646"/>
        <v>3.7923253219591526</v>
      </c>
      <c r="D193" s="193">
        <f t="shared" ref="D193:AP193" ca="1" si="648">ABS(($C130*($B130*D$182)^5+$D130*($B130*D$182)^4+ $E130*($B130*D$182)^3+$F130*($B130*D$182)^2+$G130*($B130*D$182)^1+$H130))+C193*C$201</f>
        <v>2.7578515989868904</v>
      </c>
      <c r="E193" s="145">
        <f t="shared" ca="1" si="648"/>
        <v>2.7578515989868904</v>
      </c>
      <c r="F193" s="145">
        <f t="shared" ca="1" si="648"/>
        <v>3.7923253219591526</v>
      </c>
      <c r="G193" s="145">
        <f t="shared" ca="1" si="648"/>
        <v>2.7578515989868904</v>
      </c>
      <c r="H193" s="145">
        <f t="shared" ca="1" si="648"/>
        <v>2.7578515989868904</v>
      </c>
      <c r="I193" s="145">
        <f t="shared" ca="1" si="648"/>
        <v>3.7923253219591526</v>
      </c>
      <c r="J193" s="145">
        <f t="shared" ca="1" si="648"/>
        <v>2.7578515989868904</v>
      </c>
      <c r="K193" s="145" t="e">
        <f t="shared" ca="1" si="648"/>
        <v>#VALUE!</v>
      </c>
      <c r="L193" s="145" t="e">
        <f t="shared" ca="1" si="648"/>
        <v>#VALUE!</v>
      </c>
      <c r="M193" s="145" t="e">
        <f t="shared" ca="1" si="648"/>
        <v>#VALUE!</v>
      </c>
      <c r="N193" s="193" t="e">
        <f t="shared" ca="1" si="648"/>
        <v>#VALUE!</v>
      </c>
      <c r="O193" s="193" t="e">
        <f t="shared" ca="1" si="648"/>
        <v>#VALUE!</v>
      </c>
      <c r="P193" s="193" t="e">
        <f t="shared" ca="1" si="648"/>
        <v>#VALUE!</v>
      </c>
      <c r="Q193" s="193" t="e">
        <f t="shared" ca="1" si="648"/>
        <v>#VALUE!</v>
      </c>
      <c r="R193" s="193" t="e">
        <f t="shared" ca="1" si="648"/>
        <v>#VALUE!</v>
      </c>
      <c r="S193" s="193" t="e">
        <f t="shared" ca="1" si="648"/>
        <v>#VALUE!</v>
      </c>
      <c r="T193" s="193" t="e">
        <f t="shared" ca="1" si="648"/>
        <v>#VALUE!</v>
      </c>
      <c r="U193" s="193" t="e">
        <f t="shared" ca="1" si="648"/>
        <v>#VALUE!</v>
      </c>
      <c r="V193" s="193" t="e">
        <f t="shared" ca="1" si="648"/>
        <v>#VALUE!</v>
      </c>
      <c r="W193" s="193" t="e">
        <f t="shared" ca="1" si="648"/>
        <v>#VALUE!</v>
      </c>
      <c r="X193" s="193" t="e">
        <f t="shared" ca="1" si="648"/>
        <v>#VALUE!</v>
      </c>
      <c r="Y193" s="193" t="e">
        <f t="shared" ca="1" si="648"/>
        <v>#VALUE!</v>
      </c>
      <c r="Z193" s="193" t="e">
        <f t="shared" ca="1" si="648"/>
        <v>#VALUE!</v>
      </c>
      <c r="AA193" s="193" t="e">
        <f t="shared" ca="1" si="648"/>
        <v>#VALUE!</v>
      </c>
      <c r="AB193" s="193" t="e">
        <f t="shared" ca="1" si="648"/>
        <v>#VALUE!</v>
      </c>
      <c r="AC193" s="193" t="e">
        <f t="shared" ca="1" si="648"/>
        <v>#VALUE!</v>
      </c>
      <c r="AD193" s="193" t="e">
        <f t="shared" ca="1" si="648"/>
        <v>#VALUE!</v>
      </c>
      <c r="AE193" s="193" t="e">
        <f t="shared" ca="1" si="648"/>
        <v>#VALUE!</v>
      </c>
      <c r="AF193" s="193" t="e">
        <f t="shared" ca="1" si="648"/>
        <v>#VALUE!</v>
      </c>
      <c r="AG193" s="193" t="e">
        <f t="shared" ca="1" si="648"/>
        <v>#VALUE!</v>
      </c>
      <c r="AH193" s="193" t="e">
        <f t="shared" ca="1" si="648"/>
        <v>#VALUE!</v>
      </c>
      <c r="AI193" s="193" t="e">
        <f t="shared" ca="1" si="648"/>
        <v>#VALUE!</v>
      </c>
      <c r="AJ193" s="193" t="e">
        <f t="shared" ca="1" si="648"/>
        <v>#VALUE!</v>
      </c>
      <c r="AK193" s="193" t="e">
        <f t="shared" ca="1" si="648"/>
        <v>#VALUE!</v>
      </c>
      <c r="AL193" s="193" t="e">
        <f t="shared" ca="1" si="648"/>
        <v>#VALUE!</v>
      </c>
      <c r="AM193" s="193" t="e">
        <f t="shared" ca="1" si="648"/>
        <v>#VALUE!</v>
      </c>
      <c r="AN193" s="193" t="e">
        <f t="shared" ca="1" si="648"/>
        <v>#VALUE!</v>
      </c>
      <c r="AO193" s="193" t="e">
        <f t="shared" ca="1" si="648"/>
        <v>#VALUE!</v>
      </c>
      <c r="AP193" s="193" t="e">
        <f t="shared" ca="1" si="648"/>
        <v>#VALUE!</v>
      </c>
    </row>
    <row r="194" spans="1:42" ht="15.75" x14ac:dyDescent="0.25">
      <c r="A194" s="81" t="s">
        <v>295</v>
      </c>
      <c r="B194" s="102">
        <f t="shared" ca="1" si="645"/>
        <v>1.0341937382459174</v>
      </c>
      <c r="C194" s="193">
        <f t="shared" ca="1" si="646"/>
        <v>1.4225002749254489</v>
      </c>
      <c r="D194" s="193">
        <f t="shared" ref="D194:AP194" ca="1" si="649">ABS(($C131*($B131*D$182)^5+$D131*($B131*D$182)^4+ $E131*($B131*D$182)^3+$F131*($B131*D$182)^2+$G131*($B131*D$182)^1+$H131))+C194*C$201</f>
        <v>1.0341937382459174</v>
      </c>
      <c r="E194" s="145">
        <f t="shared" ca="1" si="649"/>
        <v>1.0341937382459174</v>
      </c>
      <c r="F194" s="145">
        <f t="shared" ca="1" si="649"/>
        <v>1.4225002749254489</v>
      </c>
      <c r="G194" s="145">
        <f t="shared" ca="1" si="649"/>
        <v>1.0341937382459174</v>
      </c>
      <c r="H194" s="145">
        <f t="shared" ca="1" si="649"/>
        <v>1.0341937382459174</v>
      </c>
      <c r="I194" s="145">
        <f t="shared" ca="1" si="649"/>
        <v>1.4225002749254489</v>
      </c>
      <c r="J194" s="145">
        <f t="shared" ca="1" si="649"/>
        <v>1.0341937382459174</v>
      </c>
      <c r="K194" s="145" t="e">
        <f t="shared" ca="1" si="649"/>
        <v>#VALUE!</v>
      </c>
      <c r="L194" s="145" t="e">
        <f t="shared" ca="1" si="649"/>
        <v>#VALUE!</v>
      </c>
      <c r="M194" s="145" t="e">
        <f t="shared" ca="1" si="649"/>
        <v>#VALUE!</v>
      </c>
      <c r="N194" s="193" t="e">
        <f t="shared" ca="1" si="649"/>
        <v>#VALUE!</v>
      </c>
      <c r="O194" s="193" t="e">
        <f t="shared" ca="1" si="649"/>
        <v>#VALUE!</v>
      </c>
      <c r="P194" s="193" t="e">
        <f t="shared" ca="1" si="649"/>
        <v>#VALUE!</v>
      </c>
      <c r="Q194" s="193" t="e">
        <f t="shared" ca="1" si="649"/>
        <v>#VALUE!</v>
      </c>
      <c r="R194" s="193" t="e">
        <f t="shared" ca="1" si="649"/>
        <v>#VALUE!</v>
      </c>
      <c r="S194" s="193" t="e">
        <f t="shared" ca="1" si="649"/>
        <v>#VALUE!</v>
      </c>
      <c r="T194" s="193" t="e">
        <f t="shared" ca="1" si="649"/>
        <v>#VALUE!</v>
      </c>
      <c r="U194" s="193" t="e">
        <f t="shared" ca="1" si="649"/>
        <v>#VALUE!</v>
      </c>
      <c r="V194" s="193" t="e">
        <f t="shared" ca="1" si="649"/>
        <v>#VALUE!</v>
      </c>
      <c r="W194" s="193" t="e">
        <f t="shared" ca="1" si="649"/>
        <v>#VALUE!</v>
      </c>
      <c r="X194" s="193" t="e">
        <f t="shared" ca="1" si="649"/>
        <v>#VALUE!</v>
      </c>
      <c r="Y194" s="193" t="e">
        <f t="shared" ca="1" si="649"/>
        <v>#VALUE!</v>
      </c>
      <c r="Z194" s="193" t="e">
        <f t="shared" ca="1" si="649"/>
        <v>#VALUE!</v>
      </c>
      <c r="AA194" s="193" t="e">
        <f t="shared" ca="1" si="649"/>
        <v>#VALUE!</v>
      </c>
      <c r="AB194" s="193" t="e">
        <f t="shared" ca="1" si="649"/>
        <v>#VALUE!</v>
      </c>
      <c r="AC194" s="193" t="e">
        <f t="shared" ca="1" si="649"/>
        <v>#VALUE!</v>
      </c>
      <c r="AD194" s="193" t="e">
        <f t="shared" ca="1" si="649"/>
        <v>#VALUE!</v>
      </c>
      <c r="AE194" s="193" t="e">
        <f t="shared" ca="1" si="649"/>
        <v>#VALUE!</v>
      </c>
      <c r="AF194" s="193" t="e">
        <f t="shared" ca="1" si="649"/>
        <v>#VALUE!</v>
      </c>
      <c r="AG194" s="193" t="e">
        <f t="shared" ca="1" si="649"/>
        <v>#VALUE!</v>
      </c>
      <c r="AH194" s="193" t="e">
        <f t="shared" ca="1" si="649"/>
        <v>#VALUE!</v>
      </c>
      <c r="AI194" s="193" t="e">
        <f t="shared" ca="1" si="649"/>
        <v>#VALUE!</v>
      </c>
      <c r="AJ194" s="193" t="e">
        <f t="shared" ca="1" si="649"/>
        <v>#VALUE!</v>
      </c>
      <c r="AK194" s="193" t="e">
        <f t="shared" ca="1" si="649"/>
        <v>#VALUE!</v>
      </c>
      <c r="AL194" s="193" t="e">
        <f t="shared" ca="1" si="649"/>
        <v>#VALUE!</v>
      </c>
      <c r="AM194" s="193" t="e">
        <f t="shared" ca="1" si="649"/>
        <v>#VALUE!</v>
      </c>
      <c r="AN194" s="193" t="e">
        <f t="shared" ca="1" si="649"/>
        <v>#VALUE!</v>
      </c>
      <c r="AO194" s="193" t="e">
        <f t="shared" ca="1" si="649"/>
        <v>#VALUE!</v>
      </c>
      <c r="AP194" s="193" t="e">
        <f t="shared" ca="1" si="649"/>
        <v>#VALUE!</v>
      </c>
    </row>
    <row r="195" spans="1:42" ht="15.75" x14ac:dyDescent="0.25">
      <c r="A195" s="81" t="s">
        <v>294</v>
      </c>
      <c r="B195" s="102">
        <f t="shared" ca="1" si="645"/>
        <v>0.39297813480819382</v>
      </c>
      <c r="C195" s="193">
        <f t="shared" ca="1" si="646"/>
        <v>0.72111520104855509</v>
      </c>
      <c r="D195" s="193">
        <f t="shared" ref="D195:AP195" ca="1" si="650">ABS(($C132*($B132*D$182)^5+$D132*($B132*D$182)^4+ $E132*($B132*D$182)^3+$F132*($B132*D$182)^2+$G132*($B132*D$182)^1+$H132))+C195*C$201</f>
        <v>0.39297813480819382</v>
      </c>
      <c r="E195" s="145">
        <f t="shared" ca="1" si="650"/>
        <v>0.39297813480819382</v>
      </c>
      <c r="F195" s="145">
        <f t="shared" ca="1" si="650"/>
        <v>0.72111520104855509</v>
      </c>
      <c r="G195" s="145">
        <f t="shared" ca="1" si="650"/>
        <v>0.39297813480819382</v>
      </c>
      <c r="H195" s="145">
        <f t="shared" ca="1" si="650"/>
        <v>0.39297813480819382</v>
      </c>
      <c r="I195" s="145">
        <f t="shared" ca="1" si="650"/>
        <v>0.72111520104855509</v>
      </c>
      <c r="J195" s="145">
        <f t="shared" ca="1" si="650"/>
        <v>0.39297813480819382</v>
      </c>
      <c r="K195" s="145" t="e">
        <f t="shared" ca="1" si="650"/>
        <v>#VALUE!</v>
      </c>
      <c r="L195" s="145" t="e">
        <f t="shared" ca="1" si="650"/>
        <v>#VALUE!</v>
      </c>
      <c r="M195" s="145" t="e">
        <f t="shared" ca="1" si="650"/>
        <v>#VALUE!</v>
      </c>
      <c r="N195" s="193" t="e">
        <f t="shared" ca="1" si="650"/>
        <v>#VALUE!</v>
      </c>
      <c r="O195" s="193" t="e">
        <f t="shared" ca="1" si="650"/>
        <v>#VALUE!</v>
      </c>
      <c r="P195" s="193" t="e">
        <f t="shared" ca="1" si="650"/>
        <v>#VALUE!</v>
      </c>
      <c r="Q195" s="193" t="e">
        <f t="shared" ca="1" si="650"/>
        <v>#VALUE!</v>
      </c>
      <c r="R195" s="193" t="e">
        <f t="shared" ca="1" si="650"/>
        <v>#VALUE!</v>
      </c>
      <c r="S195" s="193" t="e">
        <f t="shared" ca="1" si="650"/>
        <v>#VALUE!</v>
      </c>
      <c r="T195" s="193" t="e">
        <f t="shared" ca="1" si="650"/>
        <v>#VALUE!</v>
      </c>
      <c r="U195" s="193" t="e">
        <f t="shared" ca="1" si="650"/>
        <v>#VALUE!</v>
      </c>
      <c r="V195" s="193" t="e">
        <f t="shared" ca="1" si="650"/>
        <v>#VALUE!</v>
      </c>
      <c r="W195" s="193" t="e">
        <f t="shared" ca="1" si="650"/>
        <v>#VALUE!</v>
      </c>
      <c r="X195" s="193" t="e">
        <f t="shared" ca="1" si="650"/>
        <v>#VALUE!</v>
      </c>
      <c r="Y195" s="193" t="e">
        <f t="shared" ca="1" si="650"/>
        <v>#VALUE!</v>
      </c>
      <c r="Z195" s="193" t="e">
        <f t="shared" ca="1" si="650"/>
        <v>#VALUE!</v>
      </c>
      <c r="AA195" s="193" t="e">
        <f t="shared" ca="1" si="650"/>
        <v>#VALUE!</v>
      </c>
      <c r="AB195" s="193" t="e">
        <f t="shared" ca="1" si="650"/>
        <v>#VALUE!</v>
      </c>
      <c r="AC195" s="193" t="e">
        <f t="shared" ca="1" si="650"/>
        <v>#VALUE!</v>
      </c>
      <c r="AD195" s="193" t="e">
        <f t="shared" ca="1" si="650"/>
        <v>#VALUE!</v>
      </c>
      <c r="AE195" s="193" t="e">
        <f t="shared" ca="1" si="650"/>
        <v>#VALUE!</v>
      </c>
      <c r="AF195" s="193" t="e">
        <f t="shared" ca="1" si="650"/>
        <v>#VALUE!</v>
      </c>
      <c r="AG195" s="193" t="e">
        <f t="shared" ca="1" si="650"/>
        <v>#VALUE!</v>
      </c>
      <c r="AH195" s="193" t="e">
        <f t="shared" ca="1" si="650"/>
        <v>#VALUE!</v>
      </c>
      <c r="AI195" s="193" t="e">
        <f t="shared" ca="1" si="650"/>
        <v>#VALUE!</v>
      </c>
      <c r="AJ195" s="193" t="e">
        <f t="shared" ca="1" si="650"/>
        <v>#VALUE!</v>
      </c>
      <c r="AK195" s="193" t="e">
        <f t="shared" ca="1" si="650"/>
        <v>#VALUE!</v>
      </c>
      <c r="AL195" s="193" t="e">
        <f t="shared" ca="1" si="650"/>
        <v>#VALUE!</v>
      </c>
      <c r="AM195" s="193" t="e">
        <f t="shared" ca="1" si="650"/>
        <v>#VALUE!</v>
      </c>
      <c r="AN195" s="193" t="e">
        <f t="shared" ca="1" si="650"/>
        <v>#VALUE!</v>
      </c>
      <c r="AO195" s="193" t="e">
        <f t="shared" ca="1" si="650"/>
        <v>#VALUE!</v>
      </c>
      <c r="AP195" s="193" t="e">
        <f t="shared" ca="1" si="650"/>
        <v>#VALUE!</v>
      </c>
    </row>
    <row r="196" spans="1:42" ht="31.5" x14ac:dyDescent="0.25">
      <c r="A196" s="81" t="s">
        <v>298</v>
      </c>
      <c r="B196" s="102">
        <f t="shared" ca="1" si="645"/>
        <v>0.13101078093489152</v>
      </c>
      <c r="C196" s="193">
        <f t="shared" ca="1" si="646"/>
        <v>0.24040964401836584</v>
      </c>
      <c r="D196" s="193">
        <f t="shared" ref="D196:AP196" ca="1" si="651">ABS(($C133*($B133*D$182)^5+$D133*($B133*D$182)^4+ $E133*($B133*D$182)^3+$F133*($B133*D$182)^2+$G133*($B133*D$182)^1+$H133))+C196*C$201</f>
        <v>0.13101078093489152</v>
      </c>
      <c r="E196" s="145">
        <f t="shared" ca="1" si="651"/>
        <v>0.13101078093489152</v>
      </c>
      <c r="F196" s="145">
        <f t="shared" ca="1" si="651"/>
        <v>0.24040964401836584</v>
      </c>
      <c r="G196" s="145">
        <f t="shared" ca="1" si="651"/>
        <v>0.13101078093489152</v>
      </c>
      <c r="H196" s="145">
        <f t="shared" ca="1" si="651"/>
        <v>0.13101078093489152</v>
      </c>
      <c r="I196" s="145">
        <f t="shared" ca="1" si="651"/>
        <v>0.24040964401836584</v>
      </c>
      <c r="J196" s="145">
        <f t="shared" ca="1" si="651"/>
        <v>0.13101078093489152</v>
      </c>
      <c r="K196" s="145" t="e">
        <f t="shared" ca="1" si="651"/>
        <v>#VALUE!</v>
      </c>
      <c r="L196" s="145" t="e">
        <f t="shared" ca="1" si="651"/>
        <v>#VALUE!</v>
      </c>
      <c r="M196" s="145" t="e">
        <f t="shared" ca="1" si="651"/>
        <v>#VALUE!</v>
      </c>
      <c r="N196" s="193" t="e">
        <f t="shared" ca="1" si="651"/>
        <v>#VALUE!</v>
      </c>
      <c r="O196" s="193" t="e">
        <f t="shared" ca="1" si="651"/>
        <v>#VALUE!</v>
      </c>
      <c r="P196" s="193" t="e">
        <f t="shared" ca="1" si="651"/>
        <v>#VALUE!</v>
      </c>
      <c r="Q196" s="193" t="e">
        <f t="shared" ca="1" si="651"/>
        <v>#VALUE!</v>
      </c>
      <c r="R196" s="193" t="e">
        <f t="shared" ca="1" si="651"/>
        <v>#VALUE!</v>
      </c>
      <c r="S196" s="193" t="e">
        <f t="shared" ca="1" si="651"/>
        <v>#VALUE!</v>
      </c>
      <c r="T196" s="193" t="e">
        <f t="shared" ca="1" si="651"/>
        <v>#VALUE!</v>
      </c>
      <c r="U196" s="193" t="e">
        <f t="shared" ca="1" si="651"/>
        <v>#VALUE!</v>
      </c>
      <c r="V196" s="193" t="e">
        <f t="shared" ca="1" si="651"/>
        <v>#VALUE!</v>
      </c>
      <c r="W196" s="193" t="e">
        <f t="shared" ca="1" si="651"/>
        <v>#VALUE!</v>
      </c>
      <c r="X196" s="193" t="e">
        <f t="shared" ca="1" si="651"/>
        <v>#VALUE!</v>
      </c>
      <c r="Y196" s="193" t="e">
        <f t="shared" ca="1" si="651"/>
        <v>#VALUE!</v>
      </c>
      <c r="Z196" s="193" t="e">
        <f t="shared" ca="1" si="651"/>
        <v>#VALUE!</v>
      </c>
      <c r="AA196" s="193" t="e">
        <f t="shared" ca="1" si="651"/>
        <v>#VALUE!</v>
      </c>
      <c r="AB196" s="193" t="e">
        <f t="shared" ca="1" si="651"/>
        <v>#VALUE!</v>
      </c>
      <c r="AC196" s="193" t="e">
        <f t="shared" ca="1" si="651"/>
        <v>#VALUE!</v>
      </c>
      <c r="AD196" s="193" t="e">
        <f t="shared" ca="1" si="651"/>
        <v>#VALUE!</v>
      </c>
      <c r="AE196" s="193" t="e">
        <f t="shared" ca="1" si="651"/>
        <v>#VALUE!</v>
      </c>
      <c r="AF196" s="193" t="e">
        <f t="shared" ca="1" si="651"/>
        <v>#VALUE!</v>
      </c>
      <c r="AG196" s="193" t="e">
        <f t="shared" ca="1" si="651"/>
        <v>#VALUE!</v>
      </c>
      <c r="AH196" s="193" t="e">
        <f t="shared" ca="1" si="651"/>
        <v>#VALUE!</v>
      </c>
      <c r="AI196" s="193" t="e">
        <f t="shared" ca="1" si="651"/>
        <v>#VALUE!</v>
      </c>
      <c r="AJ196" s="193" t="e">
        <f t="shared" ca="1" si="651"/>
        <v>#VALUE!</v>
      </c>
      <c r="AK196" s="193" t="e">
        <f t="shared" ca="1" si="651"/>
        <v>#VALUE!</v>
      </c>
      <c r="AL196" s="193" t="e">
        <f t="shared" ca="1" si="651"/>
        <v>#VALUE!</v>
      </c>
      <c r="AM196" s="193" t="e">
        <f t="shared" ca="1" si="651"/>
        <v>#VALUE!</v>
      </c>
      <c r="AN196" s="193" t="e">
        <f t="shared" ca="1" si="651"/>
        <v>#VALUE!</v>
      </c>
      <c r="AO196" s="193" t="e">
        <f t="shared" ca="1" si="651"/>
        <v>#VALUE!</v>
      </c>
      <c r="AP196" s="193" t="e">
        <f t="shared" ca="1" si="651"/>
        <v>#VALUE!</v>
      </c>
    </row>
    <row r="197" spans="1:42" ht="15.75" x14ac:dyDescent="0.25">
      <c r="A197" s="81" t="s">
        <v>296</v>
      </c>
      <c r="B197" s="102">
        <f t="shared" ca="1" si="645"/>
        <v>0.13101078093489152</v>
      </c>
      <c r="C197" s="193">
        <f t="shared" ca="1" si="646"/>
        <v>0.24040964401836584</v>
      </c>
      <c r="D197" s="193">
        <f t="shared" ref="D197:AP197" ca="1" si="652">ABS(($C134*($B134*D$182)^5+$D134*($B134*D$182)^4+ $E134*($B134*D$182)^3+$F134*($B134*D$182)^2+$G134*($B134*D$182)^1+$H134))+C197*C$201</f>
        <v>0.13101078093489152</v>
      </c>
      <c r="E197" s="145">
        <f t="shared" ca="1" si="652"/>
        <v>0.13101078093489152</v>
      </c>
      <c r="F197" s="145">
        <f t="shared" ca="1" si="652"/>
        <v>0.24040964401836584</v>
      </c>
      <c r="G197" s="145">
        <f t="shared" ca="1" si="652"/>
        <v>0.13101078093489152</v>
      </c>
      <c r="H197" s="145">
        <f t="shared" ca="1" si="652"/>
        <v>0.13101078093489152</v>
      </c>
      <c r="I197" s="145">
        <f t="shared" ca="1" si="652"/>
        <v>0.24040964401836584</v>
      </c>
      <c r="J197" s="145">
        <f t="shared" ca="1" si="652"/>
        <v>0.13101078093489152</v>
      </c>
      <c r="K197" s="145" t="e">
        <f t="shared" ca="1" si="652"/>
        <v>#VALUE!</v>
      </c>
      <c r="L197" s="145" t="e">
        <f t="shared" ca="1" si="652"/>
        <v>#VALUE!</v>
      </c>
      <c r="M197" s="145" t="e">
        <f t="shared" ca="1" si="652"/>
        <v>#VALUE!</v>
      </c>
      <c r="N197" s="193" t="e">
        <f t="shared" ca="1" si="652"/>
        <v>#VALUE!</v>
      </c>
      <c r="O197" s="193" t="e">
        <f t="shared" ca="1" si="652"/>
        <v>#VALUE!</v>
      </c>
      <c r="P197" s="193" t="e">
        <f t="shared" ca="1" si="652"/>
        <v>#VALUE!</v>
      </c>
      <c r="Q197" s="193" t="e">
        <f t="shared" ca="1" si="652"/>
        <v>#VALUE!</v>
      </c>
      <c r="R197" s="193" t="e">
        <f t="shared" ca="1" si="652"/>
        <v>#VALUE!</v>
      </c>
      <c r="S197" s="193" t="e">
        <f t="shared" ca="1" si="652"/>
        <v>#VALUE!</v>
      </c>
      <c r="T197" s="193" t="e">
        <f t="shared" ca="1" si="652"/>
        <v>#VALUE!</v>
      </c>
      <c r="U197" s="193" t="e">
        <f t="shared" ca="1" si="652"/>
        <v>#VALUE!</v>
      </c>
      <c r="V197" s="193" t="e">
        <f t="shared" ca="1" si="652"/>
        <v>#VALUE!</v>
      </c>
      <c r="W197" s="193" t="e">
        <f t="shared" ca="1" si="652"/>
        <v>#VALUE!</v>
      </c>
      <c r="X197" s="193" t="e">
        <f t="shared" ca="1" si="652"/>
        <v>#VALUE!</v>
      </c>
      <c r="Y197" s="193" t="e">
        <f t="shared" ca="1" si="652"/>
        <v>#VALUE!</v>
      </c>
      <c r="Z197" s="193" t="e">
        <f t="shared" ca="1" si="652"/>
        <v>#VALUE!</v>
      </c>
      <c r="AA197" s="193" t="e">
        <f t="shared" ca="1" si="652"/>
        <v>#VALUE!</v>
      </c>
      <c r="AB197" s="193" t="e">
        <f t="shared" ca="1" si="652"/>
        <v>#VALUE!</v>
      </c>
      <c r="AC197" s="193" t="e">
        <f t="shared" ca="1" si="652"/>
        <v>#VALUE!</v>
      </c>
      <c r="AD197" s="193" t="e">
        <f t="shared" ca="1" si="652"/>
        <v>#VALUE!</v>
      </c>
      <c r="AE197" s="193" t="e">
        <f t="shared" ca="1" si="652"/>
        <v>#VALUE!</v>
      </c>
      <c r="AF197" s="193" t="e">
        <f t="shared" ca="1" si="652"/>
        <v>#VALUE!</v>
      </c>
      <c r="AG197" s="193" t="e">
        <f t="shared" ca="1" si="652"/>
        <v>#VALUE!</v>
      </c>
      <c r="AH197" s="193" t="e">
        <f t="shared" ca="1" si="652"/>
        <v>#VALUE!</v>
      </c>
      <c r="AI197" s="193" t="e">
        <f t="shared" ca="1" si="652"/>
        <v>#VALUE!</v>
      </c>
      <c r="AJ197" s="193" t="e">
        <f t="shared" ca="1" si="652"/>
        <v>#VALUE!</v>
      </c>
      <c r="AK197" s="193" t="e">
        <f t="shared" ca="1" si="652"/>
        <v>#VALUE!</v>
      </c>
      <c r="AL197" s="193" t="e">
        <f t="shared" ca="1" si="652"/>
        <v>#VALUE!</v>
      </c>
      <c r="AM197" s="193" t="e">
        <f t="shared" ca="1" si="652"/>
        <v>#VALUE!</v>
      </c>
      <c r="AN197" s="193" t="e">
        <f t="shared" ca="1" si="652"/>
        <v>#VALUE!</v>
      </c>
      <c r="AO197" s="193" t="e">
        <f t="shared" ca="1" si="652"/>
        <v>#VALUE!</v>
      </c>
      <c r="AP197" s="193" t="e">
        <f t="shared" ca="1" si="652"/>
        <v>#VALUE!</v>
      </c>
    </row>
    <row r="198" spans="1:42" ht="31.5" x14ac:dyDescent="0.25">
      <c r="A198" s="39" t="s">
        <v>288</v>
      </c>
      <c r="B198" s="102">
        <f ca="1">ABS(($C$125*($B$125*B$183)^5+$D$125*($B$125*B$183)^4+ $E$125*($B$125*B$183)^3+$F$125*($B$125*B$183)^2+$G$125*($B$125*B$183)^1+$H$125))</f>
        <v>0</v>
      </c>
      <c r="C198" s="145">
        <f ca="1">ABS(($C135*($B135*C$183)^5+$D135*($B135*C$183)^4+ $E135*($B135*C$183)^3+$F135*($B135*C$183)^2+$G135*($B135*C$183)^1+$H135))+B198*B$204+B198*B$201</f>
        <v>0</v>
      </c>
      <c r="D198" s="145">
        <f ca="1">ABS(($C135*($B135*D$183)^5+$D135*($B135*D$183)^4+ $E135*($B135*D$183)^3+$F135*($B135*D$183)^2+$G135*($B135*D$183)^1+$H135))+C198*C$204+C198*C$201</f>
        <v>0</v>
      </c>
      <c r="E198" s="145">
        <f t="shared" ref="E198:AP198" ca="1" si="653">ABS(($C135*($B135*E$183)^5+$D135*($B135*E$183)^4+ $E135*($B135*E$183)^3+$F135*($B135*E$183)^2+$G135*($B135*E$183)^1+$H135))+D198*D$204+D198*D$201</f>
        <v>0</v>
      </c>
      <c r="F198" s="145">
        <f t="shared" ca="1" si="653"/>
        <v>0</v>
      </c>
      <c r="G198" s="145">
        <f t="shared" ca="1" si="653"/>
        <v>0</v>
      </c>
      <c r="H198" s="145">
        <f t="shared" ca="1" si="653"/>
        <v>0</v>
      </c>
      <c r="I198" s="145">
        <f t="shared" ca="1" si="653"/>
        <v>0</v>
      </c>
      <c r="J198" s="145">
        <f t="shared" ca="1" si="653"/>
        <v>0</v>
      </c>
      <c r="K198" s="145" t="e">
        <f t="shared" ca="1" si="653"/>
        <v>#VALUE!</v>
      </c>
      <c r="L198" s="145" t="e">
        <f t="shared" ca="1" si="653"/>
        <v>#VALUE!</v>
      </c>
      <c r="M198" s="145" t="e">
        <f t="shared" ca="1" si="653"/>
        <v>#VALUE!</v>
      </c>
      <c r="N198" s="145" t="e">
        <f t="shared" ca="1" si="653"/>
        <v>#VALUE!</v>
      </c>
      <c r="O198" s="145" t="e">
        <f t="shared" ca="1" si="653"/>
        <v>#VALUE!</v>
      </c>
      <c r="P198" s="145" t="e">
        <f t="shared" ca="1" si="653"/>
        <v>#VALUE!</v>
      </c>
      <c r="Q198" s="145" t="e">
        <f t="shared" ca="1" si="653"/>
        <v>#VALUE!</v>
      </c>
      <c r="R198" s="145" t="e">
        <f t="shared" ca="1" si="653"/>
        <v>#VALUE!</v>
      </c>
      <c r="S198" s="145" t="e">
        <f t="shared" ca="1" si="653"/>
        <v>#VALUE!</v>
      </c>
      <c r="T198" s="145" t="e">
        <f t="shared" ca="1" si="653"/>
        <v>#VALUE!</v>
      </c>
      <c r="U198" s="145" t="e">
        <f t="shared" ca="1" si="653"/>
        <v>#VALUE!</v>
      </c>
      <c r="V198" s="145" t="e">
        <f t="shared" ca="1" si="653"/>
        <v>#VALUE!</v>
      </c>
      <c r="W198" s="145" t="e">
        <f t="shared" ca="1" si="653"/>
        <v>#VALUE!</v>
      </c>
      <c r="X198" s="145" t="e">
        <f t="shared" ca="1" si="653"/>
        <v>#VALUE!</v>
      </c>
      <c r="Y198" s="145" t="e">
        <f t="shared" ca="1" si="653"/>
        <v>#VALUE!</v>
      </c>
      <c r="Z198" s="145" t="e">
        <f t="shared" ca="1" si="653"/>
        <v>#VALUE!</v>
      </c>
      <c r="AA198" s="145" t="e">
        <f t="shared" ca="1" si="653"/>
        <v>#VALUE!</v>
      </c>
      <c r="AB198" s="145" t="e">
        <f t="shared" ca="1" si="653"/>
        <v>#VALUE!</v>
      </c>
      <c r="AC198" s="145" t="e">
        <f t="shared" ca="1" si="653"/>
        <v>#VALUE!</v>
      </c>
      <c r="AD198" s="145" t="e">
        <f t="shared" ca="1" si="653"/>
        <v>#VALUE!</v>
      </c>
      <c r="AE198" s="145" t="e">
        <f t="shared" ca="1" si="653"/>
        <v>#VALUE!</v>
      </c>
      <c r="AF198" s="145" t="e">
        <f t="shared" ca="1" si="653"/>
        <v>#VALUE!</v>
      </c>
      <c r="AG198" s="145" t="e">
        <f t="shared" ca="1" si="653"/>
        <v>#VALUE!</v>
      </c>
      <c r="AH198" s="145" t="e">
        <f t="shared" ca="1" si="653"/>
        <v>#VALUE!</v>
      </c>
      <c r="AI198" s="145" t="e">
        <f t="shared" ca="1" si="653"/>
        <v>#VALUE!</v>
      </c>
      <c r="AJ198" s="145" t="e">
        <f t="shared" ca="1" si="653"/>
        <v>#VALUE!</v>
      </c>
      <c r="AK198" s="145" t="e">
        <f t="shared" ca="1" si="653"/>
        <v>#VALUE!</v>
      </c>
      <c r="AL198" s="145" t="e">
        <f t="shared" ca="1" si="653"/>
        <v>#VALUE!</v>
      </c>
      <c r="AM198" s="145" t="e">
        <f t="shared" ca="1" si="653"/>
        <v>#VALUE!</v>
      </c>
      <c r="AN198" s="145" t="e">
        <f t="shared" ca="1" si="653"/>
        <v>#VALUE!</v>
      </c>
      <c r="AO198" s="145" t="e">
        <f t="shared" ca="1" si="653"/>
        <v>#VALUE!</v>
      </c>
      <c r="AP198" s="145" t="e">
        <f t="shared" ca="1" si="653"/>
        <v>#VALUE!</v>
      </c>
    </row>
    <row r="199" spans="1:42" ht="31.5" x14ac:dyDescent="0.25">
      <c r="A199" s="139" t="s">
        <v>156</v>
      </c>
      <c r="B199" s="102">
        <f t="shared" ref="B199:AP199" ca="1" si="654">B$185*$I$120+B$186*$I$121+B$187*$I$122+B$188*$I$123++B$189*$I$126+B$190*$I$127+B$191*$I$128+B$192*$I$129+B$193*$I$130+B$194*$I$131+B$195*$I$132+B$196*$I$133+B$197*$I$134+B$205*$I$124+B$198*$I$125</f>
        <v>172.60511136845847</v>
      </c>
      <c r="C199" s="102">
        <f t="shared" ca="1" si="654"/>
        <v>326.20039913337553</v>
      </c>
      <c r="D199" s="102">
        <f t="shared" ca="1" si="654"/>
        <v>248.51867400623217</v>
      </c>
      <c r="E199" s="145">
        <f t="shared" ca="1" si="654"/>
        <v>322.23777944816015</v>
      </c>
      <c r="F199" s="145">
        <f t="shared" ca="1" si="654"/>
        <v>856.30891878145553</v>
      </c>
      <c r="G199" s="145">
        <f t="shared" ca="1" si="654"/>
        <v>186.0316009876604</v>
      </c>
      <c r="H199" s="145">
        <f t="shared" ca="1" si="654"/>
        <v>191.68678559574508</v>
      </c>
      <c r="I199" s="145">
        <f t="shared" ca="1" si="654"/>
        <v>673.51333592338938</v>
      </c>
      <c r="J199" s="145">
        <f t="shared" ca="1" si="654"/>
        <v>335.66426906736206</v>
      </c>
      <c r="K199" s="145" t="e">
        <f t="shared" ca="1" si="654"/>
        <v>#VALUE!</v>
      </c>
      <c r="L199" s="145" t="e">
        <f t="shared" ca="1" si="654"/>
        <v>#VALUE!</v>
      </c>
      <c r="M199" s="145" t="e">
        <f t="shared" ca="1" si="654"/>
        <v>#VALUE!</v>
      </c>
      <c r="N199" s="102" t="e">
        <f t="shared" ca="1" si="654"/>
        <v>#VALUE!</v>
      </c>
      <c r="O199" s="102" t="e">
        <f t="shared" ca="1" si="654"/>
        <v>#VALUE!</v>
      </c>
      <c r="P199" s="102" t="e">
        <f t="shared" ca="1" si="654"/>
        <v>#VALUE!</v>
      </c>
      <c r="Q199" s="102" t="e">
        <f t="shared" ca="1" si="654"/>
        <v>#VALUE!</v>
      </c>
      <c r="R199" s="102" t="e">
        <f t="shared" ca="1" si="654"/>
        <v>#VALUE!</v>
      </c>
      <c r="S199" s="102" t="e">
        <f t="shared" ca="1" si="654"/>
        <v>#VALUE!</v>
      </c>
      <c r="T199" s="102" t="e">
        <f t="shared" ca="1" si="654"/>
        <v>#VALUE!</v>
      </c>
      <c r="U199" s="102" t="e">
        <f t="shared" ca="1" si="654"/>
        <v>#VALUE!</v>
      </c>
      <c r="V199" s="102" t="e">
        <f t="shared" ca="1" si="654"/>
        <v>#VALUE!</v>
      </c>
      <c r="W199" s="102" t="e">
        <f t="shared" ca="1" si="654"/>
        <v>#VALUE!</v>
      </c>
      <c r="X199" s="102" t="e">
        <f t="shared" ca="1" si="654"/>
        <v>#VALUE!</v>
      </c>
      <c r="Y199" s="102" t="e">
        <f t="shared" ca="1" si="654"/>
        <v>#VALUE!</v>
      </c>
      <c r="Z199" s="102" t="e">
        <f t="shared" ca="1" si="654"/>
        <v>#VALUE!</v>
      </c>
      <c r="AA199" s="102" t="e">
        <f t="shared" ca="1" si="654"/>
        <v>#VALUE!</v>
      </c>
      <c r="AB199" s="102" t="e">
        <f t="shared" ca="1" si="654"/>
        <v>#VALUE!</v>
      </c>
      <c r="AC199" s="102" t="e">
        <f t="shared" ca="1" si="654"/>
        <v>#VALUE!</v>
      </c>
      <c r="AD199" s="102" t="e">
        <f t="shared" ca="1" si="654"/>
        <v>#VALUE!</v>
      </c>
      <c r="AE199" s="102" t="e">
        <f t="shared" ca="1" si="654"/>
        <v>#VALUE!</v>
      </c>
      <c r="AF199" s="102" t="e">
        <f t="shared" ca="1" si="654"/>
        <v>#VALUE!</v>
      </c>
      <c r="AG199" s="102" t="e">
        <f t="shared" ca="1" si="654"/>
        <v>#VALUE!</v>
      </c>
      <c r="AH199" s="102" t="e">
        <f t="shared" ca="1" si="654"/>
        <v>#VALUE!</v>
      </c>
      <c r="AI199" s="102" t="e">
        <f t="shared" ca="1" si="654"/>
        <v>#VALUE!</v>
      </c>
      <c r="AJ199" s="102" t="e">
        <f t="shared" ca="1" si="654"/>
        <v>#VALUE!</v>
      </c>
      <c r="AK199" s="102" t="e">
        <f t="shared" ca="1" si="654"/>
        <v>#VALUE!</v>
      </c>
      <c r="AL199" s="102" t="e">
        <f t="shared" ca="1" si="654"/>
        <v>#VALUE!</v>
      </c>
      <c r="AM199" s="102" t="e">
        <f t="shared" ca="1" si="654"/>
        <v>#VALUE!</v>
      </c>
      <c r="AN199" s="102" t="e">
        <f t="shared" ca="1" si="654"/>
        <v>#VALUE!</v>
      </c>
      <c r="AO199" s="102" t="e">
        <f t="shared" ca="1" si="654"/>
        <v>#VALUE!</v>
      </c>
      <c r="AP199" s="102" t="e">
        <f t="shared" ca="1" si="654"/>
        <v>#VALUE!</v>
      </c>
    </row>
    <row r="200" spans="1:42" ht="31.5" x14ac:dyDescent="0.25">
      <c r="A200" s="139" t="s">
        <v>157</v>
      </c>
      <c r="B200" s="102">
        <f ca="1">B199</f>
        <v>172.60511136845847</v>
      </c>
      <c r="C200" s="102">
        <f t="shared" ref="C200:AP200" ca="1" si="655">C199</f>
        <v>326.20039913337553</v>
      </c>
      <c r="D200" s="102">
        <f t="shared" ca="1" si="655"/>
        <v>248.51867400623217</v>
      </c>
      <c r="E200" s="145">
        <f t="shared" ca="1" si="655"/>
        <v>322.23777944816015</v>
      </c>
      <c r="F200" s="145">
        <f t="shared" ca="1" si="655"/>
        <v>856.30891878145553</v>
      </c>
      <c r="G200" s="145">
        <f t="shared" ca="1" si="655"/>
        <v>186.0316009876604</v>
      </c>
      <c r="H200" s="145">
        <f t="shared" ca="1" si="655"/>
        <v>191.68678559574508</v>
      </c>
      <c r="I200" s="145">
        <f t="shared" ca="1" si="655"/>
        <v>673.51333592338938</v>
      </c>
      <c r="J200" s="145">
        <f t="shared" ca="1" si="655"/>
        <v>335.66426906736206</v>
      </c>
      <c r="K200" s="145" t="e">
        <f t="shared" ca="1" si="655"/>
        <v>#VALUE!</v>
      </c>
      <c r="L200" s="145" t="e">
        <f t="shared" ca="1" si="655"/>
        <v>#VALUE!</v>
      </c>
      <c r="M200" s="145" t="e">
        <f t="shared" ca="1" si="655"/>
        <v>#VALUE!</v>
      </c>
      <c r="N200" s="102" t="e">
        <f t="shared" ca="1" si="655"/>
        <v>#VALUE!</v>
      </c>
      <c r="O200" s="102" t="e">
        <f t="shared" ca="1" si="655"/>
        <v>#VALUE!</v>
      </c>
      <c r="P200" s="102" t="e">
        <f t="shared" ca="1" si="655"/>
        <v>#VALUE!</v>
      </c>
      <c r="Q200" s="102" t="e">
        <f t="shared" ca="1" si="655"/>
        <v>#VALUE!</v>
      </c>
      <c r="R200" s="102" t="e">
        <f t="shared" ca="1" si="655"/>
        <v>#VALUE!</v>
      </c>
      <c r="S200" s="102" t="e">
        <f t="shared" ca="1" si="655"/>
        <v>#VALUE!</v>
      </c>
      <c r="T200" s="102" t="e">
        <f t="shared" ca="1" si="655"/>
        <v>#VALUE!</v>
      </c>
      <c r="U200" s="102" t="e">
        <f t="shared" ca="1" si="655"/>
        <v>#VALUE!</v>
      </c>
      <c r="V200" s="102" t="e">
        <f t="shared" ca="1" si="655"/>
        <v>#VALUE!</v>
      </c>
      <c r="W200" s="102" t="e">
        <f t="shared" ca="1" si="655"/>
        <v>#VALUE!</v>
      </c>
      <c r="X200" s="102" t="e">
        <f t="shared" ca="1" si="655"/>
        <v>#VALUE!</v>
      </c>
      <c r="Y200" s="102" t="e">
        <f t="shared" ca="1" si="655"/>
        <v>#VALUE!</v>
      </c>
      <c r="Z200" s="102" t="e">
        <f t="shared" ca="1" si="655"/>
        <v>#VALUE!</v>
      </c>
      <c r="AA200" s="102" t="e">
        <f t="shared" ca="1" si="655"/>
        <v>#VALUE!</v>
      </c>
      <c r="AB200" s="102" t="e">
        <f t="shared" ca="1" si="655"/>
        <v>#VALUE!</v>
      </c>
      <c r="AC200" s="102" t="e">
        <f t="shared" ca="1" si="655"/>
        <v>#VALUE!</v>
      </c>
      <c r="AD200" s="102" t="e">
        <f t="shared" ca="1" si="655"/>
        <v>#VALUE!</v>
      </c>
      <c r="AE200" s="102" t="e">
        <f t="shared" ca="1" si="655"/>
        <v>#VALUE!</v>
      </c>
      <c r="AF200" s="102" t="e">
        <f t="shared" ca="1" si="655"/>
        <v>#VALUE!</v>
      </c>
      <c r="AG200" s="102" t="e">
        <f t="shared" ca="1" si="655"/>
        <v>#VALUE!</v>
      </c>
      <c r="AH200" s="102" t="e">
        <f t="shared" ca="1" si="655"/>
        <v>#VALUE!</v>
      </c>
      <c r="AI200" s="102" t="e">
        <f t="shared" ca="1" si="655"/>
        <v>#VALUE!</v>
      </c>
      <c r="AJ200" s="102" t="e">
        <f t="shared" ca="1" si="655"/>
        <v>#VALUE!</v>
      </c>
      <c r="AK200" s="102" t="e">
        <f t="shared" ca="1" si="655"/>
        <v>#VALUE!</v>
      </c>
      <c r="AL200" s="102" t="e">
        <f t="shared" ca="1" si="655"/>
        <v>#VALUE!</v>
      </c>
      <c r="AM200" s="102" t="e">
        <f t="shared" ca="1" si="655"/>
        <v>#VALUE!</v>
      </c>
      <c r="AN200" s="102" t="e">
        <f t="shared" ca="1" si="655"/>
        <v>#VALUE!</v>
      </c>
      <c r="AO200" s="102" t="e">
        <f t="shared" ca="1" si="655"/>
        <v>#VALUE!</v>
      </c>
      <c r="AP200" s="102" t="e">
        <f t="shared" ca="1" si="655"/>
        <v>#VALUE!</v>
      </c>
    </row>
    <row r="201" spans="1:42" ht="31.5" x14ac:dyDescent="0.25">
      <c r="A201" s="139" t="s">
        <v>158</v>
      </c>
      <c r="B201" s="138">
        <f ca="1">1-(B200/B199)</f>
        <v>0</v>
      </c>
      <c r="C201" s="138">
        <f t="shared" ref="C201:AP201" ca="1" si="656">1-(C200/C199)</f>
        <v>0</v>
      </c>
      <c r="D201" s="138">
        <f t="shared" ca="1" si="656"/>
        <v>0</v>
      </c>
      <c r="E201" s="224">
        <f t="shared" ca="1" si="656"/>
        <v>0</v>
      </c>
      <c r="F201" s="224">
        <f t="shared" ca="1" si="656"/>
        <v>0</v>
      </c>
      <c r="G201" s="224">
        <f t="shared" ca="1" si="656"/>
        <v>0</v>
      </c>
      <c r="H201" s="224">
        <f t="shared" ca="1" si="656"/>
        <v>0</v>
      </c>
      <c r="I201" s="224">
        <f t="shared" ca="1" si="656"/>
        <v>0</v>
      </c>
      <c r="J201" s="224">
        <f t="shared" ca="1" si="656"/>
        <v>0</v>
      </c>
      <c r="K201" s="224" t="e">
        <f t="shared" ca="1" si="656"/>
        <v>#VALUE!</v>
      </c>
      <c r="L201" s="224" t="e">
        <f t="shared" ca="1" si="656"/>
        <v>#VALUE!</v>
      </c>
      <c r="M201" s="224" t="e">
        <f t="shared" ca="1" si="656"/>
        <v>#VALUE!</v>
      </c>
      <c r="N201" s="138" t="e">
        <f t="shared" ca="1" si="656"/>
        <v>#VALUE!</v>
      </c>
      <c r="O201" s="138" t="e">
        <f t="shared" ca="1" si="656"/>
        <v>#VALUE!</v>
      </c>
      <c r="P201" s="138" t="e">
        <f t="shared" ca="1" si="656"/>
        <v>#VALUE!</v>
      </c>
      <c r="Q201" s="138" t="e">
        <f t="shared" ca="1" si="656"/>
        <v>#VALUE!</v>
      </c>
      <c r="R201" s="138" t="e">
        <f t="shared" ca="1" si="656"/>
        <v>#VALUE!</v>
      </c>
      <c r="S201" s="138" t="e">
        <f t="shared" ca="1" si="656"/>
        <v>#VALUE!</v>
      </c>
      <c r="T201" s="138" t="e">
        <f t="shared" ca="1" si="656"/>
        <v>#VALUE!</v>
      </c>
      <c r="U201" s="138" t="e">
        <f t="shared" ca="1" si="656"/>
        <v>#VALUE!</v>
      </c>
      <c r="V201" s="138" t="e">
        <f t="shared" ca="1" si="656"/>
        <v>#VALUE!</v>
      </c>
      <c r="W201" s="138" t="e">
        <f t="shared" ca="1" si="656"/>
        <v>#VALUE!</v>
      </c>
      <c r="X201" s="138" t="e">
        <f t="shared" ca="1" si="656"/>
        <v>#VALUE!</v>
      </c>
      <c r="Y201" s="138" t="e">
        <f t="shared" ca="1" si="656"/>
        <v>#VALUE!</v>
      </c>
      <c r="Z201" s="138" t="e">
        <f t="shared" ca="1" si="656"/>
        <v>#VALUE!</v>
      </c>
      <c r="AA201" s="138" t="e">
        <f t="shared" ca="1" si="656"/>
        <v>#VALUE!</v>
      </c>
      <c r="AB201" s="138" t="e">
        <f t="shared" ca="1" si="656"/>
        <v>#VALUE!</v>
      </c>
      <c r="AC201" s="138" t="e">
        <f t="shared" ca="1" si="656"/>
        <v>#VALUE!</v>
      </c>
      <c r="AD201" s="138" t="e">
        <f t="shared" ca="1" si="656"/>
        <v>#VALUE!</v>
      </c>
      <c r="AE201" s="138" t="e">
        <f t="shared" ca="1" si="656"/>
        <v>#VALUE!</v>
      </c>
      <c r="AF201" s="138" t="e">
        <f t="shared" ca="1" si="656"/>
        <v>#VALUE!</v>
      </c>
      <c r="AG201" s="138" t="e">
        <f t="shared" ca="1" si="656"/>
        <v>#VALUE!</v>
      </c>
      <c r="AH201" s="138" t="e">
        <f t="shared" ca="1" si="656"/>
        <v>#VALUE!</v>
      </c>
      <c r="AI201" s="138" t="e">
        <f t="shared" ca="1" si="656"/>
        <v>#VALUE!</v>
      </c>
      <c r="AJ201" s="138" t="e">
        <f t="shared" ca="1" si="656"/>
        <v>#VALUE!</v>
      </c>
      <c r="AK201" s="138" t="e">
        <f t="shared" ca="1" si="656"/>
        <v>#VALUE!</v>
      </c>
      <c r="AL201" s="138" t="e">
        <f t="shared" ca="1" si="656"/>
        <v>#VALUE!</v>
      </c>
      <c r="AM201" s="138" t="e">
        <f t="shared" ca="1" si="656"/>
        <v>#VALUE!</v>
      </c>
      <c r="AN201" s="138" t="e">
        <f t="shared" ca="1" si="656"/>
        <v>#VALUE!</v>
      </c>
      <c r="AO201" s="138" t="e">
        <f t="shared" ca="1" si="656"/>
        <v>#VALUE!</v>
      </c>
      <c r="AP201" s="138" t="e">
        <f t="shared" ca="1" si="656"/>
        <v>#VALUE!</v>
      </c>
    </row>
    <row r="202" spans="1:42" ht="15.75" x14ac:dyDescent="0.25">
      <c r="A202" s="139" t="s">
        <v>86</v>
      </c>
      <c r="B202" s="102">
        <f t="shared" ref="B202:AP202" ca="1" si="657">1-(B$185*$J$120+B$187*$J$122+B$188*$J$123+B$189*$J$126+B$190*$J$127+B$191*$J$128+B$192*$J$129+B$193*$J$130+B$194*$J$131+B$195*$J$132+B$196*$J$133+B$197*$J$134+B$198*$J$125+B$186*$J$121+$J$124*B$212)</f>
        <v>0.76952112358972202</v>
      </c>
      <c r="C202" s="102">
        <f t="shared" ca="1" si="657"/>
        <v>0.65304443828884606</v>
      </c>
      <c r="D202" s="102">
        <f t="shared" ca="1" si="657"/>
        <v>0.7486470301848922</v>
      </c>
      <c r="E202" s="145">
        <f t="shared" ca="1" si="657"/>
        <v>0.71953564436938366</v>
      </c>
      <c r="F202" s="145">
        <f t="shared" ca="1" si="657"/>
        <v>0.49649734479432217</v>
      </c>
      <c r="G202" s="145">
        <f t="shared" ca="1" si="657"/>
        <v>0.76952112358972202</v>
      </c>
      <c r="H202" s="145">
        <f t="shared" ca="1" si="657"/>
        <v>0.76314680277583902</v>
      </c>
      <c r="I202" s="145">
        <f t="shared" ca="1" si="657"/>
        <v>0.56413840921344682</v>
      </c>
      <c r="J202" s="145">
        <f t="shared" ca="1" si="657"/>
        <v>0.71953564436938366</v>
      </c>
      <c r="K202" s="145" t="e">
        <f t="shared" ca="1" si="657"/>
        <v>#VALUE!</v>
      </c>
      <c r="L202" s="145" t="e">
        <f t="shared" ca="1" si="657"/>
        <v>#VALUE!</v>
      </c>
      <c r="M202" s="145" t="e">
        <f t="shared" ca="1" si="657"/>
        <v>#VALUE!</v>
      </c>
      <c r="N202" s="102" t="e">
        <f t="shared" ca="1" si="657"/>
        <v>#VALUE!</v>
      </c>
      <c r="O202" s="102" t="e">
        <f t="shared" ca="1" si="657"/>
        <v>#VALUE!</v>
      </c>
      <c r="P202" s="102" t="e">
        <f t="shared" ca="1" si="657"/>
        <v>#VALUE!</v>
      </c>
      <c r="Q202" s="102" t="e">
        <f t="shared" ca="1" si="657"/>
        <v>#VALUE!</v>
      </c>
      <c r="R202" s="102" t="e">
        <f t="shared" ca="1" si="657"/>
        <v>#VALUE!</v>
      </c>
      <c r="S202" s="102" t="e">
        <f t="shared" ca="1" si="657"/>
        <v>#VALUE!</v>
      </c>
      <c r="T202" s="102" t="e">
        <f t="shared" ca="1" si="657"/>
        <v>#VALUE!</v>
      </c>
      <c r="U202" s="102" t="e">
        <f t="shared" ca="1" si="657"/>
        <v>#VALUE!</v>
      </c>
      <c r="V202" s="102" t="e">
        <f t="shared" ca="1" si="657"/>
        <v>#VALUE!</v>
      </c>
      <c r="W202" s="102" t="e">
        <f t="shared" ca="1" si="657"/>
        <v>#VALUE!</v>
      </c>
      <c r="X202" s="102" t="e">
        <f t="shared" ca="1" si="657"/>
        <v>#VALUE!</v>
      </c>
      <c r="Y202" s="102" t="e">
        <f t="shared" ca="1" si="657"/>
        <v>#VALUE!</v>
      </c>
      <c r="Z202" s="102" t="e">
        <f t="shared" ca="1" si="657"/>
        <v>#VALUE!</v>
      </c>
      <c r="AA202" s="102" t="e">
        <f t="shared" ca="1" si="657"/>
        <v>#VALUE!</v>
      </c>
      <c r="AB202" s="102" t="e">
        <f t="shared" ca="1" si="657"/>
        <v>#VALUE!</v>
      </c>
      <c r="AC202" s="102" t="e">
        <f t="shared" ca="1" si="657"/>
        <v>#VALUE!</v>
      </c>
      <c r="AD202" s="102" t="e">
        <f t="shared" ca="1" si="657"/>
        <v>#VALUE!</v>
      </c>
      <c r="AE202" s="102" t="e">
        <f t="shared" ca="1" si="657"/>
        <v>#VALUE!</v>
      </c>
      <c r="AF202" s="102" t="e">
        <f t="shared" ca="1" si="657"/>
        <v>#VALUE!</v>
      </c>
      <c r="AG202" s="102" t="e">
        <f t="shared" ca="1" si="657"/>
        <v>#VALUE!</v>
      </c>
      <c r="AH202" s="102" t="e">
        <f t="shared" ca="1" si="657"/>
        <v>#VALUE!</v>
      </c>
      <c r="AI202" s="102" t="e">
        <f t="shared" ca="1" si="657"/>
        <v>#VALUE!</v>
      </c>
      <c r="AJ202" s="102" t="e">
        <f t="shared" ca="1" si="657"/>
        <v>#VALUE!</v>
      </c>
      <c r="AK202" s="102" t="e">
        <f t="shared" ca="1" si="657"/>
        <v>#VALUE!</v>
      </c>
      <c r="AL202" s="102" t="e">
        <f t="shared" ca="1" si="657"/>
        <v>#VALUE!</v>
      </c>
      <c r="AM202" s="102" t="e">
        <f t="shared" ca="1" si="657"/>
        <v>#VALUE!</v>
      </c>
      <c r="AN202" s="102" t="e">
        <f t="shared" ca="1" si="657"/>
        <v>#VALUE!</v>
      </c>
      <c r="AO202" s="102" t="e">
        <f t="shared" ca="1" si="657"/>
        <v>#VALUE!</v>
      </c>
      <c r="AP202" s="102" t="e">
        <f t="shared" ca="1" si="657"/>
        <v>#VALUE!</v>
      </c>
    </row>
    <row r="203" spans="1:42" ht="15.75" x14ac:dyDescent="0.25">
      <c r="A203" s="139" t="s">
        <v>87</v>
      </c>
      <c r="B203" s="180">
        <v>0.85</v>
      </c>
      <c r="C203" s="180">
        <v>0.85</v>
      </c>
      <c r="D203" s="180">
        <v>0.85</v>
      </c>
      <c r="E203" s="180">
        <v>0.85</v>
      </c>
      <c r="F203" s="180">
        <v>0.85</v>
      </c>
      <c r="G203" s="180">
        <v>0.85</v>
      </c>
      <c r="H203" s="180">
        <v>0.85</v>
      </c>
      <c r="I203" s="180">
        <v>0.85</v>
      </c>
      <c r="J203" s="180">
        <v>0.85</v>
      </c>
      <c r="K203" s="180">
        <v>0.85</v>
      </c>
      <c r="L203" s="180">
        <v>0.85</v>
      </c>
      <c r="M203" s="180">
        <v>0.85</v>
      </c>
      <c r="N203" s="180">
        <v>0.85</v>
      </c>
      <c r="O203" s="180">
        <v>0.85</v>
      </c>
      <c r="P203" s="180">
        <v>0.85</v>
      </c>
      <c r="Q203" s="180">
        <v>0.85</v>
      </c>
      <c r="R203" s="180">
        <v>0.85</v>
      </c>
      <c r="S203" s="180">
        <v>0.85</v>
      </c>
      <c r="T203" s="180">
        <v>0.85</v>
      </c>
      <c r="U203" s="180">
        <v>0.85</v>
      </c>
      <c r="V203" s="180">
        <v>0.85</v>
      </c>
      <c r="W203" s="180">
        <v>0.85</v>
      </c>
      <c r="X203" s="180">
        <v>0.85</v>
      </c>
      <c r="Y203" s="180">
        <v>0.85</v>
      </c>
      <c r="Z203" s="180">
        <v>0.85</v>
      </c>
      <c r="AA203" s="180">
        <v>0.85</v>
      </c>
      <c r="AB203" s="180">
        <v>0.85</v>
      </c>
      <c r="AC203" s="180">
        <v>0.85</v>
      </c>
      <c r="AD203" s="180">
        <v>0.85</v>
      </c>
      <c r="AE203" s="180">
        <v>0.85</v>
      </c>
      <c r="AF203" s="180">
        <v>0.85</v>
      </c>
      <c r="AG203" s="180">
        <v>0.85</v>
      </c>
      <c r="AH203" s="180">
        <v>0.85</v>
      </c>
      <c r="AI203" s="180">
        <v>0.85</v>
      </c>
      <c r="AJ203" s="180">
        <v>0.85</v>
      </c>
      <c r="AK203" s="180">
        <v>0.85</v>
      </c>
      <c r="AL203" s="180">
        <v>0.85</v>
      </c>
      <c r="AM203" s="180">
        <v>0.85</v>
      </c>
      <c r="AN203" s="180">
        <v>0.85</v>
      </c>
      <c r="AO203" s="180">
        <v>0.85</v>
      </c>
      <c r="AP203" s="180">
        <v>0.85</v>
      </c>
    </row>
    <row r="204" spans="1:42" ht="31.5" x14ac:dyDescent="0.25">
      <c r="A204" s="139" t="s">
        <v>88</v>
      </c>
      <c r="B204" s="196">
        <f>1-(EXP(-0.00055*B171))</f>
        <v>9.4257291976451496E-2</v>
      </c>
      <c r="C204" s="102">
        <f ca="1">IF(OR(B215=1,B216=1,B217=1,B219=1),($B$204*(1+B222*0.15)), IF(OR(B218=1,B220=1),$B$204,(1-(EXP(-0.00055*C171)))-(1-(EXP(-0.00055*B171)))+B204))</f>
        <v>0.17963014686216894</v>
      </c>
      <c r="D204" s="102">
        <f t="shared" ref="D204:AP204" ca="1" si="658">IF(OR(C215=1,C216=1,C217=1,C219=1),($B$204*(1+C222*0.15)), IF(OR(C218=1,C220=1),$B$204,(1-(EXP(-0.00055*D171)))-(1-(EXP(-0.00055*C171)))+C204))</f>
        <v>0.10839588577291921</v>
      </c>
      <c r="E204" s="102">
        <f t="shared" ca="1" si="658"/>
        <v>0.12253447956938696</v>
      </c>
      <c r="F204" s="102">
        <f t="shared" ca="1" si="658"/>
        <v>0.18597026821046408</v>
      </c>
      <c r="G204" s="102">
        <f t="shared" ca="1" si="658"/>
        <v>0.15081166716232242</v>
      </c>
      <c r="H204" s="102">
        <f t="shared" ca="1" si="658"/>
        <v>0.16495026095879012</v>
      </c>
      <c r="I204" s="102">
        <f t="shared" ca="1" si="658"/>
        <v>0.21208584387800006</v>
      </c>
      <c r="J204" s="102">
        <f t="shared" ca="1" si="658"/>
        <v>0.17908885475525782</v>
      </c>
      <c r="K204" s="102">
        <f t="shared" ca="1" si="658"/>
        <v>9.4257291976451496E-2</v>
      </c>
      <c r="L204" s="102" t="e">
        <f t="shared" ca="1" si="658"/>
        <v>#VALUE!</v>
      </c>
      <c r="M204" s="102" t="e">
        <f t="shared" ca="1" si="658"/>
        <v>#VALUE!</v>
      </c>
      <c r="N204" s="102" t="e">
        <f t="shared" ca="1" si="658"/>
        <v>#VALUE!</v>
      </c>
      <c r="O204" s="102" t="e">
        <f t="shared" ca="1" si="658"/>
        <v>#VALUE!</v>
      </c>
      <c r="P204" s="102" t="e">
        <f t="shared" ca="1" si="658"/>
        <v>#VALUE!</v>
      </c>
      <c r="Q204" s="102" t="e">
        <f t="shared" ca="1" si="658"/>
        <v>#VALUE!</v>
      </c>
      <c r="R204" s="102" t="e">
        <f t="shared" ca="1" si="658"/>
        <v>#VALUE!</v>
      </c>
      <c r="S204" s="102" t="e">
        <f t="shared" ca="1" si="658"/>
        <v>#VALUE!</v>
      </c>
      <c r="T204" s="102" t="e">
        <f t="shared" ca="1" si="658"/>
        <v>#VALUE!</v>
      </c>
      <c r="U204" s="102" t="e">
        <f t="shared" ca="1" si="658"/>
        <v>#VALUE!</v>
      </c>
      <c r="V204" s="102" t="e">
        <f t="shared" ca="1" si="658"/>
        <v>#VALUE!</v>
      </c>
      <c r="W204" s="102" t="e">
        <f t="shared" ca="1" si="658"/>
        <v>#VALUE!</v>
      </c>
      <c r="X204" s="102" t="e">
        <f t="shared" ca="1" si="658"/>
        <v>#VALUE!</v>
      </c>
      <c r="Y204" s="102" t="e">
        <f t="shared" ca="1" si="658"/>
        <v>#VALUE!</v>
      </c>
      <c r="Z204" s="102" t="e">
        <f t="shared" ca="1" si="658"/>
        <v>#VALUE!</v>
      </c>
      <c r="AA204" s="102" t="e">
        <f t="shared" ca="1" si="658"/>
        <v>#VALUE!</v>
      </c>
      <c r="AB204" s="102" t="e">
        <f t="shared" ca="1" si="658"/>
        <v>#VALUE!</v>
      </c>
      <c r="AC204" s="102" t="e">
        <f t="shared" ca="1" si="658"/>
        <v>#VALUE!</v>
      </c>
      <c r="AD204" s="102" t="e">
        <f t="shared" ca="1" si="658"/>
        <v>#VALUE!</v>
      </c>
      <c r="AE204" s="102" t="e">
        <f t="shared" ca="1" si="658"/>
        <v>#VALUE!</v>
      </c>
      <c r="AF204" s="102" t="e">
        <f t="shared" ca="1" si="658"/>
        <v>#VALUE!</v>
      </c>
      <c r="AG204" s="102" t="e">
        <f t="shared" ca="1" si="658"/>
        <v>#VALUE!</v>
      </c>
      <c r="AH204" s="102" t="e">
        <f t="shared" ca="1" si="658"/>
        <v>#VALUE!</v>
      </c>
      <c r="AI204" s="102" t="e">
        <f t="shared" ca="1" si="658"/>
        <v>#VALUE!</v>
      </c>
      <c r="AJ204" s="102" t="e">
        <f t="shared" ca="1" si="658"/>
        <v>#VALUE!</v>
      </c>
      <c r="AK204" s="102" t="e">
        <f t="shared" ca="1" si="658"/>
        <v>#VALUE!</v>
      </c>
      <c r="AL204" s="102" t="e">
        <f t="shared" ca="1" si="658"/>
        <v>#VALUE!</v>
      </c>
      <c r="AM204" s="102" t="e">
        <f t="shared" ca="1" si="658"/>
        <v>#VALUE!</v>
      </c>
      <c r="AN204" s="102" t="e">
        <f t="shared" ca="1" si="658"/>
        <v>#VALUE!</v>
      </c>
      <c r="AO204" s="102" t="e">
        <f t="shared" ca="1" si="658"/>
        <v>#VALUE!</v>
      </c>
      <c r="AP204" s="102" t="e">
        <f t="shared" ca="1" si="658"/>
        <v>#VALUE!</v>
      </c>
    </row>
    <row r="205" spans="1:42" ht="15.75" x14ac:dyDescent="0.25">
      <c r="A205" s="39" t="s">
        <v>89</v>
      </c>
      <c r="B205" s="102">
        <f t="shared" ref="B205:AP205" ca="1" si="659">ABS(($C124*($B124*B$184)^5+$D124*($B124*B$184)^4+ $E124*($B124*B$184)^3+$F124*($B124*B$184)^2+$G124*($B124*B$184)^1+$H124))</f>
        <v>21.855575034075997</v>
      </c>
      <c r="C205" s="102">
        <f t="shared" ca="1" si="659"/>
        <v>28.496220155185199</v>
      </c>
      <c r="D205" s="102">
        <f t="shared" ca="1" si="659"/>
        <v>30.272612311271828</v>
      </c>
      <c r="E205" s="102">
        <f t="shared" ca="1" si="659"/>
        <v>21.855575034075997</v>
      </c>
      <c r="F205" s="102">
        <f t="shared" ca="1" si="659"/>
        <v>28.496220155185199</v>
      </c>
      <c r="G205" s="102">
        <f t="shared" ca="1" si="659"/>
        <v>30.272612311271828</v>
      </c>
      <c r="H205" s="102">
        <f t="shared" ca="1" si="659"/>
        <v>21.855575034075997</v>
      </c>
      <c r="I205" s="102">
        <f t="shared" ca="1" si="659"/>
        <v>28.496220155185199</v>
      </c>
      <c r="J205" s="102">
        <f t="shared" ca="1" si="659"/>
        <v>30.272612311271828</v>
      </c>
      <c r="K205" s="102" t="e">
        <f t="shared" ca="1" si="659"/>
        <v>#VALUE!</v>
      </c>
      <c r="L205" s="102" t="e">
        <f t="shared" ca="1" si="659"/>
        <v>#VALUE!</v>
      </c>
      <c r="M205" s="102" t="e">
        <f t="shared" ca="1" si="659"/>
        <v>#VALUE!</v>
      </c>
      <c r="N205" s="102" t="e">
        <f t="shared" ca="1" si="659"/>
        <v>#VALUE!</v>
      </c>
      <c r="O205" s="102" t="e">
        <f t="shared" ca="1" si="659"/>
        <v>#VALUE!</v>
      </c>
      <c r="P205" s="102" t="e">
        <f t="shared" ca="1" si="659"/>
        <v>#VALUE!</v>
      </c>
      <c r="Q205" s="102" t="e">
        <f t="shared" ca="1" si="659"/>
        <v>#VALUE!</v>
      </c>
      <c r="R205" s="102" t="e">
        <f t="shared" ca="1" si="659"/>
        <v>#VALUE!</v>
      </c>
      <c r="S205" s="102" t="e">
        <f t="shared" ca="1" si="659"/>
        <v>#VALUE!</v>
      </c>
      <c r="T205" s="102" t="e">
        <f t="shared" ca="1" si="659"/>
        <v>#VALUE!</v>
      </c>
      <c r="U205" s="102" t="e">
        <f t="shared" ca="1" si="659"/>
        <v>#VALUE!</v>
      </c>
      <c r="V205" s="102" t="e">
        <f t="shared" ca="1" si="659"/>
        <v>#VALUE!</v>
      </c>
      <c r="W205" s="102" t="e">
        <f t="shared" ca="1" si="659"/>
        <v>#VALUE!</v>
      </c>
      <c r="X205" s="102" t="e">
        <f t="shared" ca="1" si="659"/>
        <v>#VALUE!</v>
      </c>
      <c r="Y205" s="102" t="e">
        <f t="shared" ca="1" si="659"/>
        <v>#VALUE!</v>
      </c>
      <c r="Z205" s="102" t="e">
        <f t="shared" ca="1" si="659"/>
        <v>#VALUE!</v>
      </c>
      <c r="AA205" s="102" t="e">
        <f t="shared" ca="1" si="659"/>
        <v>#VALUE!</v>
      </c>
      <c r="AB205" s="102" t="e">
        <f t="shared" ca="1" si="659"/>
        <v>#VALUE!</v>
      </c>
      <c r="AC205" s="102" t="e">
        <f t="shared" ca="1" si="659"/>
        <v>#VALUE!</v>
      </c>
      <c r="AD205" s="102" t="e">
        <f t="shared" ca="1" si="659"/>
        <v>#VALUE!</v>
      </c>
      <c r="AE205" s="102" t="e">
        <f t="shared" ca="1" si="659"/>
        <v>#VALUE!</v>
      </c>
      <c r="AF205" s="102" t="e">
        <f t="shared" ca="1" si="659"/>
        <v>#VALUE!</v>
      </c>
      <c r="AG205" s="102" t="e">
        <f t="shared" ca="1" si="659"/>
        <v>#VALUE!</v>
      </c>
      <c r="AH205" s="102" t="e">
        <f t="shared" ca="1" si="659"/>
        <v>#VALUE!</v>
      </c>
      <c r="AI205" s="102" t="e">
        <f t="shared" ca="1" si="659"/>
        <v>#VALUE!</v>
      </c>
      <c r="AJ205" s="102" t="e">
        <f t="shared" ca="1" si="659"/>
        <v>#VALUE!</v>
      </c>
      <c r="AK205" s="102" t="e">
        <f t="shared" ca="1" si="659"/>
        <v>#VALUE!</v>
      </c>
      <c r="AL205" s="102" t="e">
        <f t="shared" ca="1" si="659"/>
        <v>#VALUE!</v>
      </c>
      <c r="AM205" s="102" t="e">
        <f t="shared" ca="1" si="659"/>
        <v>#VALUE!</v>
      </c>
      <c r="AN205" s="102" t="e">
        <f t="shared" ca="1" si="659"/>
        <v>#VALUE!</v>
      </c>
      <c r="AO205" s="102" t="e">
        <f t="shared" ca="1" si="659"/>
        <v>#VALUE!</v>
      </c>
      <c r="AP205" s="102" t="e">
        <f t="shared" ca="1" si="659"/>
        <v>#VALUE!</v>
      </c>
    </row>
    <row r="206" spans="1:42" ht="15.75" x14ac:dyDescent="0.25">
      <c r="A206" s="39" t="s">
        <v>90</v>
      </c>
      <c r="B206" s="102">
        <f ca="1">1-B202</f>
        <v>0.23047887641027798</v>
      </c>
      <c r="C206" s="102">
        <f t="shared" ref="C206:AP206" ca="1" si="660">1-C202</f>
        <v>0.34695556171115394</v>
      </c>
      <c r="D206" s="102">
        <f t="shared" ca="1" si="660"/>
        <v>0.2513529698151078</v>
      </c>
      <c r="E206" s="102">
        <f t="shared" ca="1" si="660"/>
        <v>0.28046435563061634</v>
      </c>
      <c r="F206" s="102">
        <f t="shared" ca="1" si="660"/>
        <v>0.50350265520567783</v>
      </c>
      <c r="G206" s="102">
        <f t="shared" ca="1" si="660"/>
        <v>0.23047887641027798</v>
      </c>
      <c r="H206" s="102">
        <f t="shared" ca="1" si="660"/>
        <v>0.23685319722416098</v>
      </c>
      <c r="I206" s="102">
        <f t="shared" ca="1" si="660"/>
        <v>0.43586159078655318</v>
      </c>
      <c r="J206" s="102">
        <f t="shared" ca="1" si="660"/>
        <v>0.28046435563061634</v>
      </c>
      <c r="K206" s="102" t="e">
        <f t="shared" ca="1" si="660"/>
        <v>#VALUE!</v>
      </c>
      <c r="L206" s="102" t="e">
        <f t="shared" ca="1" si="660"/>
        <v>#VALUE!</v>
      </c>
      <c r="M206" s="102" t="e">
        <f t="shared" ca="1" si="660"/>
        <v>#VALUE!</v>
      </c>
      <c r="N206" s="102" t="e">
        <f t="shared" ca="1" si="660"/>
        <v>#VALUE!</v>
      </c>
      <c r="O206" s="102" t="e">
        <f t="shared" ca="1" si="660"/>
        <v>#VALUE!</v>
      </c>
      <c r="P206" s="102" t="e">
        <f t="shared" ca="1" si="660"/>
        <v>#VALUE!</v>
      </c>
      <c r="Q206" s="102" t="e">
        <f t="shared" ca="1" si="660"/>
        <v>#VALUE!</v>
      </c>
      <c r="R206" s="102" t="e">
        <f t="shared" ca="1" si="660"/>
        <v>#VALUE!</v>
      </c>
      <c r="S206" s="102" t="e">
        <f t="shared" ca="1" si="660"/>
        <v>#VALUE!</v>
      </c>
      <c r="T206" s="102" t="e">
        <f t="shared" ca="1" si="660"/>
        <v>#VALUE!</v>
      </c>
      <c r="U206" s="102" t="e">
        <f t="shared" ca="1" si="660"/>
        <v>#VALUE!</v>
      </c>
      <c r="V206" s="102" t="e">
        <f t="shared" ca="1" si="660"/>
        <v>#VALUE!</v>
      </c>
      <c r="W206" s="102" t="e">
        <f t="shared" ca="1" si="660"/>
        <v>#VALUE!</v>
      </c>
      <c r="X206" s="102" t="e">
        <f t="shared" ca="1" si="660"/>
        <v>#VALUE!</v>
      </c>
      <c r="Y206" s="102" t="e">
        <f t="shared" ca="1" si="660"/>
        <v>#VALUE!</v>
      </c>
      <c r="Z206" s="102" t="e">
        <f t="shared" ca="1" si="660"/>
        <v>#VALUE!</v>
      </c>
      <c r="AA206" s="102" t="e">
        <f t="shared" ca="1" si="660"/>
        <v>#VALUE!</v>
      </c>
      <c r="AB206" s="102" t="e">
        <f t="shared" ca="1" si="660"/>
        <v>#VALUE!</v>
      </c>
      <c r="AC206" s="102" t="e">
        <f t="shared" ca="1" si="660"/>
        <v>#VALUE!</v>
      </c>
      <c r="AD206" s="102" t="e">
        <f t="shared" ca="1" si="660"/>
        <v>#VALUE!</v>
      </c>
      <c r="AE206" s="102" t="e">
        <f t="shared" ca="1" si="660"/>
        <v>#VALUE!</v>
      </c>
      <c r="AF206" s="102" t="e">
        <f t="shared" ca="1" si="660"/>
        <v>#VALUE!</v>
      </c>
      <c r="AG206" s="102" t="e">
        <f t="shared" ca="1" si="660"/>
        <v>#VALUE!</v>
      </c>
      <c r="AH206" s="102" t="e">
        <f t="shared" ca="1" si="660"/>
        <v>#VALUE!</v>
      </c>
      <c r="AI206" s="102" t="e">
        <f t="shared" ca="1" si="660"/>
        <v>#VALUE!</v>
      </c>
      <c r="AJ206" s="102" t="e">
        <f t="shared" ca="1" si="660"/>
        <v>#VALUE!</v>
      </c>
      <c r="AK206" s="102" t="e">
        <f t="shared" ca="1" si="660"/>
        <v>#VALUE!</v>
      </c>
      <c r="AL206" s="102" t="e">
        <f ca="1">1-AL202</f>
        <v>#VALUE!</v>
      </c>
      <c r="AM206" s="102" t="e">
        <f t="shared" ca="1" si="660"/>
        <v>#VALUE!</v>
      </c>
      <c r="AN206" s="102" t="e">
        <f t="shared" ca="1" si="660"/>
        <v>#VALUE!</v>
      </c>
      <c r="AO206" s="102" t="e">
        <f t="shared" ca="1" si="660"/>
        <v>#VALUE!</v>
      </c>
      <c r="AP206" s="102" t="e">
        <f t="shared" ca="1" si="660"/>
        <v>#VALUE!</v>
      </c>
    </row>
    <row r="207" spans="1:42" ht="15.75" x14ac:dyDescent="0.25">
      <c r="A207" s="39" t="s">
        <v>91</v>
      </c>
      <c r="B207" s="102">
        <f ca="1">B186+B191+B194</f>
        <v>1.1399201256856133</v>
      </c>
      <c r="C207" s="102">
        <f t="shared" ref="C207:AP207" ca="1" si="661">C186+C191+C194</f>
        <v>1.6394223889178052</v>
      </c>
      <c r="D207" s="102">
        <f t="shared" ca="1" si="661"/>
        <v>1.3296846111840659</v>
      </c>
      <c r="E207" s="102">
        <f t="shared" ca="1" si="661"/>
        <v>1.5943335731432353</v>
      </c>
      <c r="F207" s="102">
        <f t="shared" ca="1" si="661"/>
        <v>2.5500052759816954</v>
      </c>
      <c r="G207" s="102">
        <f t="shared" ca="1" si="661"/>
        <v>1.1399201256856133</v>
      </c>
      <c r="H207" s="102">
        <f t="shared" ca="1" si="661"/>
        <v>1.1978684967209141</v>
      </c>
      <c r="I207" s="102">
        <f t="shared" ca="1" si="661"/>
        <v>1.7712385033809572</v>
      </c>
      <c r="J207" s="102">
        <f t="shared" ca="1" si="661"/>
        <v>1.5943335731432353</v>
      </c>
      <c r="K207" s="102" t="e">
        <f t="shared" ca="1" si="661"/>
        <v>#VALUE!</v>
      </c>
      <c r="L207" s="102" t="e">
        <f t="shared" ca="1" si="661"/>
        <v>#VALUE!</v>
      </c>
      <c r="M207" s="102" t="e">
        <f t="shared" ca="1" si="661"/>
        <v>#VALUE!</v>
      </c>
      <c r="N207" s="102" t="e">
        <f t="shared" ca="1" si="661"/>
        <v>#VALUE!</v>
      </c>
      <c r="O207" s="102" t="e">
        <f t="shared" ca="1" si="661"/>
        <v>#VALUE!</v>
      </c>
      <c r="P207" s="102" t="e">
        <f t="shared" ca="1" si="661"/>
        <v>#VALUE!</v>
      </c>
      <c r="Q207" s="102" t="e">
        <f t="shared" ca="1" si="661"/>
        <v>#VALUE!</v>
      </c>
      <c r="R207" s="102" t="e">
        <f t="shared" ca="1" si="661"/>
        <v>#VALUE!</v>
      </c>
      <c r="S207" s="102" t="e">
        <f t="shared" ca="1" si="661"/>
        <v>#VALUE!</v>
      </c>
      <c r="T207" s="102" t="e">
        <f t="shared" ca="1" si="661"/>
        <v>#VALUE!</v>
      </c>
      <c r="U207" s="102" t="e">
        <f t="shared" ca="1" si="661"/>
        <v>#VALUE!</v>
      </c>
      <c r="V207" s="102" t="e">
        <f t="shared" ca="1" si="661"/>
        <v>#VALUE!</v>
      </c>
      <c r="W207" s="102" t="e">
        <f t="shared" ca="1" si="661"/>
        <v>#VALUE!</v>
      </c>
      <c r="X207" s="102" t="e">
        <f t="shared" ca="1" si="661"/>
        <v>#VALUE!</v>
      </c>
      <c r="Y207" s="102" t="e">
        <f t="shared" ca="1" si="661"/>
        <v>#VALUE!</v>
      </c>
      <c r="Z207" s="102" t="e">
        <f t="shared" ca="1" si="661"/>
        <v>#VALUE!</v>
      </c>
      <c r="AA207" s="102" t="e">
        <f t="shared" ca="1" si="661"/>
        <v>#VALUE!</v>
      </c>
      <c r="AB207" s="102" t="e">
        <f t="shared" ca="1" si="661"/>
        <v>#VALUE!</v>
      </c>
      <c r="AC207" s="102" t="e">
        <f t="shared" ca="1" si="661"/>
        <v>#VALUE!</v>
      </c>
      <c r="AD207" s="102" t="e">
        <f t="shared" ca="1" si="661"/>
        <v>#VALUE!</v>
      </c>
      <c r="AE207" s="102" t="e">
        <f t="shared" ca="1" si="661"/>
        <v>#VALUE!</v>
      </c>
      <c r="AF207" s="102" t="e">
        <f t="shared" ca="1" si="661"/>
        <v>#VALUE!</v>
      </c>
      <c r="AG207" s="102" t="e">
        <f t="shared" ca="1" si="661"/>
        <v>#VALUE!</v>
      </c>
      <c r="AH207" s="102" t="e">
        <f t="shared" ca="1" si="661"/>
        <v>#VALUE!</v>
      </c>
      <c r="AI207" s="102" t="e">
        <f t="shared" ca="1" si="661"/>
        <v>#VALUE!</v>
      </c>
      <c r="AJ207" s="102" t="e">
        <f t="shared" ca="1" si="661"/>
        <v>#VALUE!</v>
      </c>
      <c r="AK207" s="102" t="e">
        <f t="shared" ca="1" si="661"/>
        <v>#VALUE!</v>
      </c>
      <c r="AL207" s="102" t="e">
        <f t="shared" ca="1" si="661"/>
        <v>#VALUE!</v>
      </c>
      <c r="AM207" s="102" t="e">
        <f t="shared" ca="1" si="661"/>
        <v>#VALUE!</v>
      </c>
      <c r="AN207" s="102" t="e">
        <f t="shared" ca="1" si="661"/>
        <v>#VALUE!</v>
      </c>
      <c r="AO207" s="102" t="e">
        <f t="shared" ca="1" si="661"/>
        <v>#VALUE!</v>
      </c>
      <c r="AP207" s="102" t="e">
        <f t="shared" ca="1" si="661"/>
        <v>#VALUE!</v>
      </c>
    </row>
    <row r="208" spans="1:42" ht="15.75" x14ac:dyDescent="0.25">
      <c r="A208" s="39" t="s">
        <v>92</v>
      </c>
      <c r="B208" s="197">
        <f ca="1">B199/'Единичные ставки+критерии'!$W$2</f>
        <v>4.1096455087728204E-2</v>
      </c>
      <c r="C208" s="197">
        <f ca="1">C199/'Единичные ставки+критерии'!$W$2</f>
        <v>7.7666761698422751E-2</v>
      </c>
      <c r="D208" s="197">
        <f ca="1">D199/'Единичные ставки+критерии'!$W$2</f>
        <v>5.9171112858626709E-2</v>
      </c>
      <c r="E208" s="197">
        <f ca="1">E199/'Единичные ставки+критерии'!$W$2</f>
        <v>7.6723280820990516E-2</v>
      </c>
      <c r="F208" s="197">
        <f ca="1">F199/'Единичные ставки+критерии'!$W$2</f>
        <v>0.20388307590034654</v>
      </c>
      <c r="G208" s="197">
        <f ca="1">G199/'Единичные ставки+критерии'!$W$2</f>
        <v>4.4293238330395335E-2</v>
      </c>
      <c r="H208" s="197">
        <f ca="1">H199/'Единичные ставки+критерии'!$W$2</f>
        <v>4.5639710856129778E-2</v>
      </c>
      <c r="I208" s="197">
        <f ca="1">I199/'Единичные ставки+критерии'!$W$2</f>
        <v>0.16036031807699747</v>
      </c>
      <c r="J208" s="197">
        <f ca="1">J199/'Единичные ставки+критерии'!$W$2</f>
        <v>7.9920064063657634E-2</v>
      </c>
      <c r="K208" s="197" t="e">
        <f ca="1">K199/'Единичные ставки+критерии'!$W$2</f>
        <v>#VALUE!</v>
      </c>
      <c r="L208" s="197" t="e">
        <f ca="1">L199/'Единичные ставки+критерии'!$W$2</f>
        <v>#VALUE!</v>
      </c>
      <c r="M208" s="197" t="e">
        <f ca="1">M199/'Единичные ставки+критерии'!$W$2</f>
        <v>#VALUE!</v>
      </c>
      <c r="N208" s="197" t="e">
        <f ca="1">N199/'Единичные ставки+критерии'!$W$2</f>
        <v>#VALUE!</v>
      </c>
      <c r="O208" s="197" t="e">
        <f ca="1">O199/'Единичные ставки+критерии'!$W$2</f>
        <v>#VALUE!</v>
      </c>
      <c r="P208" s="197" t="e">
        <f ca="1">P199/'Единичные ставки+критерии'!$W$2</f>
        <v>#VALUE!</v>
      </c>
      <c r="Q208" s="197" t="e">
        <f ca="1">Q199/'Единичные ставки+критерии'!$W$2</f>
        <v>#VALUE!</v>
      </c>
      <c r="R208" s="197" t="e">
        <f ca="1">R199/'Единичные ставки+критерии'!$W$2</f>
        <v>#VALUE!</v>
      </c>
      <c r="S208" s="197" t="e">
        <f ca="1">S199/'Единичные ставки+критерии'!$W$2</f>
        <v>#VALUE!</v>
      </c>
      <c r="T208" s="197" t="e">
        <f ca="1">T199/'Единичные ставки+критерии'!$W$2</f>
        <v>#VALUE!</v>
      </c>
      <c r="U208" s="197" t="e">
        <f ca="1">U199/'Единичные ставки+критерии'!$W$2</f>
        <v>#VALUE!</v>
      </c>
      <c r="V208" s="197" t="e">
        <f ca="1">V199/'Единичные ставки+критерии'!$W$2</f>
        <v>#VALUE!</v>
      </c>
      <c r="W208" s="197" t="e">
        <f ca="1">W199/'Единичные ставки+критерии'!$W$2</f>
        <v>#VALUE!</v>
      </c>
      <c r="X208" s="197" t="e">
        <f ca="1">X199/'Единичные ставки+критерии'!$W$2</f>
        <v>#VALUE!</v>
      </c>
      <c r="Y208" s="197" t="e">
        <f ca="1">Y199/'Единичные ставки+критерии'!$W$2</f>
        <v>#VALUE!</v>
      </c>
      <c r="Z208" s="197" t="e">
        <f ca="1">Z199/'Единичные ставки+критерии'!$W$2</f>
        <v>#VALUE!</v>
      </c>
      <c r="AA208" s="197" t="e">
        <f ca="1">AA199/'Единичные ставки+критерии'!$W$2</f>
        <v>#VALUE!</v>
      </c>
      <c r="AB208" s="197" t="e">
        <f ca="1">AB199/'Единичные ставки+критерии'!$W$2</f>
        <v>#VALUE!</v>
      </c>
      <c r="AC208" s="197" t="e">
        <f ca="1">AC199/'Единичные ставки+критерии'!$W$2</f>
        <v>#VALUE!</v>
      </c>
      <c r="AD208" s="197" t="e">
        <f ca="1">AD199/'Единичные ставки+критерии'!$W$2</f>
        <v>#VALUE!</v>
      </c>
      <c r="AE208" s="197" t="e">
        <f ca="1">AE199/'Единичные ставки+критерии'!$W$2</f>
        <v>#VALUE!</v>
      </c>
      <c r="AF208" s="197" t="e">
        <f ca="1">AF199/'Единичные ставки+критерии'!$W$2</f>
        <v>#VALUE!</v>
      </c>
      <c r="AG208" s="197" t="e">
        <f ca="1">AG199/'Единичные ставки+критерии'!$W$2</f>
        <v>#VALUE!</v>
      </c>
      <c r="AH208" s="197" t="e">
        <f ca="1">AH199/'Единичные ставки+критерии'!$W$2</f>
        <v>#VALUE!</v>
      </c>
      <c r="AI208" s="197" t="e">
        <f ca="1">AI199/'Единичные ставки+критерии'!$W$2</f>
        <v>#VALUE!</v>
      </c>
      <c r="AJ208" s="197" t="e">
        <f ca="1">AJ199/'Единичные ставки+критерии'!$W$2</f>
        <v>#VALUE!</v>
      </c>
      <c r="AK208" s="197" t="e">
        <f ca="1">AK199/'Единичные ставки+критерии'!$W$2</f>
        <v>#VALUE!</v>
      </c>
      <c r="AL208" s="197" t="e">
        <f ca="1">AL199/'Единичные ставки+критерии'!$W$2</f>
        <v>#VALUE!</v>
      </c>
      <c r="AM208" s="197" t="e">
        <f ca="1">AM199/'Единичные ставки+критерии'!$W$2</f>
        <v>#VALUE!</v>
      </c>
      <c r="AN208" s="197" t="e">
        <f ca="1">AN199/'Единичные ставки+критерии'!$W$2</f>
        <v>#VALUE!</v>
      </c>
      <c r="AO208" s="197" t="e">
        <f ca="1">AO199/'Единичные ставки+критерии'!$W$2</f>
        <v>#VALUE!</v>
      </c>
      <c r="AP208" s="197" t="e">
        <f ca="1">AP199/'Единичные ставки+критерии'!$W$2</f>
        <v>#VALUE!</v>
      </c>
    </row>
    <row r="209" spans="1:42" ht="15.75" x14ac:dyDescent="0.25">
      <c r="A209" s="39" t="s">
        <v>93</v>
      </c>
      <c r="B209" s="169">
        <f ca="1">B199/'Единичные ставки+критерии'!$W$1</f>
        <v>4.9315746105273849E-3</v>
      </c>
      <c r="C209" s="169">
        <f ca="1">C199/'Единичные ставки+критерии'!$W$1</f>
        <v>9.3200114038107292E-3</v>
      </c>
      <c r="D209" s="169">
        <f ca="1">D199/'Единичные ставки+критерии'!$W$1</f>
        <v>7.1005335430352054E-3</v>
      </c>
      <c r="E209" s="169">
        <f ca="1">E199/'Единичные ставки+критерии'!$W$1</f>
        <v>9.2067936985188621E-3</v>
      </c>
      <c r="F209" s="169">
        <f ca="1">F199/'Единичные ставки+критерии'!$W$1</f>
        <v>2.4465969108041587E-2</v>
      </c>
      <c r="G209" s="169">
        <f ca="1">G199/'Единичные ставки+критерии'!$W$1</f>
        <v>5.3151885996474395E-3</v>
      </c>
      <c r="H209" s="169">
        <f ca="1">H199/'Единичные ставки+критерии'!$W$1</f>
        <v>5.4767653027355733E-3</v>
      </c>
      <c r="I209" s="169">
        <f ca="1">I199/'Единичные ставки+критерии'!$W$1</f>
        <v>1.9243238169239698E-2</v>
      </c>
      <c r="J209" s="169">
        <f ca="1">J199/'Единичные ставки+критерии'!$W$1</f>
        <v>9.5904076876389167E-3</v>
      </c>
      <c r="K209" s="169" t="e">
        <f ca="1">K199/'Единичные ставки+критерии'!$W$1</f>
        <v>#VALUE!</v>
      </c>
      <c r="L209" s="169" t="e">
        <f ca="1">L199/'Единичные ставки+критерии'!$W$1</f>
        <v>#VALUE!</v>
      </c>
      <c r="M209" s="169" t="e">
        <f ca="1">M199/'Единичные ставки+критерии'!$W$1</f>
        <v>#VALUE!</v>
      </c>
      <c r="N209" s="169" t="e">
        <f ca="1">N199/'Единичные ставки+критерии'!$W$1</f>
        <v>#VALUE!</v>
      </c>
      <c r="O209" s="169" t="e">
        <f ca="1">O199/'Единичные ставки+критерии'!$W$1</f>
        <v>#VALUE!</v>
      </c>
      <c r="P209" s="169" t="e">
        <f ca="1">P199/'Единичные ставки+критерии'!$W$1</f>
        <v>#VALUE!</v>
      </c>
      <c r="Q209" s="169" t="e">
        <f ca="1">Q199/'Единичные ставки+критерии'!$W$1</f>
        <v>#VALUE!</v>
      </c>
      <c r="R209" s="169" t="e">
        <f ca="1">R199/'Единичные ставки+критерии'!$W$1</f>
        <v>#VALUE!</v>
      </c>
      <c r="S209" s="169" t="e">
        <f ca="1">S199/'Единичные ставки+критерии'!$W$1</f>
        <v>#VALUE!</v>
      </c>
      <c r="T209" s="169" t="e">
        <f ca="1">T199/'Единичные ставки+критерии'!$W$1</f>
        <v>#VALUE!</v>
      </c>
      <c r="U209" s="169" t="e">
        <f ca="1">U199/'Единичные ставки+критерии'!$W$1</f>
        <v>#VALUE!</v>
      </c>
      <c r="V209" s="169" t="e">
        <f ca="1">V199/'Единичные ставки+критерии'!$W$1</f>
        <v>#VALUE!</v>
      </c>
      <c r="W209" s="169" t="e">
        <f ca="1">W199/'Единичные ставки+критерии'!$W$1</f>
        <v>#VALUE!</v>
      </c>
      <c r="X209" s="169" t="e">
        <f ca="1">X199/'Единичные ставки+критерии'!$W$1</f>
        <v>#VALUE!</v>
      </c>
      <c r="Y209" s="169" t="e">
        <f ca="1">Y199/'Единичные ставки+критерии'!$W$1</f>
        <v>#VALUE!</v>
      </c>
      <c r="Z209" s="169" t="e">
        <f ca="1">Z199/'Единичные ставки+критерии'!$W$1</f>
        <v>#VALUE!</v>
      </c>
      <c r="AA209" s="169" t="e">
        <f ca="1">AA199/'Единичные ставки+критерии'!$W$1</f>
        <v>#VALUE!</v>
      </c>
      <c r="AB209" s="169" t="e">
        <f ca="1">AB199/'Единичные ставки+критерии'!$W$1</f>
        <v>#VALUE!</v>
      </c>
      <c r="AC209" s="169" t="e">
        <f ca="1">AC199/'Единичные ставки+критерии'!$W$1</f>
        <v>#VALUE!</v>
      </c>
      <c r="AD209" s="169" t="e">
        <f ca="1">AD199/'Единичные ставки+критерии'!$W$1</f>
        <v>#VALUE!</v>
      </c>
      <c r="AE209" s="169" t="e">
        <f ca="1">AE199/'Единичные ставки+критерии'!$W$1</f>
        <v>#VALUE!</v>
      </c>
      <c r="AF209" s="169" t="e">
        <f ca="1">AF199/'Единичные ставки+критерии'!$W$1</f>
        <v>#VALUE!</v>
      </c>
      <c r="AG209" s="169" t="e">
        <f ca="1">AG199/'Единичные ставки+критерии'!$W$1</f>
        <v>#VALUE!</v>
      </c>
      <c r="AH209" s="169" t="e">
        <f ca="1">AH199/'Единичные ставки+критерии'!$W$1</f>
        <v>#VALUE!</v>
      </c>
      <c r="AI209" s="169" t="e">
        <f ca="1">AI199/'Единичные ставки+критерии'!$W$1</f>
        <v>#VALUE!</v>
      </c>
      <c r="AJ209" s="169" t="e">
        <f ca="1">AJ199/'Единичные ставки+критерии'!$W$1</f>
        <v>#VALUE!</v>
      </c>
      <c r="AK209" s="169" t="e">
        <f ca="1">AK199/'Единичные ставки+критерии'!$W$1</f>
        <v>#VALUE!</v>
      </c>
      <c r="AL209" s="169" t="e">
        <f ca="1">AL199/'Единичные ставки+критерии'!$W$1</f>
        <v>#VALUE!</v>
      </c>
      <c r="AM209" s="169" t="e">
        <f ca="1">AM199/'Единичные ставки+критерии'!$W$1</f>
        <v>#VALUE!</v>
      </c>
      <c r="AN209" s="169" t="e">
        <f ca="1">AN199/'Единичные ставки+критерии'!$W$1</f>
        <v>#VALUE!</v>
      </c>
      <c r="AO209" s="169" t="e">
        <f ca="1">AO199/'Единичные ставки+критерии'!$W$1</f>
        <v>#VALUE!</v>
      </c>
      <c r="AP209" s="169" t="e">
        <f ca="1">AP199/'Единичные ставки+критерии'!$W$1</f>
        <v>#VALUE!</v>
      </c>
    </row>
    <row r="210" spans="1:42" ht="31.5" x14ac:dyDescent="0.25">
      <c r="A210" s="39" t="s">
        <v>280</v>
      </c>
      <c r="B210" s="102">
        <f ca="1">B187*100/(($B$105*1840+$B$106*2000+$B$107*2000)*4)</f>
        <v>2.5944297313984462E-2</v>
      </c>
      <c r="C210" s="102">
        <f t="shared" ref="C210:AP210" ca="1" si="662">C187*100/(($B$105*1840+$B$106*2000+$B$107*2000)*4)</f>
        <v>0.16751195403707478</v>
      </c>
      <c r="D210" s="102">
        <f t="shared" ca="1" si="662"/>
        <v>2.5944297313984462E-2</v>
      </c>
      <c r="E210" s="102">
        <f t="shared" ca="1" si="662"/>
        <v>2.5944297313984462E-2</v>
      </c>
      <c r="F210" s="102">
        <f t="shared" ca="1" si="662"/>
        <v>0.6249630251585353</v>
      </c>
      <c r="G210" s="198">
        <f t="shared" ca="1" si="662"/>
        <v>2.5944297313984462E-2</v>
      </c>
      <c r="H210" s="102">
        <f t="shared" ca="1" si="662"/>
        <v>2.5944297313984462E-2</v>
      </c>
      <c r="I210" s="102">
        <f t="shared" ca="1" si="662"/>
        <v>0.7709710141837689</v>
      </c>
      <c r="J210" s="102">
        <f t="shared" ca="1" si="662"/>
        <v>2.5944297313984462E-2</v>
      </c>
      <c r="K210" s="102" t="e">
        <f t="shared" ca="1" si="662"/>
        <v>#VALUE!</v>
      </c>
      <c r="L210" s="198" t="e">
        <f t="shared" ca="1" si="662"/>
        <v>#VALUE!</v>
      </c>
      <c r="M210" s="102" t="e">
        <f t="shared" ca="1" si="662"/>
        <v>#VALUE!</v>
      </c>
      <c r="N210" s="102" t="e">
        <f t="shared" ca="1" si="662"/>
        <v>#VALUE!</v>
      </c>
      <c r="O210" s="102" t="e">
        <f t="shared" ca="1" si="662"/>
        <v>#VALUE!</v>
      </c>
      <c r="P210" s="102" t="e">
        <f t="shared" ca="1" si="662"/>
        <v>#VALUE!</v>
      </c>
      <c r="Q210" s="198" t="e">
        <f t="shared" ca="1" si="662"/>
        <v>#VALUE!</v>
      </c>
      <c r="R210" s="102" t="e">
        <f t="shared" ca="1" si="662"/>
        <v>#VALUE!</v>
      </c>
      <c r="S210" s="102" t="e">
        <f t="shared" ca="1" si="662"/>
        <v>#VALUE!</v>
      </c>
      <c r="T210" s="102" t="e">
        <f t="shared" ca="1" si="662"/>
        <v>#VALUE!</v>
      </c>
      <c r="U210" s="102" t="e">
        <f t="shared" ca="1" si="662"/>
        <v>#VALUE!</v>
      </c>
      <c r="V210" s="102" t="e">
        <f t="shared" ca="1" si="662"/>
        <v>#VALUE!</v>
      </c>
      <c r="W210" s="102" t="e">
        <f t="shared" ca="1" si="662"/>
        <v>#VALUE!</v>
      </c>
      <c r="X210" s="102" t="e">
        <f t="shared" ca="1" si="662"/>
        <v>#VALUE!</v>
      </c>
      <c r="Y210" s="102" t="e">
        <f t="shared" ca="1" si="662"/>
        <v>#VALUE!</v>
      </c>
      <c r="Z210" s="102" t="e">
        <f t="shared" ca="1" si="662"/>
        <v>#VALUE!</v>
      </c>
      <c r="AA210" s="102" t="e">
        <f t="shared" ca="1" si="662"/>
        <v>#VALUE!</v>
      </c>
      <c r="AB210" s="102" t="e">
        <f t="shared" ca="1" si="662"/>
        <v>#VALUE!</v>
      </c>
      <c r="AC210" s="102" t="e">
        <f t="shared" ca="1" si="662"/>
        <v>#VALUE!</v>
      </c>
      <c r="AD210" s="102" t="e">
        <f t="shared" ca="1" si="662"/>
        <v>#VALUE!</v>
      </c>
      <c r="AE210" s="102" t="e">
        <f t="shared" ca="1" si="662"/>
        <v>#VALUE!</v>
      </c>
      <c r="AF210" s="102" t="e">
        <f t="shared" ca="1" si="662"/>
        <v>#VALUE!</v>
      </c>
      <c r="AG210" s="102" t="e">
        <f t="shared" ca="1" si="662"/>
        <v>#VALUE!</v>
      </c>
      <c r="AH210" s="102" t="e">
        <f t="shared" ca="1" si="662"/>
        <v>#VALUE!</v>
      </c>
      <c r="AI210" s="102" t="e">
        <f t="shared" ca="1" si="662"/>
        <v>#VALUE!</v>
      </c>
      <c r="AJ210" s="102" t="e">
        <f t="shared" ca="1" si="662"/>
        <v>#VALUE!</v>
      </c>
      <c r="AK210" s="102" t="e">
        <f t="shared" ca="1" si="662"/>
        <v>#VALUE!</v>
      </c>
      <c r="AL210" s="102" t="e">
        <f t="shared" ca="1" si="662"/>
        <v>#VALUE!</v>
      </c>
      <c r="AM210" s="102" t="e">
        <f t="shared" ca="1" si="662"/>
        <v>#VALUE!</v>
      </c>
      <c r="AN210" s="102" t="e">
        <f t="shared" ca="1" si="662"/>
        <v>#VALUE!</v>
      </c>
      <c r="AO210" s="102" t="e">
        <f t="shared" ca="1" si="662"/>
        <v>#VALUE!</v>
      </c>
      <c r="AP210" s="102" t="e">
        <f t="shared" ca="1" si="662"/>
        <v>#VALUE!</v>
      </c>
    </row>
    <row r="211" spans="1:42" ht="15.75" x14ac:dyDescent="0.25">
      <c r="A211" s="39" t="s">
        <v>270</v>
      </c>
      <c r="B211" s="102">
        <f ca="1">B188*100/(($B$105*1840+$B$106*2000+$B$107*2000))</f>
        <v>6.4776345423875448E-2</v>
      </c>
      <c r="C211" s="102">
        <f t="shared" ref="C211:AP211" ca="1" si="663">C188*100/(($B$105*1840+$B$106*2000+$B$107*2000))</f>
        <v>0.41861434086651778</v>
      </c>
      <c r="D211" s="102">
        <f t="shared" ca="1" si="663"/>
        <v>6.4776345423875448E-2</v>
      </c>
      <c r="E211" s="102">
        <f t="shared" ca="1" si="663"/>
        <v>6.4776345423875448E-2</v>
      </c>
      <c r="F211" s="102">
        <f t="shared" ca="1" si="663"/>
        <v>1.5625957060376323</v>
      </c>
      <c r="G211" s="198">
        <f t="shared" ca="1" si="663"/>
        <v>6.4776345423875448E-2</v>
      </c>
      <c r="H211" s="102">
        <f t="shared" ca="1" si="663"/>
        <v>6.4776345423875448E-2</v>
      </c>
      <c r="I211" s="102">
        <f t="shared" ca="1" si="663"/>
        <v>1.9291587165483333</v>
      </c>
      <c r="J211" s="102">
        <f t="shared" ca="1" si="663"/>
        <v>6.4776345423875448E-2</v>
      </c>
      <c r="K211" s="102" t="e">
        <f t="shared" ca="1" si="663"/>
        <v>#VALUE!</v>
      </c>
      <c r="L211" s="198" t="e">
        <f t="shared" ca="1" si="663"/>
        <v>#VALUE!</v>
      </c>
      <c r="M211" s="102" t="e">
        <f t="shared" ca="1" si="663"/>
        <v>#VALUE!</v>
      </c>
      <c r="N211" s="102" t="e">
        <f t="shared" ca="1" si="663"/>
        <v>#VALUE!</v>
      </c>
      <c r="O211" s="102" t="e">
        <f t="shared" ca="1" si="663"/>
        <v>#VALUE!</v>
      </c>
      <c r="P211" s="102" t="e">
        <f t="shared" ca="1" si="663"/>
        <v>#VALUE!</v>
      </c>
      <c r="Q211" s="198" t="e">
        <f t="shared" ca="1" si="663"/>
        <v>#VALUE!</v>
      </c>
      <c r="R211" s="102" t="e">
        <f t="shared" ca="1" si="663"/>
        <v>#VALUE!</v>
      </c>
      <c r="S211" s="102" t="e">
        <f t="shared" ca="1" si="663"/>
        <v>#VALUE!</v>
      </c>
      <c r="T211" s="102" t="e">
        <f t="shared" ca="1" si="663"/>
        <v>#VALUE!</v>
      </c>
      <c r="U211" s="102" t="e">
        <f t="shared" ca="1" si="663"/>
        <v>#VALUE!</v>
      </c>
      <c r="V211" s="102" t="e">
        <f t="shared" ca="1" si="663"/>
        <v>#VALUE!</v>
      </c>
      <c r="W211" s="102" t="e">
        <f t="shared" ca="1" si="663"/>
        <v>#VALUE!</v>
      </c>
      <c r="X211" s="102" t="e">
        <f t="shared" ca="1" si="663"/>
        <v>#VALUE!</v>
      </c>
      <c r="Y211" s="102" t="e">
        <f t="shared" ca="1" si="663"/>
        <v>#VALUE!</v>
      </c>
      <c r="Z211" s="102" t="e">
        <f t="shared" ca="1" si="663"/>
        <v>#VALUE!</v>
      </c>
      <c r="AA211" s="102" t="e">
        <f t="shared" ca="1" si="663"/>
        <v>#VALUE!</v>
      </c>
      <c r="AB211" s="102" t="e">
        <f t="shared" ca="1" si="663"/>
        <v>#VALUE!</v>
      </c>
      <c r="AC211" s="102" t="e">
        <f t="shared" ca="1" si="663"/>
        <v>#VALUE!</v>
      </c>
      <c r="AD211" s="102" t="e">
        <f t="shared" ca="1" si="663"/>
        <v>#VALUE!</v>
      </c>
      <c r="AE211" s="102" t="e">
        <f t="shared" ca="1" si="663"/>
        <v>#VALUE!</v>
      </c>
      <c r="AF211" s="102" t="e">
        <f t="shared" ca="1" si="663"/>
        <v>#VALUE!</v>
      </c>
      <c r="AG211" s="102" t="e">
        <f t="shared" ca="1" si="663"/>
        <v>#VALUE!</v>
      </c>
      <c r="AH211" s="102" t="e">
        <f t="shared" ca="1" si="663"/>
        <v>#VALUE!</v>
      </c>
      <c r="AI211" s="102" t="e">
        <f t="shared" ca="1" si="663"/>
        <v>#VALUE!</v>
      </c>
      <c r="AJ211" s="102" t="e">
        <f t="shared" ca="1" si="663"/>
        <v>#VALUE!</v>
      </c>
      <c r="AK211" s="102" t="e">
        <f t="shared" ca="1" si="663"/>
        <v>#VALUE!</v>
      </c>
      <c r="AL211" s="102" t="e">
        <f t="shared" ca="1" si="663"/>
        <v>#VALUE!</v>
      </c>
      <c r="AM211" s="102" t="e">
        <f t="shared" ca="1" si="663"/>
        <v>#VALUE!</v>
      </c>
      <c r="AN211" s="102" t="e">
        <f t="shared" ca="1" si="663"/>
        <v>#VALUE!</v>
      </c>
      <c r="AO211" s="102" t="e">
        <f t="shared" ca="1" si="663"/>
        <v>#VALUE!</v>
      </c>
      <c r="AP211" s="102" t="e">
        <f t="shared" ca="1" si="663"/>
        <v>#VALUE!</v>
      </c>
    </row>
    <row r="212" spans="1:42" ht="15.75" x14ac:dyDescent="0.25">
      <c r="A212" s="39" t="s">
        <v>267</v>
      </c>
      <c r="B212" s="102">
        <f ca="1">0.1*B205</f>
        <v>2.1855575034075998</v>
      </c>
      <c r="C212" s="102">
        <f ca="1">IF(AND(B215=0,B216=0,B217=0,B219=0,B220=0), (0.1*C205), ($B$212))</f>
        <v>2.8496220155185199</v>
      </c>
      <c r="D212" s="102">
        <f t="shared" ref="D212:AP212" ca="1" si="664">IF(AND(C215=0,C216=0,C217=0,C219=0,C220=0), (0.1*D205), ($B$212))</f>
        <v>2.1855575034075998</v>
      </c>
      <c r="E212" s="102">
        <f t="shared" ca="1" si="664"/>
        <v>2.1855575034075998</v>
      </c>
      <c r="F212" s="102">
        <f t="shared" ca="1" si="664"/>
        <v>2.8496220155185199</v>
      </c>
      <c r="G212" s="198">
        <f t="shared" ca="1" si="664"/>
        <v>2.1855575034075998</v>
      </c>
      <c r="H212" s="102">
        <f t="shared" ca="1" si="664"/>
        <v>2.1855575034075998</v>
      </c>
      <c r="I212" s="102">
        <f t="shared" ca="1" si="664"/>
        <v>2.8496220155185199</v>
      </c>
      <c r="J212" s="102">
        <f t="shared" ca="1" si="664"/>
        <v>2.1855575034075998</v>
      </c>
      <c r="K212" s="102">
        <f t="shared" ca="1" si="664"/>
        <v>2.1855575034075998</v>
      </c>
      <c r="L212" s="198" t="e">
        <f t="shared" ca="1" si="664"/>
        <v>#VALUE!</v>
      </c>
      <c r="M212" s="102" t="e">
        <f t="shared" ca="1" si="664"/>
        <v>#VALUE!</v>
      </c>
      <c r="N212" s="102" t="e">
        <f t="shared" ca="1" si="664"/>
        <v>#VALUE!</v>
      </c>
      <c r="O212" s="102" t="e">
        <f t="shared" ca="1" si="664"/>
        <v>#VALUE!</v>
      </c>
      <c r="P212" s="102" t="e">
        <f t="shared" ca="1" si="664"/>
        <v>#VALUE!</v>
      </c>
      <c r="Q212" s="198" t="e">
        <f t="shared" ca="1" si="664"/>
        <v>#VALUE!</v>
      </c>
      <c r="R212" s="102" t="e">
        <f t="shared" ca="1" si="664"/>
        <v>#VALUE!</v>
      </c>
      <c r="S212" s="102" t="e">
        <f t="shared" ca="1" si="664"/>
        <v>#VALUE!</v>
      </c>
      <c r="T212" s="102" t="e">
        <f t="shared" ca="1" si="664"/>
        <v>#VALUE!</v>
      </c>
      <c r="U212" s="102" t="e">
        <f t="shared" ca="1" si="664"/>
        <v>#VALUE!</v>
      </c>
      <c r="V212" s="102" t="e">
        <f t="shared" ca="1" si="664"/>
        <v>#VALUE!</v>
      </c>
      <c r="W212" s="102" t="e">
        <f t="shared" ca="1" si="664"/>
        <v>#VALUE!</v>
      </c>
      <c r="X212" s="102" t="e">
        <f t="shared" ca="1" si="664"/>
        <v>#VALUE!</v>
      </c>
      <c r="Y212" s="102" t="e">
        <f t="shared" ca="1" si="664"/>
        <v>#VALUE!</v>
      </c>
      <c r="Z212" s="102" t="e">
        <f t="shared" ca="1" si="664"/>
        <v>#VALUE!</v>
      </c>
      <c r="AA212" s="102" t="e">
        <f t="shared" ca="1" si="664"/>
        <v>#VALUE!</v>
      </c>
      <c r="AB212" s="102" t="e">
        <f t="shared" ca="1" si="664"/>
        <v>#VALUE!</v>
      </c>
      <c r="AC212" s="102" t="e">
        <f t="shared" ca="1" si="664"/>
        <v>#VALUE!</v>
      </c>
      <c r="AD212" s="102" t="e">
        <f t="shared" ca="1" si="664"/>
        <v>#VALUE!</v>
      </c>
      <c r="AE212" s="102" t="e">
        <f t="shared" ca="1" si="664"/>
        <v>#VALUE!</v>
      </c>
      <c r="AF212" s="102" t="e">
        <f t="shared" ca="1" si="664"/>
        <v>#VALUE!</v>
      </c>
      <c r="AG212" s="102" t="e">
        <f t="shared" ca="1" si="664"/>
        <v>#VALUE!</v>
      </c>
      <c r="AH212" s="102" t="e">
        <f t="shared" ca="1" si="664"/>
        <v>#VALUE!</v>
      </c>
      <c r="AI212" s="102" t="e">
        <f t="shared" ca="1" si="664"/>
        <v>#VALUE!</v>
      </c>
      <c r="AJ212" s="102" t="e">
        <f t="shared" ca="1" si="664"/>
        <v>#VALUE!</v>
      </c>
      <c r="AK212" s="102" t="e">
        <f t="shared" ca="1" si="664"/>
        <v>#VALUE!</v>
      </c>
      <c r="AL212" s="102" t="e">
        <f t="shared" ca="1" si="664"/>
        <v>#VALUE!</v>
      </c>
      <c r="AM212" s="102" t="e">
        <f t="shared" ca="1" si="664"/>
        <v>#VALUE!</v>
      </c>
      <c r="AN212" s="102" t="e">
        <f t="shared" ca="1" si="664"/>
        <v>#VALUE!</v>
      </c>
      <c r="AO212" s="102" t="e">
        <f t="shared" ca="1" si="664"/>
        <v>#VALUE!</v>
      </c>
      <c r="AP212" s="102" t="e">
        <f t="shared" ca="1" si="664"/>
        <v>#VALUE!</v>
      </c>
    </row>
    <row r="213" spans="1:42" ht="15.75" x14ac:dyDescent="0.25">
      <c r="A213" s="39" t="s">
        <v>315</v>
      </c>
      <c r="B213" s="102">
        <f ca="1">B192+B193+B195+B196</f>
        <v>11.266902221741919</v>
      </c>
      <c r="C213" s="102">
        <f t="shared" ref="C213:AP213" ca="1" si="665">C192+C193+C195+C196</f>
        <v>17.643168559407439</v>
      </c>
      <c r="D213" s="102">
        <f t="shared" ca="1" si="665"/>
        <v>11.266902221741919</v>
      </c>
      <c r="E213" s="102">
        <f t="shared" ca="1" si="665"/>
        <v>11.266902221741919</v>
      </c>
      <c r="F213" s="102">
        <f t="shared" ca="1" si="665"/>
        <v>17.643168559407439</v>
      </c>
      <c r="G213" s="102">
        <f t="shared" ca="1" si="665"/>
        <v>11.266902221741919</v>
      </c>
      <c r="H213" s="102">
        <f t="shared" ca="1" si="665"/>
        <v>11.266902221741919</v>
      </c>
      <c r="I213" s="102">
        <f t="shared" ca="1" si="665"/>
        <v>17.643168559407439</v>
      </c>
      <c r="J213" s="102">
        <f t="shared" ca="1" si="665"/>
        <v>11.266902221741919</v>
      </c>
      <c r="K213" s="102" t="e">
        <f t="shared" ca="1" si="665"/>
        <v>#VALUE!</v>
      </c>
      <c r="L213" s="102" t="e">
        <f t="shared" ca="1" si="665"/>
        <v>#VALUE!</v>
      </c>
      <c r="M213" s="102" t="e">
        <f t="shared" ca="1" si="665"/>
        <v>#VALUE!</v>
      </c>
      <c r="N213" s="102" t="e">
        <f t="shared" ca="1" si="665"/>
        <v>#VALUE!</v>
      </c>
      <c r="O213" s="102" t="e">
        <f t="shared" ca="1" si="665"/>
        <v>#VALUE!</v>
      </c>
      <c r="P213" s="102" t="e">
        <f t="shared" ca="1" si="665"/>
        <v>#VALUE!</v>
      </c>
      <c r="Q213" s="102" t="e">
        <f t="shared" ca="1" si="665"/>
        <v>#VALUE!</v>
      </c>
      <c r="R213" s="102" t="e">
        <f t="shared" ca="1" si="665"/>
        <v>#VALUE!</v>
      </c>
      <c r="S213" s="102" t="e">
        <f t="shared" ca="1" si="665"/>
        <v>#VALUE!</v>
      </c>
      <c r="T213" s="102" t="e">
        <f t="shared" ca="1" si="665"/>
        <v>#VALUE!</v>
      </c>
      <c r="U213" s="102" t="e">
        <f t="shared" ca="1" si="665"/>
        <v>#VALUE!</v>
      </c>
      <c r="V213" s="102" t="e">
        <f t="shared" ca="1" si="665"/>
        <v>#VALUE!</v>
      </c>
      <c r="W213" s="102" t="e">
        <f t="shared" ca="1" si="665"/>
        <v>#VALUE!</v>
      </c>
      <c r="X213" s="102" t="e">
        <f t="shared" ca="1" si="665"/>
        <v>#VALUE!</v>
      </c>
      <c r="Y213" s="102" t="e">
        <f t="shared" ca="1" si="665"/>
        <v>#VALUE!</v>
      </c>
      <c r="Z213" s="102" t="e">
        <f t="shared" ca="1" si="665"/>
        <v>#VALUE!</v>
      </c>
      <c r="AA213" s="102" t="e">
        <f t="shared" ca="1" si="665"/>
        <v>#VALUE!</v>
      </c>
      <c r="AB213" s="102" t="e">
        <f t="shared" ca="1" si="665"/>
        <v>#VALUE!</v>
      </c>
      <c r="AC213" s="102" t="e">
        <f t="shared" ca="1" si="665"/>
        <v>#VALUE!</v>
      </c>
      <c r="AD213" s="102" t="e">
        <f t="shared" ca="1" si="665"/>
        <v>#VALUE!</v>
      </c>
      <c r="AE213" s="102" t="e">
        <f t="shared" ca="1" si="665"/>
        <v>#VALUE!</v>
      </c>
      <c r="AF213" s="102" t="e">
        <f t="shared" ca="1" si="665"/>
        <v>#VALUE!</v>
      </c>
      <c r="AG213" s="102" t="e">
        <f t="shared" ca="1" si="665"/>
        <v>#VALUE!</v>
      </c>
      <c r="AH213" s="102" t="e">
        <f t="shared" ca="1" si="665"/>
        <v>#VALUE!</v>
      </c>
      <c r="AI213" s="102" t="e">
        <f t="shared" ca="1" si="665"/>
        <v>#VALUE!</v>
      </c>
      <c r="AJ213" s="102" t="e">
        <f t="shared" ca="1" si="665"/>
        <v>#VALUE!</v>
      </c>
      <c r="AK213" s="102" t="e">
        <f t="shared" ca="1" si="665"/>
        <v>#VALUE!</v>
      </c>
      <c r="AL213" s="102" t="e">
        <f t="shared" ca="1" si="665"/>
        <v>#VALUE!</v>
      </c>
      <c r="AM213" s="102" t="e">
        <f t="shared" ca="1" si="665"/>
        <v>#VALUE!</v>
      </c>
      <c r="AN213" s="102" t="e">
        <f t="shared" ca="1" si="665"/>
        <v>#VALUE!</v>
      </c>
      <c r="AO213" s="102" t="e">
        <f t="shared" ca="1" si="665"/>
        <v>#VALUE!</v>
      </c>
      <c r="AP213" s="102" t="e">
        <f t="shared" ca="1" si="665"/>
        <v>#VALUE!</v>
      </c>
    </row>
    <row r="214" spans="1:42" ht="15.75" x14ac:dyDescent="0.25">
      <c r="A214" s="134" t="s">
        <v>312</v>
      </c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</row>
    <row r="215" spans="1:42" s="195" customFormat="1" x14ac:dyDescent="0.25">
      <c r="A215" s="199" t="s">
        <v>260</v>
      </c>
      <c r="B215" s="200">
        <v>0</v>
      </c>
      <c r="C215" s="200">
        <f ca="1">IF((AND(C213&gt;'Единичные ставки+критерии'!$I$8, C205&lt;'Единичные ставки+критерии'!$J$8, C216=0,C220=0)),1,0)</f>
        <v>1</v>
      </c>
      <c r="D215" s="200">
        <f ca="1">IF((AND(D213&gt;'Единичные ставки+критерии'!$I$8, D205&lt;'Единичные ставки+критерии'!$J$8, D216=0,D220=0)),1,0)</f>
        <v>0</v>
      </c>
      <c r="E215" s="200">
        <f ca="1">IF((AND(E213&gt;'Единичные ставки+критерии'!$I$8, E205&lt;'Единичные ставки+критерии'!$J$8, E216=0,E220=0)),1,0)</f>
        <v>0</v>
      </c>
      <c r="F215" s="200">
        <f ca="1">IF((AND(F213&gt;'Единичные ставки+критерии'!$I$8, F205&lt;'Единичные ставки+критерии'!$J$8, F216=0,F220=0)),1,0)</f>
        <v>1</v>
      </c>
      <c r="G215" s="200">
        <f ca="1">IF((AND(G213&gt;'Единичные ставки+критерии'!$I$8, G205&lt;'Единичные ставки+критерии'!$J$8, G216=0,G220=0)),1,0)</f>
        <v>0</v>
      </c>
      <c r="H215" s="200">
        <f ca="1">IF((AND(H213&gt;'Единичные ставки+критерии'!$I$8, H205&lt;'Единичные ставки+критерии'!$J$8, H216=0,H220=0)),1,0)</f>
        <v>0</v>
      </c>
      <c r="I215" s="200">
        <f ca="1">IF((AND(I213&gt;'Единичные ставки+критерии'!$I$8, I205&lt;'Единичные ставки+критерии'!$J$8, I216=0,I220=0)),1,0)</f>
        <v>1</v>
      </c>
      <c r="J215" s="200">
        <f ca="1">IF((AND(J213&gt;'Единичные ставки+критерии'!$I$8, J205&lt;'Единичные ставки+критерии'!$J$8, J216=0,J220=0)),1,0)</f>
        <v>0</v>
      </c>
      <c r="K215" s="200" t="e">
        <f ca="1">IF((AND(K213&gt;'Единичные ставки+критерии'!$I$8, K205&lt;'Единичные ставки+критерии'!$J$8, K216=0,K220=0)),1,0)</f>
        <v>#VALUE!</v>
      </c>
      <c r="L215" s="200" t="e">
        <f ca="1">IF((AND(L213&gt;'Единичные ставки+критерии'!$I$8, L205&lt;'Единичные ставки+критерии'!$J$8, L216=0,L220=0)),1,0)</f>
        <v>#VALUE!</v>
      </c>
      <c r="M215" s="200" t="e">
        <f ca="1">IF((AND(M213&gt;'Единичные ставки+критерии'!$I$8, M205&lt;'Единичные ставки+критерии'!$J$8, M216=0,M220=0)),1,0)</f>
        <v>#VALUE!</v>
      </c>
      <c r="N215" s="200" t="e">
        <f ca="1">IF((AND(N213&gt;'Единичные ставки+критерии'!$I$8, N205&lt;'Единичные ставки+критерии'!$J$8, N216=0,N220=0)),1,0)</f>
        <v>#VALUE!</v>
      </c>
      <c r="O215" s="200" t="e">
        <f ca="1">IF((AND(O213&gt;'Единичные ставки+критерии'!$I$8, O205&lt;'Единичные ставки+критерии'!$J$8, O216=0,O220=0)),1,0)</f>
        <v>#VALUE!</v>
      </c>
      <c r="P215" s="200" t="e">
        <f ca="1">IF((AND(P213&gt;'Единичные ставки+критерии'!$I$8, P205&lt;'Единичные ставки+критерии'!$J$8, P216=0,P220=0)),1,0)</f>
        <v>#VALUE!</v>
      </c>
      <c r="Q215" s="200" t="e">
        <f ca="1">IF((AND(Q213&gt;'Единичные ставки+критерии'!$I$8, Q205&lt;'Единичные ставки+критерии'!$J$8, Q216=0,Q220=0)),1,0)</f>
        <v>#VALUE!</v>
      </c>
      <c r="R215" s="200" t="e">
        <f ca="1">IF((AND(R213&gt;'Единичные ставки+критерии'!$I$8, R205&lt;'Единичные ставки+критерии'!$J$8, R216=0,R220=0)),1,0)</f>
        <v>#VALUE!</v>
      </c>
      <c r="S215" s="200" t="e">
        <f ca="1">IF((AND(S213&gt;'Единичные ставки+критерии'!$I$8, S205&lt;'Единичные ставки+критерии'!$J$8, S216=0,S220=0)),1,0)</f>
        <v>#VALUE!</v>
      </c>
      <c r="T215" s="200" t="e">
        <f ca="1">IF((AND(T213&gt;'Единичные ставки+критерии'!$I$8, T205&lt;'Единичные ставки+критерии'!$J$8, T216=0,T220=0)),1,0)</f>
        <v>#VALUE!</v>
      </c>
      <c r="U215" s="200" t="e">
        <f ca="1">IF((AND(U213&gt;'Единичные ставки+критерии'!$I$8, U205&lt;'Единичные ставки+критерии'!$J$8, U216=0,U220=0)),1,0)</f>
        <v>#VALUE!</v>
      </c>
      <c r="V215" s="200" t="e">
        <f ca="1">IF((AND(V213&gt;'Единичные ставки+критерии'!$I$8, V205&lt;'Единичные ставки+критерии'!$J$8, V216=0,V220=0)),1,0)</f>
        <v>#VALUE!</v>
      </c>
      <c r="W215" s="200" t="e">
        <f ca="1">IF((AND(W213&gt;'Единичные ставки+критерии'!$I$8, W205&lt;'Единичные ставки+критерии'!$J$8, W216=0,W220=0)),1,0)</f>
        <v>#VALUE!</v>
      </c>
      <c r="X215" s="200" t="e">
        <f ca="1">IF((AND(X213&gt;'Единичные ставки+критерии'!$I$8, X205&lt;'Единичные ставки+критерии'!$J$8, X216=0,X220=0)),1,0)</f>
        <v>#VALUE!</v>
      </c>
      <c r="Y215" s="200" t="e">
        <f ca="1">IF((AND(Y213&gt;'Единичные ставки+критерии'!$I$8, Y205&lt;'Единичные ставки+критерии'!$J$8, Y216=0,Y220=0)),1,0)</f>
        <v>#VALUE!</v>
      </c>
      <c r="Z215" s="200" t="e">
        <f ca="1">IF((AND(Z213&gt;'Единичные ставки+критерии'!$I$8, Z205&lt;'Единичные ставки+критерии'!$J$8, Z216=0,Z220=0)),1,0)</f>
        <v>#VALUE!</v>
      </c>
      <c r="AA215" s="200" t="e">
        <f ca="1">IF((AND(AA213&gt;'Единичные ставки+критерии'!$I$8, AA205&lt;'Единичные ставки+критерии'!$J$8, AA216=0,AA220=0)),1,0)</f>
        <v>#VALUE!</v>
      </c>
      <c r="AB215" s="200" t="e">
        <f ca="1">IF((AND(AB213&gt;'Единичные ставки+критерии'!$I$8, AB205&lt;'Единичные ставки+критерии'!$J$8, AB216=0,AB220=0)),1,0)</f>
        <v>#VALUE!</v>
      </c>
      <c r="AC215" s="200" t="e">
        <f ca="1">IF((AND(AC213&gt;'Единичные ставки+критерии'!$I$8, AC205&lt;'Единичные ставки+критерии'!$J$8, AC216=0,AC220=0)),1,0)</f>
        <v>#VALUE!</v>
      </c>
      <c r="AD215" s="200" t="e">
        <f ca="1">IF((AND(AD213&gt;'Единичные ставки+критерии'!$I$8, AD205&lt;'Единичные ставки+критерии'!$J$8, AD216=0,AD220=0)),1,0)</f>
        <v>#VALUE!</v>
      </c>
      <c r="AE215" s="200" t="e">
        <f ca="1">IF((AND(AE213&gt;'Единичные ставки+критерии'!$I$8, AE205&lt;'Единичные ставки+критерии'!$J$8, AE216=0,AE220=0)),1,0)</f>
        <v>#VALUE!</v>
      </c>
      <c r="AF215" s="200" t="e">
        <f ca="1">IF((AND(AF213&gt;'Единичные ставки+критерии'!$I$8, AF205&lt;'Единичные ставки+критерии'!$J$8, AF216=0,AF220=0)),1,0)</f>
        <v>#VALUE!</v>
      </c>
      <c r="AG215" s="200" t="e">
        <f ca="1">IF((AND(AG213&gt;'Единичные ставки+критерии'!$I$8, AG205&lt;'Единичные ставки+критерии'!$J$8, AG216=0,AG220=0)),1,0)</f>
        <v>#VALUE!</v>
      </c>
      <c r="AH215" s="200" t="e">
        <f ca="1">IF((AND(AH213&gt;'Единичные ставки+критерии'!$I$8, AH205&lt;'Единичные ставки+критерии'!$J$8, AH216=0,AH220=0)),1,0)</f>
        <v>#VALUE!</v>
      </c>
      <c r="AI215" s="200" t="e">
        <f ca="1">IF((AND(AI213&gt;'Единичные ставки+критерии'!$I$8, AI205&lt;'Единичные ставки+критерии'!$J$8, AI216=0,AI220=0)),1,0)</f>
        <v>#VALUE!</v>
      </c>
      <c r="AJ215" s="200" t="e">
        <f ca="1">IF((AND(AJ213&gt;'Единичные ставки+критерии'!$I$8, AJ205&lt;'Единичные ставки+критерии'!$J$8, AJ216=0,AJ220=0)),1,0)</f>
        <v>#VALUE!</v>
      </c>
      <c r="AK215" s="200" t="e">
        <f ca="1">IF((AND(AK213&gt;'Единичные ставки+критерии'!$I$8, AK205&lt;'Единичные ставки+критерии'!$J$8, AK216=0,AK220=0)),1,0)</f>
        <v>#VALUE!</v>
      </c>
      <c r="AL215" s="200" t="e">
        <f ca="1">IF((AND(AL213&gt;'Единичные ставки+критерии'!$I$8, AL205&lt;'Единичные ставки+критерии'!$J$8, AL216=0,AL220=0)),1,0)</f>
        <v>#VALUE!</v>
      </c>
      <c r="AM215" s="200" t="e">
        <f ca="1">IF((AND(AM213&gt;'Единичные ставки+критерии'!$I$8, AM205&lt;'Единичные ставки+критерии'!$J$8, AM216=0,AM220=0)),1,0)</f>
        <v>#VALUE!</v>
      </c>
      <c r="AN215" s="200" t="e">
        <f ca="1">IF((AND(AN213&gt;'Единичные ставки+критерии'!$I$8, AN205&lt;'Единичные ставки+критерии'!$J$8, AN216=0,AN220=0)),1,0)</f>
        <v>#VALUE!</v>
      </c>
      <c r="AO215" s="200" t="e">
        <f ca="1">IF((AND(AO213&gt;'Единичные ставки+критерии'!$I$8, AO205&lt;'Единичные ставки+критерии'!$J$8, AO216=0,AO220=0)),1,0)</f>
        <v>#VALUE!</v>
      </c>
      <c r="AP215" s="200" t="e">
        <f ca="1">IF((AND(AP213&gt;'Единичные ставки+критерии'!$I$8, AP205&lt;'Единичные ставки+критерии'!$J$8, AP216=0,AP220=0)),1,0)</f>
        <v>#VALUE!</v>
      </c>
    </row>
    <row r="216" spans="1:42" s="195" customFormat="1" x14ac:dyDescent="0.25">
      <c r="A216" s="199" t="s">
        <v>258</v>
      </c>
      <c r="B216" s="200">
        <f ca="1">IF(B213&gt;'Единичные ставки+критерии'!$I$6,1,0)</f>
        <v>0</v>
      </c>
      <c r="C216" s="200">
        <f ca="1">IF(AND(C213&gt;'Единичные ставки+критерии'!$I$6, C217=0,C220=0), 1, 0)</f>
        <v>0</v>
      </c>
      <c r="D216" s="200">
        <f ca="1">IF(AND(D213&gt;'Единичные ставки+критерии'!$I$6, D217=0,D220=0), 1, 0)</f>
        <v>0</v>
      </c>
      <c r="E216" s="200">
        <f ca="1">IF(AND(E213&gt;'Единичные ставки+критерии'!$I$6, E217=0,E220=0), 1, 0)</f>
        <v>0</v>
      </c>
      <c r="F216" s="200">
        <f ca="1">IF(AND(F213&gt;'Единичные ставки+критерии'!$I$6, F217=0,F220=0), 1, 0)</f>
        <v>0</v>
      </c>
      <c r="G216" s="200">
        <f ca="1">IF(AND(G213&gt;'Единичные ставки+критерии'!$I$6, G217=0,G220=0), 1, 0)</f>
        <v>0</v>
      </c>
      <c r="H216" s="200">
        <f ca="1">IF(AND(H213&gt;'Единичные ставки+критерии'!$I$6, H217=0,H220=0), 1, 0)</f>
        <v>0</v>
      </c>
      <c r="I216" s="200">
        <f ca="1">IF(AND(I213&gt;'Единичные ставки+критерии'!$I$6, I217=0,I220=0), 1, 0)</f>
        <v>0</v>
      </c>
      <c r="J216" s="200">
        <f ca="1">IF(AND(J213&gt;'Единичные ставки+критерии'!$I$6, J217=0,J220=0), 1, 0)</f>
        <v>0</v>
      </c>
      <c r="K216" s="200" t="e">
        <f ca="1">IF(AND(K213&gt;'Единичные ставки+критерии'!$I$6, K217=0,K220=0), 1, 0)</f>
        <v>#VALUE!</v>
      </c>
      <c r="L216" s="200" t="e">
        <f ca="1">IF(AND(L213&gt;'Единичные ставки+критерии'!$I$6, L217=0,L220=0), 1, 0)</f>
        <v>#VALUE!</v>
      </c>
      <c r="M216" s="200" t="e">
        <f ca="1">IF(AND(M213&gt;'Единичные ставки+критерии'!$I$6, M217=0,M220=0), 1, 0)</f>
        <v>#VALUE!</v>
      </c>
      <c r="N216" s="200" t="e">
        <f ca="1">IF(AND(N213&gt;'Единичные ставки+критерии'!$I$6, N217=0,N220=0), 1, 0)</f>
        <v>#VALUE!</v>
      </c>
      <c r="O216" s="200" t="e">
        <f ca="1">IF(AND(O213&gt;'Единичные ставки+критерии'!$I$6, O217=0,O220=0), 1, 0)</f>
        <v>#VALUE!</v>
      </c>
      <c r="P216" s="200" t="e">
        <f ca="1">IF(AND(P213&gt;'Единичные ставки+критерии'!$I$6, P217=0,P220=0), 1, 0)</f>
        <v>#VALUE!</v>
      </c>
      <c r="Q216" s="200" t="e">
        <f ca="1">IF(AND(Q213&gt;'Единичные ставки+критерии'!$I$6, Q217=0,Q220=0), 1, 0)</f>
        <v>#VALUE!</v>
      </c>
      <c r="R216" s="200" t="e">
        <f ca="1">IF(AND(R213&gt;'Единичные ставки+критерии'!$I$6, R217=0,R220=0), 1, 0)</f>
        <v>#VALUE!</v>
      </c>
      <c r="S216" s="200" t="e">
        <f ca="1">IF(AND(S213&gt;'Единичные ставки+критерии'!$I$6, S217=0,S220=0), 1, 0)</f>
        <v>#VALUE!</v>
      </c>
      <c r="T216" s="200" t="e">
        <f ca="1">IF(AND(T213&gt;'Единичные ставки+критерии'!$I$6, T217=0,T220=0), 1, 0)</f>
        <v>#VALUE!</v>
      </c>
      <c r="U216" s="200" t="e">
        <f ca="1">IF(AND(U213&gt;'Единичные ставки+критерии'!$I$6, U217=0,U220=0), 1, 0)</f>
        <v>#VALUE!</v>
      </c>
      <c r="V216" s="200" t="e">
        <f ca="1">IF(AND(V213&gt;'Единичные ставки+критерии'!$I$6, V217=0,V220=0), 1, 0)</f>
        <v>#VALUE!</v>
      </c>
      <c r="W216" s="200" t="e">
        <f ca="1">IF(AND(W213&gt;'Единичные ставки+критерии'!$I$6, W217=0,W220=0), 1, 0)</f>
        <v>#VALUE!</v>
      </c>
      <c r="X216" s="200" t="e">
        <f ca="1">IF(AND(X213&gt;'Единичные ставки+критерии'!$I$6, X217=0,X220=0), 1, 0)</f>
        <v>#VALUE!</v>
      </c>
      <c r="Y216" s="200" t="e">
        <f ca="1">IF(AND(Y213&gt;'Единичные ставки+критерии'!$I$6, Y217=0,Y220=0), 1, 0)</f>
        <v>#VALUE!</v>
      </c>
      <c r="Z216" s="200" t="e">
        <f ca="1">IF(AND(Z213&gt;'Единичные ставки+критерии'!$I$6, Z217=0,Z220=0), 1, 0)</f>
        <v>#VALUE!</v>
      </c>
      <c r="AA216" s="200" t="e">
        <f ca="1">IF(AND(AA213&gt;'Единичные ставки+критерии'!$I$6, AA217=0,AA220=0), 1, 0)</f>
        <v>#VALUE!</v>
      </c>
      <c r="AB216" s="200" t="e">
        <f ca="1">IF(AND(AB213&gt;'Единичные ставки+критерии'!$I$6, AB217=0,AB220=0), 1, 0)</f>
        <v>#VALUE!</v>
      </c>
      <c r="AC216" s="200" t="e">
        <f ca="1">IF(AND(AC213&gt;'Единичные ставки+критерии'!$I$6, AC217=0,AC220=0), 1, 0)</f>
        <v>#VALUE!</v>
      </c>
      <c r="AD216" s="200" t="e">
        <f ca="1">IF(AND(AD213&gt;'Единичные ставки+критерии'!$I$6, AD217=0,AD220=0), 1, 0)</f>
        <v>#VALUE!</v>
      </c>
      <c r="AE216" s="200" t="e">
        <f ca="1">IF(AND(AE213&gt;'Единичные ставки+критерии'!$I$6, AE217=0,AE220=0), 1, 0)</f>
        <v>#VALUE!</v>
      </c>
      <c r="AF216" s="200" t="e">
        <f ca="1">IF(AND(AF213&gt;'Единичные ставки+критерии'!$I$6, AF217=0,AF220=0), 1, 0)</f>
        <v>#VALUE!</v>
      </c>
      <c r="AG216" s="200" t="e">
        <f ca="1">IF(AND(AG213&gt;'Единичные ставки+критерии'!$I$6, AG217=0,AG220=0), 1, 0)</f>
        <v>#VALUE!</v>
      </c>
      <c r="AH216" s="200" t="e">
        <f ca="1">IF(AND(AH213&gt;'Единичные ставки+критерии'!$I$6, AH217=0,AH220=0), 1, 0)</f>
        <v>#VALUE!</v>
      </c>
      <c r="AI216" s="200" t="e">
        <f ca="1">IF(AND(AI213&gt;'Единичные ставки+критерии'!$I$6, AI217=0,AI220=0), 1, 0)</f>
        <v>#VALUE!</v>
      </c>
      <c r="AJ216" s="200" t="e">
        <f ca="1">IF(AND(AJ213&gt;'Единичные ставки+критерии'!$I$6, AJ217=0,AJ220=0), 1, 0)</f>
        <v>#VALUE!</v>
      </c>
      <c r="AK216" s="200" t="e">
        <f ca="1">IF(AND(AK213&gt;'Единичные ставки+критерии'!$I$6, AK217=0,AK220=0), 1, 0)</f>
        <v>#VALUE!</v>
      </c>
      <c r="AL216" s="200" t="e">
        <f ca="1">IF(AND(AL213&gt;'Единичные ставки+критерии'!$I$6, AL217=0,AL220=0), 1, 0)</f>
        <v>#VALUE!</v>
      </c>
      <c r="AM216" s="200" t="e">
        <f ca="1">IF(AND(AM213&gt;'Единичные ставки+критерии'!$I$6, AM217=0,AM220=0), 1, 0)</f>
        <v>#VALUE!</v>
      </c>
      <c r="AN216" s="200" t="e">
        <f ca="1">IF(AND(AN213&gt;'Единичные ставки+критерии'!$I$6, AN217=0,AN220=0), 1, 0)</f>
        <v>#VALUE!</v>
      </c>
      <c r="AO216" s="200" t="e">
        <f ca="1">IF(AND(AO213&gt;'Единичные ставки+критерии'!$I$6, AO217=0,AO220=0), 1, 0)</f>
        <v>#VALUE!</v>
      </c>
      <c r="AP216" s="200" t="e">
        <f ca="1">IF(AND(AP213&gt;'Единичные ставки+критерии'!$I$6, AP217=0,AP220=0), 1, 0)</f>
        <v>#VALUE!</v>
      </c>
    </row>
    <row r="217" spans="1:42" s="195" customFormat="1" x14ac:dyDescent="0.25">
      <c r="A217" s="199" t="s">
        <v>256</v>
      </c>
      <c r="B217" s="200">
        <f ca="1">IF(B205&gt;'Единичные ставки+критерии'!$J$4,1,0)</f>
        <v>0</v>
      </c>
      <c r="C217" s="200">
        <f ca="1">IF(AND(C205&gt;'Единичные ставки+критерии'!$J$4,C219=0,C220=0),1,0)</f>
        <v>0</v>
      </c>
      <c r="D217" s="200">
        <f ca="1">IF(AND(D205&gt;'Единичные ставки+критерии'!$J$4,D219=0,D220=0),1,0)</f>
        <v>1</v>
      </c>
      <c r="E217" s="200">
        <f ca="1">IF(AND(E205&gt;'Единичные ставки+критерии'!$J$4,E219=0,E220=0),1,0)</f>
        <v>0</v>
      </c>
      <c r="F217" s="200">
        <f ca="1">IF(AND(F205&gt;'Единичные ставки+критерии'!$J$4,F219=0,F220=0),1,0)</f>
        <v>0</v>
      </c>
      <c r="G217" s="200">
        <f ca="1">IF(AND(G205&gt;'Единичные ставки+критерии'!$J$4,G219=0,G220=0),1,0)</f>
        <v>1</v>
      </c>
      <c r="H217" s="200">
        <f ca="1">IF(AND(H205&gt;'Единичные ставки+критерии'!$J$4,H219=0,H220=0),1,0)</f>
        <v>0</v>
      </c>
      <c r="I217" s="200">
        <f ca="1">IF(AND(I205&gt;'Единичные ставки+критерии'!$J$4,I219=0,I220=0),1,0)</f>
        <v>0</v>
      </c>
      <c r="J217" s="200">
        <f ca="1">IF(AND(J205&gt;'Единичные ставки+критерии'!$J$4,J219=0,J220=0),1,0)</f>
        <v>0</v>
      </c>
      <c r="K217" s="200" t="e">
        <f ca="1">IF(AND(K205&gt;'Единичные ставки+критерии'!$J$4,K219=0,K220=0),1,0)</f>
        <v>#VALUE!</v>
      </c>
      <c r="L217" s="200" t="e">
        <f ca="1">IF(AND(L205&gt;'Единичные ставки+критерии'!$J$4,L219=0,L220=0),1,0)</f>
        <v>#VALUE!</v>
      </c>
      <c r="M217" s="200" t="e">
        <f ca="1">IF(AND(M205&gt;'Единичные ставки+критерии'!$J$4,M219=0,M220=0),1,0)</f>
        <v>#VALUE!</v>
      </c>
      <c r="N217" s="200" t="e">
        <f ca="1">IF(AND(N205&gt;'Единичные ставки+критерии'!$J$4,N219=0,N220=0),1,0)</f>
        <v>#VALUE!</v>
      </c>
      <c r="O217" s="200" t="e">
        <f ca="1">IF(AND(O205&gt;'Единичные ставки+критерии'!$J$4,O219=0,O220=0),1,0)</f>
        <v>#VALUE!</v>
      </c>
      <c r="P217" s="200" t="e">
        <f ca="1">IF(AND(P205&gt;'Единичные ставки+критерии'!$J$4,P219=0,P220=0),1,0)</f>
        <v>#VALUE!</v>
      </c>
      <c r="Q217" s="200" t="e">
        <f ca="1">IF(AND(Q205&gt;'Единичные ставки+критерии'!$J$4,Q219=0,Q220=0),1,0)</f>
        <v>#VALUE!</v>
      </c>
      <c r="R217" s="200" t="e">
        <f ca="1">IF(AND(R205&gt;'Единичные ставки+критерии'!$J$4,R219=0,R220=0),1,0)</f>
        <v>#VALUE!</v>
      </c>
      <c r="S217" s="200" t="e">
        <f ca="1">IF(AND(S205&gt;'Единичные ставки+критерии'!$J$4,S219=0,S220=0),1,0)</f>
        <v>#VALUE!</v>
      </c>
      <c r="T217" s="200" t="e">
        <f ca="1">IF(AND(T205&gt;'Единичные ставки+критерии'!$J$4,T219=0,T220=0),1,0)</f>
        <v>#VALUE!</v>
      </c>
      <c r="U217" s="200" t="e">
        <f ca="1">IF(AND(U205&gt;'Единичные ставки+критерии'!$J$4,U219=0,U220=0),1,0)</f>
        <v>#VALUE!</v>
      </c>
      <c r="V217" s="200" t="e">
        <f ca="1">IF(AND(V205&gt;'Единичные ставки+критерии'!$J$4,V219=0,V220=0),1,0)</f>
        <v>#VALUE!</v>
      </c>
      <c r="W217" s="200" t="e">
        <f ca="1">IF(AND(W205&gt;'Единичные ставки+критерии'!$J$4,W219=0,W220=0),1,0)</f>
        <v>#VALUE!</v>
      </c>
      <c r="X217" s="200" t="e">
        <f ca="1">IF(AND(X205&gt;'Единичные ставки+критерии'!$J$4,X219=0,X220=0),1,0)</f>
        <v>#VALUE!</v>
      </c>
      <c r="Y217" s="200" t="e">
        <f ca="1">IF(AND(Y205&gt;'Единичные ставки+критерии'!$J$4,Y219=0,Y220=0),1,0)</f>
        <v>#VALUE!</v>
      </c>
      <c r="Z217" s="200" t="e">
        <f ca="1">IF(AND(Z205&gt;'Единичные ставки+критерии'!$J$4,Z219=0,Z220=0),1,0)</f>
        <v>#VALUE!</v>
      </c>
      <c r="AA217" s="200" t="e">
        <f ca="1">IF(AND(AA205&gt;'Единичные ставки+критерии'!$J$4,AA219=0,AA220=0),1,0)</f>
        <v>#VALUE!</v>
      </c>
      <c r="AB217" s="200" t="e">
        <f ca="1">IF(AND(AB205&gt;'Единичные ставки+критерии'!$J$4,AB219=0,AB220=0),1,0)</f>
        <v>#VALUE!</v>
      </c>
      <c r="AC217" s="200" t="e">
        <f ca="1">IF(AND(AC205&gt;'Единичные ставки+критерии'!$J$4,AC219=0,AC220=0),1,0)</f>
        <v>#VALUE!</v>
      </c>
      <c r="AD217" s="200" t="e">
        <f ca="1">IF(AND(AD205&gt;'Единичные ставки+критерии'!$J$4,AD219=0,AD220=0),1,0)</f>
        <v>#VALUE!</v>
      </c>
      <c r="AE217" s="200" t="e">
        <f ca="1">IF(AND(AE205&gt;'Единичные ставки+критерии'!$J$4,AE219=0,AE220=0),1,0)</f>
        <v>#VALUE!</v>
      </c>
      <c r="AF217" s="200" t="e">
        <f ca="1">IF(AND(AF205&gt;'Единичные ставки+критерии'!$J$4,AF219=0,AF220=0),1,0)</f>
        <v>#VALUE!</v>
      </c>
      <c r="AG217" s="200" t="e">
        <f ca="1">IF(AND(AG205&gt;'Единичные ставки+критерии'!$J$4,AG219=0,AG220=0),1,0)</f>
        <v>#VALUE!</v>
      </c>
      <c r="AH217" s="200" t="e">
        <f ca="1">IF(AND(AH205&gt;'Единичные ставки+критерии'!$J$4,AH219=0,AH220=0),1,0)</f>
        <v>#VALUE!</v>
      </c>
      <c r="AI217" s="200" t="e">
        <f ca="1">IF(AND(AI205&gt;'Единичные ставки+критерии'!$J$4,AI219=0,AI220=0),1,0)</f>
        <v>#VALUE!</v>
      </c>
      <c r="AJ217" s="200" t="e">
        <f ca="1">IF(AND(AJ205&gt;'Единичные ставки+критерии'!$J$4,AJ219=0,AJ220=0),1,0)</f>
        <v>#VALUE!</v>
      </c>
      <c r="AK217" s="200" t="e">
        <f ca="1">IF(AND(AK205&gt;'Единичные ставки+критерии'!$J$4,AK219=0,AK220=0),1,0)</f>
        <v>#VALUE!</v>
      </c>
      <c r="AL217" s="200" t="e">
        <f ca="1">IF(AND(AL205&gt;'Единичные ставки+критерии'!$J$4,AL219=0,AL220=0),1,0)</f>
        <v>#VALUE!</v>
      </c>
      <c r="AM217" s="200" t="e">
        <f ca="1">IF(AND(AM205&gt;'Единичные ставки+критерии'!$J$4,AM219=0,AM220=0),1,0)</f>
        <v>#VALUE!</v>
      </c>
      <c r="AN217" s="200" t="e">
        <f ca="1">IF(AND(AN205&gt;'Единичные ставки+критерии'!$J$4,AN219=0,AN220=0),1,0)</f>
        <v>#VALUE!</v>
      </c>
      <c r="AO217" s="200" t="e">
        <f ca="1">IF(AND(AO205&gt;'Единичные ставки+критерии'!$J$4,AO219=0,AO220=0),1,0)</f>
        <v>#VALUE!</v>
      </c>
      <c r="AP217" s="200" t="e">
        <f ca="1">IF(AND(AP205&gt;'Единичные ставки+критерии'!$J$4,AP219=0,AP220=0),1,0)</f>
        <v>#VALUE!</v>
      </c>
    </row>
    <row r="218" spans="1:42" s="195" customFormat="1" x14ac:dyDescent="0.25">
      <c r="A218" s="199" t="s">
        <v>259</v>
      </c>
      <c r="B218" s="200">
        <f ca="1">IF(AND((B185+B186)&gt;='Единичные ставки+критерии'!$K$7,B172&gt;='Единичные ставки+критерии'!$H$7, B219=0,B220=0),1,0)</f>
        <v>0</v>
      </c>
      <c r="C218" s="200">
        <f ca="1">IF(AND((C185+C186)&gt;='Единичные ставки+критерии'!$K$7,C172&gt;='Единичные ставки+критерии'!$H$7, C219=0,C220=0),1,0)</f>
        <v>0</v>
      </c>
      <c r="D218" s="200">
        <f ca="1">IF(AND((D185+D186)&gt;='Единичные ставки+критерии'!$K$7,D172&gt;='Единичные ставки+критерии'!$H$7, D219=0,D220=0),1,0)</f>
        <v>0</v>
      </c>
      <c r="E218" s="200">
        <f ca="1">IF(AND((E185+E186)&gt;='Единичные ставки+критерии'!$K$7,E172&gt;='Единичные ставки+критерии'!$H$7, E219=0,E220=0),1,0)</f>
        <v>0</v>
      </c>
      <c r="F218" s="200">
        <f ca="1">IF(AND((F185+F186)&gt;='Единичные ставки+критерии'!$K$7,F172&gt;='Единичные ставки+критерии'!$H$7, F219=0,F220=0),1,0)</f>
        <v>1</v>
      </c>
      <c r="G218" s="200">
        <f ca="1">IF(AND((G185+G186)&gt;='Единичные ставки+критерии'!$K$7,G172&gt;='Единичные ставки+критерии'!$H$7, G219=0,G220=0),1,0)</f>
        <v>0</v>
      </c>
      <c r="H218" s="200">
        <f ca="1">IF(AND((H185+H186)&gt;='Единичные ставки+критерии'!$K$7,H172&gt;='Единичные ставки+критерии'!$H$7, H219=0,H220=0),1,0)</f>
        <v>0</v>
      </c>
      <c r="I218" s="200">
        <f ca="1">IF(AND((I185+I186)&gt;='Единичные ставки+критерии'!$K$7,I172&gt;='Единичные ставки+критерии'!$H$7, I219=0,I220=0),1,0)</f>
        <v>0</v>
      </c>
      <c r="J218" s="200">
        <f ca="1">IF(AND((J185+J186)&gt;='Единичные ставки+критерии'!$K$7,J172&gt;='Единичные ставки+критерии'!$H$7, J219=0,J220=0),1,0)</f>
        <v>0</v>
      </c>
      <c r="K218" s="200" t="e">
        <f ca="1">IF(AND((K185+K186)&gt;='Единичные ставки+критерии'!$K$7,K172&gt;='Единичные ставки+критерии'!$H$7, K219=0,K220=0),1,0)</f>
        <v>#VALUE!</v>
      </c>
      <c r="L218" s="200" t="e">
        <f ca="1">IF(AND((L185+L186)&gt;='Единичные ставки+критерии'!$K$7,L172&gt;='Единичные ставки+критерии'!$H$7, L219=0,L220=0),1,0)</f>
        <v>#VALUE!</v>
      </c>
      <c r="M218" s="200" t="e">
        <f ca="1">IF(AND((M185+M186)&gt;='Единичные ставки+критерии'!$K$7,M172&gt;='Единичные ставки+критерии'!$H$7, M219=0,M220=0),1,0)</f>
        <v>#VALUE!</v>
      </c>
      <c r="N218" s="200" t="e">
        <f ca="1">IF(AND((N185+N186)&gt;='Единичные ставки+критерии'!$K$7,N172&gt;='Единичные ставки+критерии'!$H$7, N219=0,N220=0),1,0)</f>
        <v>#VALUE!</v>
      </c>
      <c r="O218" s="200" t="e">
        <f ca="1">IF(AND((O185+O186)&gt;='Единичные ставки+критерии'!$K$7,O172&gt;='Единичные ставки+критерии'!$H$7, O219=0,O220=0),1,0)</f>
        <v>#VALUE!</v>
      </c>
      <c r="P218" s="200" t="e">
        <f ca="1">IF(AND((P185+P186)&gt;='Единичные ставки+критерии'!$K$7,P172&gt;='Единичные ставки+критерии'!$H$7, P219=0,P220=0),1,0)</f>
        <v>#VALUE!</v>
      </c>
      <c r="Q218" s="200" t="e">
        <f ca="1">IF(AND((Q185+Q186)&gt;='Единичные ставки+критерии'!$K$7,Q172&gt;='Единичные ставки+критерии'!$H$7, Q219=0,Q220=0),1,0)</f>
        <v>#VALUE!</v>
      </c>
      <c r="R218" s="200" t="e">
        <f ca="1">IF(AND((R185+R186)&gt;='Единичные ставки+критерии'!$K$7,R172&gt;='Единичные ставки+критерии'!$H$7, R219=0,R220=0),1,0)</f>
        <v>#VALUE!</v>
      </c>
      <c r="S218" s="200" t="e">
        <f ca="1">IF(AND((S185+S186)&gt;='Единичные ставки+критерии'!$K$7,S172&gt;='Единичные ставки+критерии'!$H$7, S219=0,S220=0),1,0)</f>
        <v>#VALUE!</v>
      </c>
      <c r="T218" s="200" t="e">
        <f ca="1">IF(AND((T185+T186)&gt;='Единичные ставки+критерии'!$K$7,T172&gt;='Единичные ставки+критерии'!$H$7, T219=0,T220=0),1,0)</f>
        <v>#VALUE!</v>
      </c>
      <c r="U218" s="200" t="e">
        <f ca="1">IF(AND((U185+U186)&gt;='Единичные ставки+критерии'!$K$7,U172&gt;='Единичные ставки+критерии'!$H$7, U219=0,U220=0),1,0)</f>
        <v>#VALUE!</v>
      </c>
      <c r="V218" s="200" t="e">
        <f ca="1">IF(AND((V185+V186)&gt;='Единичные ставки+критерии'!$K$7,V172&gt;='Единичные ставки+критерии'!$H$7, V219=0,V220=0),1,0)</f>
        <v>#VALUE!</v>
      </c>
      <c r="W218" s="200" t="e">
        <f ca="1">IF(AND((W185+W186)&gt;='Единичные ставки+критерии'!$K$7,W172&gt;='Единичные ставки+критерии'!$H$7, W219=0,W220=0),1,0)</f>
        <v>#VALUE!</v>
      </c>
      <c r="X218" s="200" t="e">
        <f ca="1">IF(AND((X185+X186)&gt;='Единичные ставки+критерии'!$K$7,X172&gt;='Единичные ставки+критерии'!$H$7, X219=0,X220=0),1,0)</f>
        <v>#VALUE!</v>
      </c>
      <c r="Y218" s="200" t="e">
        <f ca="1">IF(AND((Y185+Y186)&gt;='Единичные ставки+критерии'!$K$7,Y172&gt;='Единичные ставки+критерии'!$H$7, Y219=0,Y220=0),1,0)</f>
        <v>#VALUE!</v>
      </c>
      <c r="Z218" s="200" t="e">
        <f ca="1">IF(AND((Z185+Z186)&gt;='Единичные ставки+критерии'!$K$7,Z172&gt;='Единичные ставки+критерии'!$H$7, Z219=0,Z220=0),1,0)</f>
        <v>#VALUE!</v>
      </c>
      <c r="AA218" s="200" t="e">
        <f ca="1">IF(AND((AA185+AA186)&gt;='Единичные ставки+критерии'!$K$7,AA172&gt;='Единичные ставки+критерии'!$H$7, AA219=0,AA220=0),1,0)</f>
        <v>#VALUE!</v>
      </c>
      <c r="AB218" s="200" t="e">
        <f ca="1">IF(AND((AB185+AB186)&gt;='Единичные ставки+критерии'!$K$7,AB172&gt;='Единичные ставки+критерии'!$H$7, AB219=0,AB220=0),1,0)</f>
        <v>#VALUE!</v>
      </c>
      <c r="AC218" s="200" t="e">
        <f ca="1">IF(AND((AC185+AC186)&gt;='Единичные ставки+критерии'!$K$7,AC172&gt;='Единичные ставки+критерии'!$H$7, AC219=0,AC220=0),1,0)</f>
        <v>#VALUE!</v>
      </c>
      <c r="AD218" s="200" t="e">
        <f ca="1">IF(AND((AD185+AD186)&gt;='Единичные ставки+критерии'!$K$7,AD172&gt;='Единичные ставки+критерии'!$H$7, AD219=0,AD220=0),1,0)</f>
        <v>#VALUE!</v>
      </c>
      <c r="AE218" s="200" t="e">
        <f ca="1">IF(AND((AE185+AE186)&gt;='Единичные ставки+критерии'!$K$7,AE172&gt;='Единичные ставки+критерии'!$H$7, AE219=0,AE220=0),1,0)</f>
        <v>#VALUE!</v>
      </c>
      <c r="AF218" s="200" t="e">
        <f ca="1">IF(AND((AF185+AF186)&gt;='Единичные ставки+критерии'!$K$7,AF172&gt;='Единичные ставки+критерии'!$H$7, AF219=0,AF220=0),1,0)</f>
        <v>#VALUE!</v>
      </c>
      <c r="AG218" s="200" t="e">
        <f ca="1">IF(AND((AG185+AG186)&gt;='Единичные ставки+критерии'!$K$7,AG172&gt;='Единичные ставки+критерии'!$H$7, AG219=0,AG220=0),1,0)</f>
        <v>#VALUE!</v>
      </c>
      <c r="AH218" s="200" t="e">
        <f ca="1">IF(AND((AH185+AH186)&gt;='Единичные ставки+критерии'!$K$7,AH172&gt;='Единичные ставки+критерии'!$H$7, AH219=0,AH220=0),1,0)</f>
        <v>#VALUE!</v>
      </c>
      <c r="AI218" s="200" t="e">
        <f ca="1">IF(AND((AI185+AI186)&gt;='Единичные ставки+критерии'!$K$7,AI172&gt;='Единичные ставки+критерии'!$H$7, AI219=0,AI220=0),1,0)</f>
        <v>#VALUE!</v>
      </c>
      <c r="AJ218" s="200" t="e">
        <f ca="1">IF(AND((AJ185+AJ186)&gt;='Единичные ставки+критерии'!$K$7,AJ172&gt;='Единичные ставки+критерии'!$H$7, AJ219=0,AJ220=0),1,0)</f>
        <v>#VALUE!</v>
      </c>
      <c r="AK218" s="200" t="e">
        <f ca="1">IF(AND((AK185+AK186)&gt;='Единичные ставки+критерии'!$K$7,AK172&gt;='Единичные ставки+критерии'!$H$7, AK219=0,AK220=0),1,0)</f>
        <v>#VALUE!</v>
      </c>
      <c r="AL218" s="200" t="e">
        <f ca="1">IF(AND((AL185+AL186)&gt;='Единичные ставки+критерии'!$K$7,AL172&gt;='Единичные ставки+критерии'!$H$7, AL219=0,AL220=0),1,0)</f>
        <v>#VALUE!</v>
      </c>
      <c r="AM218" s="200" t="e">
        <f ca="1">IF(AND((AM185+AM186)&gt;='Единичные ставки+критерии'!$K$7,AM172&gt;='Единичные ставки+критерии'!$H$7, AM219=0,AM220=0),1,0)</f>
        <v>#VALUE!</v>
      </c>
      <c r="AN218" s="200" t="e">
        <f ca="1">IF(AND((AN185+AN186)&gt;='Единичные ставки+критерии'!$K$7,AN172&gt;='Единичные ставки+критерии'!$H$7, AN219=0,AN220=0),1,0)</f>
        <v>#VALUE!</v>
      </c>
      <c r="AO218" s="200" t="e">
        <f ca="1">IF(AND((AO185+AO186)&gt;='Единичные ставки+критерии'!$K$7,AO172&gt;='Единичные ставки+критерии'!$H$7, AO219=0,AO220=0),1,0)</f>
        <v>#VALUE!</v>
      </c>
      <c r="AP218" s="200" t="e">
        <f ca="1">IF(AND((AP185+AP186)&gt;='Единичные ставки+критерии'!$K$7,AP172&gt;='Единичные ставки+критерии'!$H$7, AP219=0,AP220=0),1,0)</f>
        <v>#VALUE!</v>
      </c>
    </row>
    <row r="219" spans="1:42" s="195" customFormat="1" x14ac:dyDescent="0.25">
      <c r="A219" s="199" t="s">
        <v>313</v>
      </c>
      <c r="B219" s="200">
        <f ca="1">IF(AND((B185+B186)&gt;='Единичные ставки+критерии'!$K$5,B205&gt;'Единичные ставки+критерии'!$J$5, B172&gt;='Единичные ставки+критерии'!$H$5,B177&gt;='Единичные ставки+критерии'!$H$5), 1,0)</f>
        <v>0</v>
      </c>
      <c r="C219" s="200">
        <f ca="1">IF(AND((C185+C186)&gt;='Единичные ставки+критерии'!$K$5,C205&gt;'Единичные ставки+критерии'!$J$5, C172&gt;='Единичные ставки+критерии'!$H$5,C177&gt;='Единичные ставки+критерии'!$H$5), 1,0)</f>
        <v>0</v>
      </c>
      <c r="D219" s="200">
        <f ca="1">IF(AND((D185+D186)&gt;='Единичные ставки+критерии'!$K$5,D205&gt;'Единичные ставки+критерии'!$J$5, D172&gt;='Единичные ставки+критерии'!$H$5,D177&gt;='Единичные ставки+критерии'!$H$5), 1,0)</f>
        <v>0</v>
      </c>
      <c r="E219" s="200">
        <f ca="1">IF(AND((E185+E186)&gt;='Единичные ставки+критерии'!$K$5,E205&gt;'Единичные ставки+критерии'!$J$5, E172&gt;='Единичные ставки+критерии'!$H$5,E177&gt;='Единичные ставки+критерии'!$H$5), 1,0)</f>
        <v>0</v>
      </c>
      <c r="F219" s="200">
        <f ca="1">IF(AND((F185+F186)&gt;='Единичные ставки+критерии'!$K$5,F205&gt;'Единичные ставки+критерии'!$J$5, F172&gt;='Единичные ставки+критерии'!$H$5,F177&gt;='Единичные ставки+критерии'!$H$5), 1,0)</f>
        <v>0</v>
      </c>
      <c r="G219" s="200">
        <f ca="1">IF(AND((G185+G186)&gt;='Единичные ставки+критерии'!$K$5,G205&gt;'Единичные ставки+критерии'!$J$5, G172&gt;='Единичные ставки+критерии'!$H$5,G177&gt;='Единичные ставки+критерии'!$H$5), 1,0)</f>
        <v>0</v>
      </c>
      <c r="H219" s="200">
        <f ca="1">IF(AND((H185+H186)&gt;='Единичные ставки+критерии'!$K$5,H205&gt;'Единичные ставки+критерии'!$J$5, H172&gt;='Единичные ставки+критерии'!$H$5,H177&gt;='Единичные ставки+критерии'!$H$5), 1,0)</f>
        <v>0</v>
      </c>
      <c r="I219" s="200">
        <f ca="1">IF(AND((I185+I186)&gt;='Единичные ставки+критерии'!$K$5,I205&gt;'Единичные ставки+критерии'!$J$5, I172&gt;='Единичные ставки+критерии'!$H$5,I177&gt;='Единичные ставки+критерии'!$H$5), 1,0)</f>
        <v>0</v>
      </c>
      <c r="J219" s="200">
        <f ca="1">IF(AND((J185+J186)&gt;='Единичные ставки+критерии'!$K$5,J205&gt;'Единичные ставки+критерии'!$J$5, J172&gt;='Единичные ставки+критерии'!$H$5,J177&gt;='Единичные ставки+критерии'!$H$5), 1,0)</f>
        <v>0</v>
      </c>
      <c r="K219" s="200" t="e">
        <f ca="1">IF(AND((K185+K186)&gt;='Единичные ставки+критерии'!$K$5,K205&gt;'Единичные ставки+критерии'!$J$5, K172&gt;='Единичные ставки+критерии'!$H$5,K177&gt;='Единичные ставки+критерии'!$H$5), 1,0)</f>
        <v>#VALUE!</v>
      </c>
      <c r="L219" s="200" t="e">
        <f ca="1">IF(AND((L185+L186)&gt;='Единичные ставки+критерии'!$K$5,L205&gt;'Единичные ставки+критерии'!$J$5, L172&gt;='Единичные ставки+критерии'!$H$5,L177&gt;='Единичные ставки+критерии'!$H$5), 1,0)</f>
        <v>#VALUE!</v>
      </c>
      <c r="M219" s="200" t="e">
        <f ca="1">IF(AND((M185+M186)&gt;='Единичные ставки+критерии'!$K$5,M205&gt;'Единичные ставки+критерии'!$J$5, M172&gt;='Единичные ставки+критерии'!$H$5,M177&gt;='Единичные ставки+критерии'!$H$5), 1,0)</f>
        <v>#VALUE!</v>
      </c>
      <c r="N219" s="200" t="e">
        <f ca="1">IF(AND((N185+N186)&gt;='Единичные ставки+критерии'!$K$5,N205&gt;'Единичные ставки+критерии'!$J$5, N172&gt;='Единичные ставки+критерии'!$H$5,N177&gt;='Единичные ставки+критерии'!$H$5), 1,0)</f>
        <v>#VALUE!</v>
      </c>
      <c r="O219" s="200" t="e">
        <f ca="1">IF(AND((O185+O186)&gt;='Единичные ставки+критерии'!$K$5,O205&gt;'Единичные ставки+критерии'!$J$5, O172&gt;='Единичные ставки+критерии'!$H$5,O177&gt;='Единичные ставки+критерии'!$H$5), 1,0)</f>
        <v>#VALUE!</v>
      </c>
      <c r="P219" s="200" t="e">
        <f ca="1">IF(AND((P185+P186)&gt;='Единичные ставки+критерии'!$K$5,P205&gt;'Единичные ставки+критерии'!$J$5, P172&gt;='Единичные ставки+критерии'!$H$5,P177&gt;='Единичные ставки+критерии'!$H$5), 1,0)</f>
        <v>#VALUE!</v>
      </c>
      <c r="Q219" s="200" t="e">
        <f ca="1">IF(AND((Q185+Q186)&gt;='Единичные ставки+критерии'!$K$5,Q205&gt;'Единичные ставки+критерии'!$J$5, Q172&gt;='Единичные ставки+критерии'!$H$5,Q177&gt;='Единичные ставки+критерии'!$H$5), 1,0)</f>
        <v>#VALUE!</v>
      </c>
      <c r="R219" s="200" t="e">
        <f ca="1">IF(AND((R185+R186)&gt;='Единичные ставки+критерии'!$K$5,R205&gt;'Единичные ставки+критерии'!$J$5, R172&gt;='Единичные ставки+критерии'!$H$5,R177&gt;='Единичные ставки+критерии'!$H$5), 1,0)</f>
        <v>#VALUE!</v>
      </c>
      <c r="S219" s="200" t="e">
        <f ca="1">IF(AND((S185+S186)&gt;='Единичные ставки+критерии'!$K$5,S205&gt;'Единичные ставки+критерии'!$J$5, S172&gt;='Единичные ставки+критерии'!$H$5,S177&gt;='Единичные ставки+критерии'!$H$5), 1,0)</f>
        <v>#VALUE!</v>
      </c>
      <c r="T219" s="200" t="e">
        <f ca="1">IF(AND((T185+T186)&gt;='Единичные ставки+критерии'!$K$5,T205&gt;'Единичные ставки+критерии'!$J$5, T172&gt;='Единичные ставки+критерии'!$H$5,T177&gt;='Единичные ставки+критерии'!$H$5), 1,0)</f>
        <v>#VALUE!</v>
      </c>
      <c r="U219" s="200" t="e">
        <f ca="1">IF(AND((U185+U186)&gt;='Единичные ставки+критерии'!$K$5,U205&gt;'Единичные ставки+критерии'!$J$5, U172&gt;='Единичные ставки+критерии'!$H$5,U177&gt;='Единичные ставки+критерии'!$H$5), 1,0)</f>
        <v>#VALUE!</v>
      </c>
      <c r="V219" s="200" t="e">
        <f ca="1">IF(AND((V185+V186)&gt;='Единичные ставки+критерии'!$K$5,V205&gt;'Единичные ставки+критерии'!$J$5, V172&gt;='Единичные ставки+критерии'!$H$5,V177&gt;='Единичные ставки+критерии'!$H$5), 1,0)</f>
        <v>#VALUE!</v>
      </c>
      <c r="W219" s="200" t="e">
        <f ca="1">IF(AND((W185+W186)&gt;='Единичные ставки+критерии'!$K$5,W205&gt;'Единичные ставки+критерии'!$J$5, W172&gt;='Единичные ставки+критерии'!$H$5,W177&gt;='Единичные ставки+критерии'!$H$5), 1,0)</f>
        <v>#VALUE!</v>
      </c>
      <c r="X219" s="200" t="e">
        <f ca="1">IF(AND((X185+X186)&gt;='Единичные ставки+критерии'!$K$5,X205&gt;'Единичные ставки+критерии'!$J$5, X172&gt;='Единичные ставки+критерии'!$H$5,X177&gt;='Единичные ставки+критерии'!$H$5), 1,0)</f>
        <v>#VALUE!</v>
      </c>
      <c r="Y219" s="200" t="e">
        <f ca="1">IF(AND((Y185+Y186)&gt;='Единичные ставки+критерии'!$K$5,Y205&gt;'Единичные ставки+критерии'!$J$5, Y172&gt;='Единичные ставки+критерии'!$H$5,Y177&gt;='Единичные ставки+критерии'!$H$5), 1,0)</f>
        <v>#VALUE!</v>
      </c>
      <c r="Z219" s="200" t="e">
        <f ca="1">IF(AND((Z185+Z186)&gt;='Единичные ставки+критерии'!$K$5,Z205&gt;'Единичные ставки+критерии'!$J$5, Z172&gt;='Единичные ставки+критерии'!$H$5,Z177&gt;='Единичные ставки+критерии'!$H$5), 1,0)</f>
        <v>#VALUE!</v>
      </c>
      <c r="AA219" s="200" t="e">
        <f ca="1">IF(AND((AA185+AA186)&gt;='Единичные ставки+критерии'!$K$5,AA205&gt;'Единичные ставки+критерии'!$J$5, AA172&gt;='Единичные ставки+критерии'!$H$5,AA177&gt;='Единичные ставки+критерии'!$H$5), 1,0)</f>
        <v>#VALUE!</v>
      </c>
      <c r="AB219" s="200" t="e">
        <f ca="1">IF(AND((AB185+AB186)&gt;='Единичные ставки+критерии'!$K$5,AB205&gt;'Единичные ставки+критерии'!$J$5, AB172&gt;='Единичные ставки+критерии'!$H$5,AB177&gt;='Единичные ставки+критерии'!$H$5), 1,0)</f>
        <v>#VALUE!</v>
      </c>
      <c r="AC219" s="200" t="e">
        <f ca="1">IF(AND((AC185+AC186)&gt;='Единичные ставки+критерии'!$K$5,AC205&gt;'Единичные ставки+критерии'!$J$5, AC172&gt;='Единичные ставки+критерии'!$H$5,AC177&gt;='Единичные ставки+критерии'!$H$5), 1,0)</f>
        <v>#VALUE!</v>
      </c>
      <c r="AD219" s="200" t="e">
        <f ca="1">IF(AND((AD185+AD186)&gt;='Единичные ставки+критерии'!$K$5,AD205&gt;'Единичные ставки+критерии'!$J$5, AD172&gt;='Единичные ставки+критерии'!$H$5,AD177&gt;='Единичные ставки+критерии'!$H$5), 1,0)</f>
        <v>#VALUE!</v>
      </c>
      <c r="AE219" s="200" t="e">
        <f ca="1">IF(AND((AE185+AE186)&gt;='Единичные ставки+критерии'!$K$5,AE205&gt;'Единичные ставки+критерии'!$J$5, AE172&gt;='Единичные ставки+критерии'!$H$5,AE177&gt;='Единичные ставки+критерии'!$H$5), 1,0)</f>
        <v>#VALUE!</v>
      </c>
      <c r="AF219" s="200" t="e">
        <f ca="1">IF(AND((AF185+AF186)&gt;='Единичные ставки+критерии'!$K$5,AF205&gt;'Единичные ставки+критерии'!$J$5, AF172&gt;='Единичные ставки+критерии'!$H$5,AF177&gt;='Единичные ставки+критерии'!$H$5), 1,0)</f>
        <v>#VALUE!</v>
      </c>
      <c r="AG219" s="200" t="e">
        <f ca="1">IF(AND((AG185+AG186)&gt;='Единичные ставки+критерии'!$K$5,AG205&gt;'Единичные ставки+критерии'!$J$5, AG172&gt;='Единичные ставки+критерии'!$H$5,AG177&gt;='Единичные ставки+критерии'!$H$5), 1,0)</f>
        <v>#VALUE!</v>
      </c>
      <c r="AH219" s="200" t="e">
        <f ca="1">IF(AND((AH185+AH186)&gt;='Единичные ставки+критерии'!$K$5,AH205&gt;'Единичные ставки+критерии'!$J$5, AH172&gt;='Единичные ставки+критерии'!$H$5,AH177&gt;='Единичные ставки+критерии'!$H$5), 1,0)</f>
        <v>#VALUE!</v>
      </c>
      <c r="AI219" s="200" t="e">
        <f ca="1">IF(AND((AI185+AI186)&gt;='Единичные ставки+критерии'!$K$5,AI205&gt;'Единичные ставки+критерии'!$J$5, AI172&gt;='Единичные ставки+критерии'!$H$5,AI177&gt;='Единичные ставки+критерии'!$H$5), 1,0)</f>
        <v>#VALUE!</v>
      </c>
      <c r="AJ219" s="200" t="e">
        <f ca="1">IF(AND((AJ185+AJ186)&gt;='Единичные ставки+критерии'!$K$5,AJ205&gt;'Единичные ставки+критерии'!$J$5, AJ172&gt;='Единичные ставки+критерии'!$H$5,AJ177&gt;='Единичные ставки+критерии'!$H$5), 1,0)</f>
        <v>#VALUE!</v>
      </c>
      <c r="AK219" s="200" t="e">
        <f ca="1">IF(AND((AK185+AK186)&gt;='Единичные ставки+критерии'!$K$5,AK205&gt;'Единичные ставки+критерии'!$J$5, AK172&gt;='Единичные ставки+критерии'!$H$5,AK177&gt;='Единичные ставки+критерии'!$H$5), 1,0)</f>
        <v>#VALUE!</v>
      </c>
      <c r="AL219" s="200" t="e">
        <f ca="1">IF(AND((AL185+AL186)&gt;='Единичные ставки+критерии'!$K$5,AL205&gt;'Единичные ставки+критерии'!$J$5, AL172&gt;='Единичные ставки+критерии'!$H$5,AL177&gt;='Единичные ставки+критерии'!$H$5), 1,0)</f>
        <v>#VALUE!</v>
      </c>
      <c r="AM219" s="200" t="e">
        <f ca="1">IF(AND((AM185+AM186)&gt;='Единичные ставки+критерии'!$K$5,AM205&gt;'Единичные ставки+критерии'!$J$5, AM172&gt;='Единичные ставки+критерии'!$H$5,AM177&gt;='Единичные ставки+критерии'!$H$5), 1,0)</f>
        <v>#VALUE!</v>
      </c>
      <c r="AN219" s="200" t="e">
        <f ca="1">IF(AND((AN185+AN186)&gt;='Единичные ставки+критерии'!$K$5,AN205&gt;'Единичные ставки+критерии'!$J$5, AN172&gt;='Единичные ставки+критерии'!$H$5,AN177&gt;='Единичные ставки+критерии'!$H$5), 1,0)</f>
        <v>#VALUE!</v>
      </c>
      <c r="AO219" s="200" t="e">
        <f ca="1">IF(AND((AO185+AO186)&gt;='Единичные ставки+критерии'!$K$5,AO205&gt;'Единичные ставки+критерии'!$J$5, AO172&gt;='Единичные ставки+критерии'!$H$5,AO177&gt;='Единичные ставки+критерии'!$H$5), 1,0)</f>
        <v>#VALUE!</v>
      </c>
      <c r="AP219" s="200" t="e">
        <f ca="1">IF(AND((AP185+AP186)&gt;='Единичные ставки+критерии'!$K$5,AP205&gt;'Единичные ставки+критерии'!$J$5, AP172&gt;='Единичные ставки+критерии'!$H$5,AP177&gt;='Единичные ставки+критерии'!$H$5), 1,0)</f>
        <v>#VALUE!</v>
      </c>
    </row>
    <row r="220" spans="1:42" s="165" customFormat="1" x14ac:dyDescent="0.25">
      <c r="A220" s="201" t="s">
        <v>314</v>
      </c>
      <c r="B220" s="24">
        <f ca="1">IF(AND((B171&gt;'Единичные ставки+критерии'!$H$2),((B185+B186)&gt;='Единичные ставки+критерии'!$K$2)), 1, 0)</f>
        <v>0</v>
      </c>
      <c r="C220" s="24">
        <f ca="1">IF(AND((C171&gt;'Единичные ставки+критерии'!$H$2),((C185+C186)&gt;='Единичные ставки+критерии'!$K$2)), 1, 0)</f>
        <v>0</v>
      </c>
      <c r="D220" s="24">
        <f ca="1">IF(AND((D171&gt;'Единичные ставки+критерии'!$H$2),((D185+D186)&gt;='Единичные ставки+критерии'!$K$2)), 1, 0)</f>
        <v>0</v>
      </c>
      <c r="E220" s="24">
        <f ca="1">IF(AND((E171&gt;'Единичные ставки+критерии'!$H$2),((E185+E186)&gt;='Единичные ставки+критерии'!$K$2)), 1, 0)</f>
        <v>0</v>
      </c>
      <c r="F220" s="24">
        <f ca="1">IF(AND((F171&gt;'Единичные ставки+критерии'!$H$2),((F185+F186)&gt;='Единичные ставки+критерии'!$K$2)), 1, 0)</f>
        <v>0</v>
      </c>
      <c r="G220" s="24">
        <f ca="1">IF(AND((G171&gt;'Единичные ставки+критерии'!$H$2),((G185+G186)&gt;='Единичные ставки+критерии'!$K$2)), 1, 0)</f>
        <v>0</v>
      </c>
      <c r="H220" s="24">
        <f ca="1">IF(AND((H171&gt;'Единичные ставки+критерии'!$H$2),((H185+H186)&gt;='Единичные ставки+критерии'!$K$2)), 1, 0)</f>
        <v>0</v>
      </c>
      <c r="I220" s="24">
        <f ca="1">IF(AND((I171&gt;'Единичные ставки+критерии'!$H$2),((I185+I186)&gt;='Единичные ставки+критерии'!$K$2)), 1, 0)</f>
        <v>0</v>
      </c>
      <c r="J220" s="24">
        <f ca="1">IF(AND((J171&gt;'Единичные ставки+критерии'!$H$2),((J185+J186)&gt;='Единичные ставки+критерии'!$K$2)), 1, 0)</f>
        <v>1</v>
      </c>
      <c r="K220" s="24" t="e">
        <f ca="1">IF(AND((K171&gt;'Единичные ставки+критерии'!$H$2),((K185+K186)&gt;='Единичные ставки+критерии'!$K$2)), 1, 0)</f>
        <v>#VALUE!</v>
      </c>
      <c r="L220" s="24" t="e">
        <f ca="1">IF(AND((L171&gt;'Единичные ставки+критерии'!$H$2),((L185+L186)&gt;='Единичные ставки+критерии'!$K$2)), 1, 0)</f>
        <v>#VALUE!</v>
      </c>
      <c r="M220" s="24" t="e">
        <f ca="1">IF(AND((M171&gt;'Единичные ставки+критерии'!$H$2),((M185+M186)&gt;='Единичные ставки+критерии'!$K$2)), 1, 0)</f>
        <v>#VALUE!</v>
      </c>
      <c r="N220" s="24" t="e">
        <f ca="1">IF(AND((N171&gt;'Единичные ставки+критерии'!$H$2),((N185+N186)&gt;='Единичные ставки+критерии'!$K$2)), 1, 0)</f>
        <v>#VALUE!</v>
      </c>
      <c r="O220" s="24" t="e">
        <f ca="1">IF(AND((O171&gt;'Единичные ставки+критерии'!$H$2),((O185+O186)&gt;='Единичные ставки+критерии'!$K$2)), 1, 0)</f>
        <v>#VALUE!</v>
      </c>
      <c r="P220" s="24" t="e">
        <f ca="1">IF(AND((P171&gt;'Единичные ставки+критерии'!$H$2),((P185+P186)&gt;='Единичные ставки+критерии'!$K$2)), 1, 0)</f>
        <v>#VALUE!</v>
      </c>
      <c r="Q220" s="24" t="e">
        <f ca="1">IF(AND((Q171&gt;'Единичные ставки+критерии'!$H$2),((Q185+Q186)&gt;='Единичные ставки+критерии'!$K$2)), 1, 0)</f>
        <v>#VALUE!</v>
      </c>
      <c r="R220" s="24" t="e">
        <f ca="1">IF(AND((R171&gt;'Единичные ставки+критерии'!$H$2),((R185+R186)&gt;='Единичные ставки+критерии'!$K$2)), 1, 0)</f>
        <v>#VALUE!</v>
      </c>
      <c r="S220" s="24" t="e">
        <f ca="1">IF(AND((S171&gt;'Единичные ставки+критерии'!$H$2),((S185+S186)&gt;='Единичные ставки+критерии'!$K$2)), 1, 0)</f>
        <v>#VALUE!</v>
      </c>
      <c r="T220" s="24" t="e">
        <f ca="1">IF(AND((T171&gt;'Единичные ставки+критерии'!$H$2),((T185+T186)&gt;='Единичные ставки+критерии'!$K$2)), 1, 0)</f>
        <v>#VALUE!</v>
      </c>
      <c r="U220" s="24" t="e">
        <f ca="1">IF(AND((U171&gt;'Единичные ставки+критерии'!$H$2),((U185+U186)&gt;='Единичные ставки+критерии'!$K$2)), 1, 0)</f>
        <v>#VALUE!</v>
      </c>
      <c r="V220" s="24" t="e">
        <f ca="1">IF(AND((V171&gt;'Единичные ставки+критерии'!$H$2),((V185+V186)&gt;='Единичные ставки+критерии'!$K$2)), 1, 0)</f>
        <v>#VALUE!</v>
      </c>
      <c r="W220" s="24" t="e">
        <f ca="1">IF(AND((W171&gt;'Единичные ставки+критерии'!$H$2),((W185+W186)&gt;='Единичные ставки+критерии'!$K$2)), 1, 0)</f>
        <v>#VALUE!</v>
      </c>
      <c r="X220" s="24" t="e">
        <f ca="1">IF(AND((X171&gt;'Единичные ставки+критерии'!$H$2),((X185+X186)&gt;='Единичные ставки+критерии'!$K$2)), 1, 0)</f>
        <v>#VALUE!</v>
      </c>
      <c r="Y220" s="24" t="e">
        <f ca="1">IF(AND((Y171&gt;'Единичные ставки+критерии'!$H$2),((Y185+Y186)&gt;='Единичные ставки+критерии'!$K$2)), 1, 0)</f>
        <v>#VALUE!</v>
      </c>
      <c r="Z220" s="24" t="e">
        <f ca="1">IF(AND((Z171&gt;'Единичные ставки+критерии'!$H$2),((Z185+Z186)&gt;='Единичные ставки+критерии'!$K$2)), 1, 0)</f>
        <v>#VALUE!</v>
      </c>
      <c r="AA220" s="24" t="e">
        <f ca="1">IF(AND((AA171&gt;'Единичные ставки+критерии'!$H$2),((AA185+AA186)&gt;='Единичные ставки+критерии'!$K$2)), 1, 0)</f>
        <v>#VALUE!</v>
      </c>
      <c r="AB220" s="24" t="e">
        <f ca="1">IF(AND((AB171&gt;'Единичные ставки+критерии'!$H$2),((AB185+AB186)&gt;='Единичные ставки+критерии'!$K$2)), 1, 0)</f>
        <v>#VALUE!</v>
      </c>
      <c r="AC220" s="24" t="e">
        <f ca="1">IF(AND((AC171&gt;'Единичные ставки+критерии'!$H$2),((AC185+AC186)&gt;='Единичные ставки+критерии'!$K$2)), 1, 0)</f>
        <v>#VALUE!</v>
      </c>
      <c r="AD220" s="24" t="e">
        <f ca="1">IF(AND((AD171&gt;'Единичные ставки+критерии'!$H$2),((AD185+AD186)&gt;='Единичные ставки+критерии'!$K$2)), 1, 0)</f>
        <v>#VALUE!</v>
      </c>
      <c r="AE220" s="24" t="e">
        <f ca="1">IF(AND((AE171&gt;'Единичные ставки+критерии'!$H$2),((AE185+AE186)&gt;='Единичные ставки+критерии'!$K$2)), 1, 0)</f>
        <v>#VALUE!</v>
      </c>
      <c r="AF220" s="24" t="e">
        <f ca="1">IF(AND((AF171&gt;'Единичные ставки+критерии'!$H$2),((AF185+AF186)&gt;='Единичные ставки+критерии'!$K$2)), 1, 0)</f>
        <v>#VALUE!</v>
      </c>
      <c r="AG220" s="24" t="e">
        <f ca="1">IF(AND((AG171&gt;'Единичные ставки+критерии'!$H$2),((AG185+AG186)&gt;='Единичные ставки+критерии'!$K$2)), 1, 0)</f>
        <v>#VALUE!</v>
      </c>
      <c r="AH220" s="24" t="e">
        <f ca="1">IF(AND((AH171&gt;'Единичные ставки+критерии'!$H$2),((AH185+AH186)&gt;='Единичные ставки+критерии'!$K$2)), 1, 0)</f>
        <v>#VALUE!</v>
      </c>
      <c r="AI220" s="24" t="e">
        <f ca="1">IF(AND((AI171&gt;'Единичные ставки+критерии'!$H$2),((AI185+AI186)&gt;='Единичные ставки+критерии'!$K$2)), 1, 0)</f>
        <v>#VALUE!</v>
      </c>
      <c r="AJ220" s="24" t="e">
        <f ca="1">IF(AND((AJ171&gt;'Единичные ставки+критерии'!$H$2),((AJ185+AJ186)&gt;='Единичные ставки+критерии'!$K$2)), 1, 0)</f>
        <v>#VALUE!</v>
      </c>
      <c r="AK220" s="24" t="e">
        <f ca="1">IF(AND((AK171&gt;'Единичные ставки+критерии'!$H$2),((AK185+AK186)&gt;='Единичные ставки+критерии'!$K$2)), 1, 0)</f>
        <v>#VALUE!</v>
      </c>
      <c r="AL220" s="24" t="e">
        <f ca="1">IF(AND((AL171&gt;'Единичные ставки+критерии'!$H$2),((AL185+AL186)&gt;='Единичные ставки+критерии'!$K$2)), 1, 0)</f>
        <v>#VALUE!</v>
      </c>
      <c r="AM220" s="24" t="e">
        <f ca="1">IF(AND((AM171&gt;'Единичные ставки+критерии'!$H$2),((AM185+AM186)&gt;='Единичные ставки+критерии'!$K$2)), 1, 0)</f>
        <v>#VALUE!</v>
      </c>
      <c r="AN220" s="24" t="e">
        <f ca="1">IF(AND((AN171&gt;'Единичные ставки+критерии'!$H$2),((AN185+AN186)&gt;='Единичные ставки+критерии'!$K$2)), 1, 0)</f>
        <v>#VALUE!</v>
      </c>
      <c r="AO220" s="24" t="e">
        <f ca="1">IF(AND((AO171&gt;'Единичные ставки+критерии'!$H$2),((AO185+AO186)&gt;='Единичные ставки+критерии'!$K$2)), 1, 0)</f>
        <v>#VALUE!</v>
      </c>
      <c r="AP220" s="24" t="e">
        <f ca="1">IF(AND((AP171&gt;'Единичные ставки+критерии'!$H$2),((AP185+AP186)&gt;='Единичные ставки+критерии'!$K$2)), 1, 0)</f>
        <v>#VALUE!</v>
      </c>
    </row>
    <row r="221" spans="1:42" s="195" customFormat="1" x14ac:dyDescent="0.25">
      <c r="A221" s="199" t="s">
        <v>261</v>
      </c>
      <c r="B221" s="193">
        <f ca="1">B199</f>
        <v>172.60511136845847</v>
      </c>
      <c r="C221" s="193">
        <f t="shared" ref="C221:AP221" ca="1" si="666">C199</f>
        <v>326.20039913337553</v>
      </c>
      <c r="D221" s="193">
        <f t="shared" ca="1" si="666"/>
        <v>248.51867400623217</v>
      </c>
      <c r="E221" s="193">
        <f t="shared" ca="1" si="666"/>
        <v>322.23777944816015</v>
      </c>
      <c r="F221" s="193">
        <f t="shared" ca="1" si="666"/>
        <v>856.30891878145553</v>
      </c>
      <c r="G221" s="193">
        <f t="shared" ca="1" si="666"/>
        <v>186.0316009876604</v>
      </c>
      <c r="H221" s="193">
        <f t="shared" ca="1" si="666"/>
        <v>191.68678559574508</v>
      </c>
      <c r="I221" s="193">
        <f t="shared" ca="1" si="666"/>
        <v>673.51333592338938</v>
      </c>
      <c r="J221" s="193">
        <f t="shared" ca="1" si="666"/>
        <v>335.66426906736206</v>
      </c>
      <c r="K221" s="193" t="e">
        <f t="shared" ca="1" si="666"/>
        <v>#VALUE!</v>
      </c>
      <c r="L221" s="193" t="e">
        <f t="shared" ca="1" si="666"/>
        <v>#VALUE!</v>
      </c>
      <c r="M221" s="193" t="e">
        <f t="shared" ca="1" si="666"/>
        <v>#VALUE!</v>
      </c>
      <c r="N221" s="193" t="e">
        <f t="shared" ca="1" si="666"/>
        <v>#VALUE!</v>
      </c>
      <c r="O221" s="193" t="e">
        <f t="shared" ca="1" si="666"/>
        <v>#VALUE!</v>
      </c>
      <c r="P221" s="193" t="e">
        <f t="shared" ca="1" si="666"/>
        <v>#VALUE!</v>
      </c>
      <c r="Q221" s="193" t="e">
        <f t="shared" ca="1" si="666"/>
        <v>#VALUE!</v>
      </c>
      <c r="R221" s="193" t="e">
        <f t="shared" ca="1" si="666"/>
        <v>#VALUE!</v>
      </c>
      <c r="S221" s="193" t="e">
        <f t="shared" ca="1" si="666"/>
        <v>#VALUE!</v>
      </c>
      <c r="T221" s="193" t="e">
        <f t="shared" ca="1" si="666"/>
        <v>#VALUE!</v>
      </c>
      <c r="U221" s="193" t="e">
        <f t="shared" ca="1" si="666"/>
        <v>#VALUE!</v>
      </c>
      <c r="V221" s="193" t="e">
        <f t="shared" ca="1" si="666"/>
        <v>#VALUE!</v>
      </c>
      <c r="W221" s="193" t="e">
        <f t="shared" ca="1" si="666"/>
        <v>#VALUE!</v>
      </c>
      <c r="X221" s="193" t="e">
        <f t="shared" ca="1" si="666"/>
        <v>#VALUE!</v>
      </c>
      <c r="Y221" s="193" t="e">
        <f t="shared" ca="1" si="666"/>
        <v>#VALUE!</v>
      </c>
      <c r="Z221" s="193" t="e">
        <f t="shared" ca="1" si="666"/>
        <v>#VALUE!</v>
      </c>
      <c r="AA221" s="193" t="e">
        <f t="shared" ca="1" si="666"/>
        <v>#VALUE!</v>
      </c>
      <c r="AB221" s="193" t="e">
        <f t="shared" ca="1" si="666"/>
        <v>#VALUE!</v>
      </c>
      <c r="AC221" s="193" t="e">
        <f t="shared" ca="1" si="666"/>
        <v>#VALUE!</v>
      </c>
      <c r="AD221" s="193" t="e">
        <f t="shared" ca="1" si="666"/>
        <v>#VALUE!</v>
      </c>
      <c r="AE221" s="193" t="e">
        <f t="shared" ca="1" si="666"/>
        <v>#VALUE!</v>
      </c>
      <c r="AF221" s="193" t="e">
        <f t="shared" ca="1" si="666"/>
        <v>#VALUE!</v>
      </c>
      <c r="AG221" s="193" t="e">
        <f t="shared" ca="1" si="666"/>
        <v>#VALUE!</v>
      </c>
      <c r="AH221" s="193" t="e">
        <f t="shared" ca="1" si="666"/>
        <v>#VALUE!</v>
      </c>
      <c r="AI221" s="193" t="e">
        <f t="shared" ca="1" si="666"/>
        <v>#VALUE!</v>
      </c>
      <c r="AJ221" s="193" t="e">
        <f t="shared" ca="1" si="666"/>
        <v>#VALUE!</v>
      </c>
      <c r="AK221" s="193" t="e">
        <f t="shared" ca="1" si="666"/>
        <v>#VALUE!</v>
      </c>
      <c r="AL221" s="193" t="e">
        <f t="shared" ca="1" si="666"/>
        <v>#VALUE!</v>
      </c>
      <c r="AM221" s="193" t="e">
        <f t="shared" ca="1" si="666"/>
        <v>#VALUE!</v>
      </c>
      <c r="AN221" s="193" t="e">
        <f t="shared" ca="1" si="666"/>
        <v>#VALUE!</v>
      </c>
      <c r="AO221" s="193" t="e">
        <f t="shared" ca="1" si="666"/>
        <v>#VALUE!</v>
      </c>
      <c r="AP221" s="193" t="e">
        <f t="shared" ca="1" si="666"/>
        <v>#VALUE!</v>
      </c>
    </row>
    <row r="222" spans="1:42" x14ac:dyDescent="0.25">
      <c r="A222" s="202" t="s">
        <v>318</v>
      </c>
      <c r="B222" s="138">
        <f ca="1">SUM(B215:B220)</f>
        <v>0</v>
      </c>
      <c r="C222" s="138">
        <f ca="1">B222+SUM(C215:C220)</f>
        <v>1</v>
      </c>
      <c r="D222" s="138">
        <f t="shared" ref="D222:AP222" ca="1" si="667">C222+SUM(D215:D220)</f>
        <v>2</v>
      </c>
      <c r="E222" s="138">
        <f t="shared" ca="1" si="667"/>
        <v>2</v>
      </c>
      <c r="F222" s="138">
        <f t="shared" ca="1" si="667"/>
        <v>4</v>
      </c>
      <c r="G222" s="138">
        <f t="shared" ca="1" si="667"/>
        <v>5</v>
      </c>
      <c r="H222" s="138">
        <f t="shared" ca="1" si="667"/>
        <v>5</v>
      </c>
      <c r="I222" s="138">
        <f t="shared" ca="1" si="667"/>
        <v>6</v>
      </c>
      <c r="J222" s="138">
        <f t="shared" ca="1" si="667"/>
        <v>7</v>
      </c>
      <c r="K222" s="138" t="e">
        <f t="shared" ca="1" si="667"/>
        <v>#VALUE!</v>
      </c>
      <c r="L222" s="138" t="e">
        <f t="shared" ca="1" si="667"/>
        <v>#VALUE!</v>
      </c>
      <c r="M222" s="138" t="e">
        <f t="shared" ca="1" si="667"/>
        <v>#VALUE!</v>
      </c>
      <c r="N222" s="138" t="e">
        <f t="shared" ca="1" si="667"/>
        <v>#VALUE!</v>
      </c>
      <c r="O222" s="138" t="e">
        <f t="shared" ca="1" si="667"/>
        <v>#VALUE!</v>
      </c>
      <c r="P222" s="138" t="e">
        <f t="shared" ca="1" si="667"/>
        <v>#VALUE!</v>
      </c>
      <c r="Q222" s="138" t="e">
        <f t="shared" ca="1" si="667"/>
        <v>#VALUE!</v>
      </c>
      <c r="R222" s="138" t="e">
        <f t="shared" ca="1" si="667"/>
        <v>#VALUE!</v>
      </c>
      <c r="S222" s="138" t="e">
        <f t="shared" ca="1" si="667"/>
        <v>#VALUE!</v>
      </c>
      <c r="T222" s="138" t="e">
        <f t="shared" ca="1" si="667"/>
        <v>#VALUE!</v>
      </c>
      <c r="U222" s="138" t="e">
        <f t="shared" ca="1" si="667"/>
        <v>#VALUE!</v>
      </c>
      <c r="V222" s="138" t="e">
        <f t="shared" ca="1" si="667"/>
        <v>#VALUE!</v>
      </c>
      <c r="W222" s="138" t="e">
        <f t="shared" ca="1" si="667"/>
        <v>#VALUE!</v>
      </c>
      <c r="X222" s="138" t="e">
        <f t="shared" ca="1" si="667"/>
        <v>#VALUE!</v>
      </c>
      <c r="Y222" s="138" t="e">
        <f t="shared" ca="1" si="667"/>
        <v>#VALUE!</v>
      </c>
      <c r="Z222" s="138" t="e">
        <f t="shared" ca="1" si="667"/>
        <v>#VALUE!</v>
      </c>
      <c r="AA222" s="138" t="e">
        <f t="shared" ca="1" si="667"/>
        <v>#VALUE!</v>
      </c>
      <c r="AB222" s="138" t="e">
        <f t="shared" ca="1" si="667"/>
        <v>#VALUE!</v>
      </c>
      <c r="AC222" s="138" t="e">
        <f t="shared" ca="1" si="667"/>
        <v>#VALUE!</v>
      </c>
      <c r="AD222" s="138" t="e">
        <f t="shared" ca="1" si="667"/>
        <v>#VALUE!</v>
      </c>
      <c r="AE222" s="138" t="e">
        <f t="shared" ca="1" si="667"/>
        <v>#VALUE!</v>
      </c>
      <c r="AF222" s="138" t="e">
        <f t="shared" ca="1" si="667"/>
        <v>#VALUE!</v>
      </c>
      <c r="AG222" s="138" t="e">
        <f t="shared" ca="1" si="667"/>
        <v>#VALUE!</v>
      </c>
      <c r="AH222" s="138" t="e">
        <f t="shared" ca="1" si="667"/>
        <v>#VALUE!</v>
      </c>
      <c r="AI222" s="138" t="e">
        <f t="shared" ca="1" si="667"/>
        <v>#VALUE!</v>
      </c>
      <c r="AJ222" s="138" t="e">
        <f t="shared" ca="1" si="667"/>
        <v>#VALUE!</v>
      </c>
      <c r="AK222" s="138" t="e">
        <f t="shared" ca="1" si="667"/>
        <v>#VALUE!</v>
      </c>
      <c r="AL222" s="138" t="e">
        <f t="shared" ca="1" si="667"/>
        <v>#VALUE!</v>
      </c>
      <c r="AM222" s="138" t="e">
        <f t="shared" ca="1" si="667"/>
        <v>#VALUE!</v>
      </c>
      <c r="AN222" s="138" t="e">
        <f t="shared" ca="1" si="667"/>
        <v>#VALUE!</v>
      </c>
      <c r="AO222" s="138" t="e">
        <f t="shared" ca="1" si="667"/>
        <v>#VALUE!</v>
      </c>
      <c r="AP222" s="138" t="e">
        <f t="shared" ca="1" si="667"/>
        <v>#VALUE!</v>
      </c>
    </row>
    <row r="223" spans="1:42" s="206" customFormat="1" x14ac:dyDescent="0.25">
      <c r="A223" s="202" t="s">
        <v>319</v>
      </c>
      <c r="B223" s="196">
        <f ca="1">B210</f>
        <v>2.5944297313984462E-2</v>
      </c>
      <c r="C223" s="196">
        <f ca="1">B223+C210</f>
        <v>0.19345625135105923</v>
      </c>
      <c r="D223" s="196">
        <f t="shared" ref="D223:AP223" ca="1" si="668">C223+D210</f>
        <v>0.21940054866504369</v>
      </c>
      <c r="E223" s="196">
        <f t="shared" ca="1" si="668"/>
        <v>0.24534484597902814</v>
      </c>
      <c r="F223" s="196">
        <f t="shared" ca="1" si="668"/>
        <v>0.87030787113756347</v>
      </c>
      <c r="G223" s="196">
        <f t="shared" ca="1" si="668"/>
        <v>0.89625216845154798</v>
      </c>
      <c r="H223" s="196">
        <f t="shared" ca="1" si="668"/>
        <v>0.92219646576553249</v>
      </c>
      <c r="I223" s="196">
        <f t="shared" ca="1" si="668"/>
        <v>1.6931674799493015</v>
      </c>
      <c r="J223" s="196">
        <f t="shared" ca="1" si="668"/>
        <v>1.719111777263286</v>
      </c>
      <c r="K223" s="196" t="e">
        <f t="shared" ca="1" si="668"/>
        <v>#VALUE!</v>
      </c>
      <c r="L223" s="196" t="e">
        <f t="shared" ca="1" si="668"/>
        <v>#VALUE!</v>
      </c>
      <c r="M223" s="196" t="e">
        <f t="shared" ca="1" si="668"/>
        <v>#VALUE!</v>
      </c>
      <c r="N223" s="196" t="e">
        <f t="shared" ca="1" si="668"/>
        <v>#VALUE!</v>
      </c>
      <c r="O223" s="196" t="e">
        <f t="shared" ca="1" si="668"/>
        <v>#VALUE!</v>
      </c>
      <c r="P223" s="196" t="e">
        <f t="shared" ca="1" si="668"/>
        <v>#VALUE!</v>
      </c>
      <c r="Q223" s="196" t="e">
        <f t="shared" ca="1" si="668"/>
        <v>#VALUE!</v>
      </c>
      <c r="R223" s="196" t="e">
        <f t="shared" ca="1" si="668"/>
        <v>#VALUE!</v>
      </c>
      <c r="S223" s="196" t="e">
        <f t="shared" ca="1" si="668"/>
        <v>#VALUE!</v>
      </c>
      <c r="T223" s="196" t="e">
        <f t="shared" ca="1" si="668"/>
        <v>#VALUE!</v>
      </c>
      <c r="U223" s="196" t="e">
        <f t="shared" ca="1" si="668"/>
        <v>#VALUE!</v>
      </c>
      <c r="V223" s="196" t="e">
        <f t="shared" ca="1" si="668"/>
        <v>#VALUE!</v>
      </c>
      <c r="W223" s="196" t="e">
        <f t="shared" ca="1" si="668"/>
        <v>#VALUE!</v>
      </c>
      <c r="X223" s="196" t="e">
        <f t="shared" ca="1" si="668"/>
        <v>#VALUE!</v>
      </c>
      <c r="Y223" s="196" t="e">
        <f t="shared" ca="1" si="668"/>
        <v>#VALUE!</v>
      </c>
      <c r="Z223" s="196" t="e">
        <f t="shared" ca="1" si="668"/>
        <v>#VALUE!</v>
      </c>
      <c r="AA223" s="196" t="e">
        <f t="shared" ca="1" si="668"/>
        <v>#VALUE!</v>
      </c>
      <c r="AB223" s="196" t="e">
        <f t="shared" ca="1" si="668"/>
        <v>#VALUE!</v>
      </c>
      <c r="AC223" s="196" t="e">
        <f t="shared" ca="1" si="668"/>
        <v>#VALUE!</v>
      </c>
      <c r="AD223" s="196" t="e">
        <f t="shared" ca="1" si="668"/>
        <v>#VALUE!</v>
      </c>
      <c r="AE223" s="196" t="e">
        <f t="shared" ca="1" si="668"/>
        <v>#VALUE!</v>
      </c>
      <c r="AF223" s="196" t="e">
        <f t="shared" ca="1" si="668"/>
        <v>#VALUE!</v>
      </c>
      <c r="AG223" s="196" t="e">
        <f t="shared" ca="1" si="668"/>
        <v>#VALUE!</v>
      </c>
      <c r="AH223" s="196" t="e">
        <f t="shared" ca="1" si="668"/>
        <v>#VALUE!</v>
      </c>
      <c r="AI223" s="196" t="e">
        <f t="shared" ca="1" si="668"/>
        <v>#VALUE!</v>
      </c>
      <c r="AJ223" s="196" t="e">
        <f t="shared" ca="1" si="668"/>
        <v>#VALUE!</v>
      </c>
      <c r="AK223" s="196" t="e">
        <f t="shared" ca="1" si="668"/>
        <v>#VALUE!</v>
      </c>
      <c r="AL223" s="196" t="e">
        <f t="shared" ca="1" si="668"/>
        <v>#VALUE!</v>
      </c>
      <c r="AM223" s="196" t="e">
        <f t="shared" ca="1" si="668"/>
        <v>#VALUE!</v>
      </c>
      <c r="AN223" s="196" t="e">
        <f t="shared" ca="1" si="668"/>
        <v>#VALUE!</v>
      </c>
      <c r="AO223" s="196" t="e">
        <f t="shared" ca="1" si="668"/>
        <v>#VALUE!</v>
      </c>
      <c r="AP223" s="196" t="e">
        <f t="shared" ca="1" si="668"/>
        <v>#VALUE!</v>
      </c>
    </row>
    <row r="224" spans="1:42" ht="63.75" customHeight="1" x14ac:dyDescent="0.25">
      <c r="A224" s="203" t="s">
        <v>320</v>
      </c>
      <c r="B224" s="102">
        <f ca="1">B215*'Единичные ставки+критерии'!$G$8+B216*'Единичные ставки+критерии'!$G$6+B217*'Единичные ставки+критерии'!$G$4+'типовая конструкция'!B218*'Единичные ставки+критерии'!$G$5+'типовая конструкция'!B219*'Единичные ставки+критерии'!$G$5+'типовая конструкция'!B220*'Единичные ставки+критерии'!$G$2+'типовая конструкция'!B221</f>
        <v>172.60511136845847</v>
      </c>
      <c r="C224" s="102">
        <f ca="1">IF(B220=0, (C215*'Единичные ставки+критерии'!$G$8+C216*'Единичные ставки+критерии'!$G$6+C217*'Единичные ставки+критерии'!$G$4+'типовая конструкция'!C218*'Единичные ставки+критерии'!$G$5+'типовая конструкция'!C219*'Единичные ставки+критерии'!$G$5+'типовая конструкция'!C220*'Единичные ставки+критерии'!$G$2+'типовая конструкция'!C221), 0)</f>
        <v>2826.2003991333754</v>
      </c>
      <c r="D224" s="217">
        <f ca="1">IF(C220=0, (D215*'Единичные ставки+критерии'!$G$8+D216*'Единичные ставки+критерии'!$G$6+D217*'Единичные ставки+критерии'!$G$4+'типовая конструкция'!D218*'Единичные ставки+критерии'!$G$5+'типовая конструкция'!D219*'Единичные ставки+критерии'!$G$5+'типовая конструкция'!D220*'Единичные ставки+критерии'!$G$2+'типовая конструкция'!D221), "конец жизненного цикла")</f>
        <v>4507.7576740062314</v>
      </c>
      <c r="E224" s="217">
        <f ca="1">IF(D220=0, (E215*'Единичные ставки+критерии'!$G$8+E216*'Единичные ставки+критерии'!$G$6+E217*'Единичные ставки+критерии'!$G$4+'типовая конструкция'!E218*'Единичные ставки+критерии'!$G$5+'типовая конструкция'!E219*'Единичные ставки+критерии'!$G$5+'типовая конструкция'!E220*'Единичные ставки+критерии'!$G$2+'типовая конструкция'!E221), "конец жизненного цикла")</f>
        <v>322.23777944816015</v>
      </c>
      <c r="F224" s="217">
        <f ca="1">IF(E220=0, (F215*'Единичные ставки+критерии'!$G$8+F216*'Единичные ставки+критерии'!$G$6+F217*'Единичные ставки+критерии'!$G$4+'типовая конструкция'!F218*'Единичные ставки+критерии'!$G$5+'типовая конструкция'!F219*'Единичные ставки+критерии'!$G$5+'типовая конструкция'!F220*'Единичные ставки+критерии'!$G$2+'типовая конструкция'!F221), "конец жизненного цикла")</f>
        <v>13104.081918781454</v>
      </c>
      <c r="G224" s="217">
        <f ca="1">IF(F220=0, (G215*'Единичные ставки+критерии'!$G$8+G216*'Единичные ставки+критерии'!$G$6+G217*'Единичные ставки+критерии'!$G$4+'типовая конструкция'!G218*'Единичные ставки+критерии'!$G$5+'типовая конструкция'!G219*'Единичные ставки+критерии'!$G$5+'типовая конструкция'!G220*'Единичные ставки+критерии'!$G$2+'типовая конструкция'!G221), "конец жизненного цикла")</f>
        <v>4445.2706009876601</v>
      </c>
      <c r="H224" s="217">
        <f ca="1">IF(G220=0, (H215*'Единичные ставки+критерии'!$G$8+H216*'Единичные ставки+критерии'!$G$6+H217*'Единичные ставки+критерии'!$G$4+'типовая конструкция'!H218*'Единичные ставки+критерии'!$G$5+'типовая конструкция'!H219*'Единичные ставки+критерии'!$G$5+'типовая конструкция'!H220*'Единичные ставки+критерии'!$G$2+'типовая конструкция'!H221), "конец жизненного цикла")</f>
        <v>191.68678559574508</v>
      </c>
      <c r="I224" s="217">
        <f ca="1">IF(H220=0, (I215*'Единичные ставки+критерии'!$G$8+I216*'Единичные ставки+критерии'!$G$6+I217*'Единичные ставки+критерии'!$G$4+'типовая конструкция'!I218*'Единичные ставки+критерии'!$G$5+'типовая конструкция'!I219*'Единичные ставки+критерии'!$G$5+'типовая конструкция'!I220*'Единичные ставки+критерии'!$G$2+'типовая конструкция'!I221), "конец жизненного цикла")</f>
        <v>3173.5133359233896</v>
      </c>
      <c r="J224" s="217">
        <f ca="1">IF(I220=0, (J215*'Единичные ставки+критерии'!$G$8+J216*'Единичные ставки+критерии'!$G$6+J217*'Единичные ставки+критерии'!$G$4+'типовая конструкция'!J218*'Единичные ставки+критерии'!$G$5+'типовая конструкция'!J219*'Единичные ставки+критерии'!$G$5+'типовая конструкция'!J220*'Единичные ставки+критерии'!$G$2+'типовая конструкция'!J221), "конец жизненного цикла")</f>
        <v>35335.664269067362</v>
      </c>
      <c r="K224" s="217" t="str">
        <f ca="1">IF(J220=0, (K215*'Единичные ставки+критерии'!$G$8+K216*'Единичные ставки+критерии'!$G$6+K217*'Единичные ставки+критерии'!$G$4+'типовая конструкция'!K218*'Единичные ставки+критерии'!$G$5+'типовая конструкция'!K219*'Единичные ставки+критерии'!$G$5+'типовая конструкция'!K220*'Единичные ставки+критерии'!$G$2+'типовая конструкция'!K221), "конец жизненного цикла")</f>
        <v>конец жизненного цикла</v>
      </c>
      <c r="L224" s="217" t="e">
        <f ca="1">IF(K220=0, (L215*'Единичные ставки+критерии'!$G$8+L216*'Единичные ставки+критерии'!$G$6+L217*'Единичные ставки+критерии'!$G$4+'типовая конструкция'!L218*'Единичные ставки+критерии'!$G$5+'типовая конструкция'!L219*'Единичные ставки+критерии'!$G$5+'типовая конструкция'!L220*'Единичные ставки+критерии'!$G$2+'типовая конструкция'!L221), "конец жизненного цикла")</f>
        <v>#VALUE!</v>
      </c>
      <c r="M224" s="217" t="e">
        <f ca="1">IF(L220=0, (M215*'Единичные ставки+критерии'!$G$8+M216*'Единичные ставки+критерии'!$G$6+M217*'Единичные ставки+критерии'!$G$4+'типовая конструкция'!M218*'Единичные ставки+критерии'!$G$5+'типовая конструкция'!M219*'Единичные ставки+критерии'!$G$5+'типовая конструкция'!M220*'Единичные ставки+критерии'!$G$2+'типовая конструкция'!M221), "конец жизненного цикла")</f>
        <v>#VALUE!</v>
      </c>
      <c r="N224" s="217" t="e">
        <f ca="1">IF(M220=0, (N215*'Единичные ставки+критерии'!$G$8+N216*'Единичные ставки+критерии'!$G$6+N217*'Единичные ставки+критерии'!$G$4+'типовая конструкция'!N218*'Единичные ставки+критерии'!$G$5+'типовая конструкция'!N219*'Единичные ставки+критерии'!$G$5+'типовая конструкция'!N220*'Единичные ставки+критерии'!$G$2+'типовая конструкция'!N221), "конец жизненного цикла")</f>
        <v>#VALUE!</v>
      </c>
      <c r="O224" s="217" t="e">
        <f ca="1">IF(N220=0, (O215*'Единичные ставки+критерии'!$G$8+O216*'Единичные ставки+критерии'!$G$6+O217*'Единичные ставки+критерии'!$G$4+'типовая конструкция'!O218*'Единичные ставки+критерии'!$G$5+'типовая конструкция'!O219*'Единичные ставки+критерии'!$G$5+'типовая конструкция'!O220*'Единичные ставки+критерии'!$G$2+'типовая конструкция'!O221), "конец жизненного цикла")</f>
        <v>#VALUE!</v>
      </c>
      <c r="P224" s="217" t="e">
        <f ca="1">IF(O220=0, (P215*'Единичные ставки+критерии'!$G$8+P216*'Единичные ставки+критерии'!$G$6+P217*'Единичные ставки+критерии'!$G$4+'типовая конструкция'!P218*'Единичные ставки+критерии'!$G$5+'типовая конструкция'!P219*'Единичные ставки+критерии'!$G$5+'типовая конструкция'!P220*'Единичные ставки+критерии'!$G$2+'типовая конструкция'!P221), "конец жизненного цикла")</f>
        <v>#VALUE!</v>
      </c>
      <c r="Q224" s="217" t="e">
        <f ca="1">IF(P220=0, (Q215*'Единичные ставки+критерии'!$G$8+Q216*'Единичные ставки+критерии'!$G$6+Q217*'Единичные ставки+критерии'!$G$4+'типовая конструкция'!Q218*'Единичные ставки+критерии'!$G$5+'типовая конструкция'!Q219*'Единичные ставки+критерии'!$G$5+'типовая конструкция'!Q220*'Единичные ставки+критерии'!$G$2+'типовая конструкция'!Q221), "конец жизненного цикла")</f>
        <v>#VALUE!</v>
      </c>
      <c r="R224" s="217" t="e">
        <f ca="1">IF(Q220=0, (R215*'Единичные ставки+критерии'!$G$8+R216*'Единичные ставки+критерии'!$G$6+R217*'Единичные ставки+критерии'!$G$4+'типовая конструкция'!R218*'Единичные ставки+критерии'!$G$5+'типовая конструкция'!R219*'Единичные ставки+критерии'!$G$5+'типовая конструкция'!R220*'Единичные ставки+критерии'!$G$2+'типовая конструкция'!R221), "конец жизненного цикла")</f>
        <v>#VALUE!</v>
      </c>
      <c r="S224" s="217" t="e">
        <f ca="1">IF(R220=0, (S215*'Единичные ставки+критерии'!$G$8+S216*'Единичные ставки+критерии'!$G$6+S217*'Единичные ставки+критерии'!$G$4+'типовая конструкция'!S218*'Единичные ставки+критерии'!$G$5+'типовая конструкция'!S219*'Единичные ставки+критерии'!$G$5+'типовая конструкция'!S220*'Единичные ставки+критерии'!$G$2+'типовая конструкция'!S221), "конец жизненного цикла")</f>
        <v>#VALUE!</v>
      </c>
      <c r="T224" s="217" t="e">
        <f ca="1">IF(S220=0, (T215*'Единичные ставки+критерии'!$G$8+T216*'Единичные ставки+критерии'!$G$6+T217*'Единичные ставки+критерии'!$G$4+'типовая конструкция'!T218*'Единичные ставки+критерии'!$G$5+'типовая конструкция'!T219*'Единичные ставки+критерии'!$G$5+'типовая конструкция'!T220*'Единичные ставки+критерии'!$G$2+'типовая конструкция'!T221), "конец жизненного цикла")</f>
        <v>#VALUE!</v>
      </c>
      <c r="U224" s="217" t="e">
        <f ca="1">IF(T220=0, (U215*'Единичные ставки+критерии'!$G$8+U216*'Единичные ставки+критерии'!$G$6+U217*'Единичные ставки+критерии'!$G$4+'типовая конструкция'!U218*'Единичные ставки+критерии'!$G$5+'типовая конструкция'!U219*'Единичные ставки+критерии'!$G$5+'типовая конструкция'!U220*'Единичные ставки+критерии'!$G$2+'типовая конструкция'!U221), "конец жизненного цикла")</f>
        <v>#VALUE!</v>
      </c>
      <c r="V224" s="217" t="e">
        <f ca="1">IF(U220=0, (V215*'Единичные ставки+критерии'!$G$8+V216*'Единичные ставки+критерии'!$G$6+V217*'Единичные ставки+критерии'!$G$4+'типовая конструкция'!V218*'Единичные ставки+критерии'!$G$5+'типовая конструкция'!V219*'Единичные ставки+критерии'!$G$5+'типовая конструкция'!V220*'Единичные ставки+критерии'!$G$2+'типовая конструкция'!V221), "конец жизненного цикла")</f>
        <v>#VALUE!</v>
      </c>
      <c r="W224" s="217" t="e">
        <f ca="1">IF(V220=0, (W215*'Единичные ставки+критерии'!$G$8+W216*'Единичные ставки+критерии'!$G$6+W217*'Единичные ставки+критерии'!$G$4+'типовая конструкция'!W218*'Единичные ставки+критерии'!$G$5+'типовая конструкция'!W219*'Единичные ставки+критерии'!$G$5+'типовая конструкция'!W220*'Единичные ставки+критерии'!$G$2+'типовая конструкция'!W221), "конец жизненного цикла")</f>
        <v>#VALUE!</v>
      </c>
      <c r="X224" s="217" t="e">
        <f ca="1">IF(W220=0, (X215*'Единичные ставки+критерии'!$G$8+X216*'Единичные ставки+критерии'!$G$6+X217*'Единичные ставки+критерии'!$G$4+'типовая конструкция'!X218*'Единичные ставки+критерии'!$G$5+'типовая конструкция'!X219*'Единичные ставки+критерии'!$G$5+'типовая конструкция'!X220*'Единичные ставки+критерии'!$G$2+'типовая конструкция'!X221), "конец жизненного цикла")</f>
        <v>#VALUE!</v>
      </c>
      <c r="Y224" s="217" t="e">
        <f ca="1">IF(X220=0, (Y215*'Единичные ставки+критерии'!$G$8+Y216*'Единичные ставки+критерии'!$G$6+Y217*'Единичные ставки+критерии'!$G$4+'типовая конструкция'!Y218*'Единичные ставки+критерии'!$G$5+'типовая конструкция'!Y219*'Единичные ставки+критерии'!$G$5+'типовая конструкция'!Y220*'Единичные ставки+критерии'!$G$2+'типовая конструкция'!Y221), "конец жизненного цикла")</f>
        <v>#VALUE!</v>
      </c>
      <c r="Z224" s="217" t="e">
        <f ca="1">IF(Y220=0, (Z215*'Единичные ставки+критерии'!$G$8+Z216*'Единичные ставки+критерии'!$G$6+Z217*'Единичные ставки+критерии'!$G$4+'типовая конструкция'!Z218*'Единичные ставки+критерии'!$G$5+'типовая конструкция'!Z219*'Единичные ставки+критерии'!$G$5+'типовая конструкция'!Z220*'Единичные ставки+критерии'!$G$2+'типовая конструкция'!Z221), "конец жизненного цикла")</f>
        <v>#VALUE!</v>
      </c>
      <c r="AA224" s="145" t="e">
        <f ca="1">IF(Z220=0, (AA215*'Единичные ставки+критерии'!$G$8+AA216*'Единичные ставки+критерии'!$G$6+AA217*'Единичные ставки+критерии'!$G$4+'типовая конструкция'!AA218*'Единичные ставки+критерии'!$G$5+'типовая конструкция'!AA219*'Единичные ставки+критерии'!$G$5+'типовая конструкция'!AA220*'Единичные ставки+критерии'!$G$2+'типовая конструкция'!AA221), "конец жизненного цикла")</f>
        <v>#VALUE!</v>
      </c>
      <c r="AB224" s="217" t="e">
        <f ca="1">IF(AA220=0, (AB215*'Единичные ставки+критерии'!$G$8+AB216*'Единичные ставки+критерии'!$G$6+AB217*'Единичные ставки+критерии'!$G$4+'типовая конструкция'!AB218*'Единичные ставки+критерии'!$G$5+'типовая конструкция'!AB219*'Единичные ставки+критерии'!$G$5+'типовая конструкция'!AB220*'Единичные ставки+критерии'!$G$2+'типовая конструкция'!AB221), "конец жизненного цикла")</f>
        <v>#VALUE!</v>
      </c>
      <c r="AC224" s="217" t="e">
        <f ca="1">IF(AB220=0, (AC215*'Единичные ставки+критерии'!$G$8+AC216*'Единичные ставки+критерии'!$G$6+AC217*'Единичные ставки+критерии'!$G$4+'типовая конструкция'!AC218*'Единичные ставки+критерии'!$G$5+'типовая конструкция'!AC219*'Единичные ставки+критерии'!$G$5+'типовая конструкция'!AC220*'Единичные ставки+критерии'!$G$2+'типовая конструкция'!AC221), "конец жизненного цикла")</f>
        <v>#VALUE!</v>
      </c>
      <c r="AD224" s="217" t="e">
        <f ca="1">IF(AC220=0, (AD215*'Единичные ставки+критерии'!$G$8+AD216*'Единичные ставки+критерии'!$G$6+AD217*'Единичные ставки+критерии'!$G$4+'типовая конструкция'!AD218*'Единичные ставки+критерии'!$G$5+'типовая конструкция'!AD219*'Единичные ставки+критерии'!$G$5+'типовая конструкция'!AD220*'Единичные ставки+критерии'!$G$2+'типовая конструкция'!AD221), "конец жизненного цикла")</f>
        <v>#VALUE!</v>
      </c>
      <c r="AE224" s="217" t="e">
        <f ca="1">IF(AD220=0, (AE215*'Единичные ставки+критерии'!$G$8+AE216*'Единичные ставки+критерии'!$G$6+AE217*'Единичные ставки+критерии'!$G$4+'типовая конструкция'!AE218*'Единичные ставки+критерии'!$G$5+'типовая конструкция'!AE219*'Единичные ставки+критерии'!$G$5+'типовая конструкция'!AE220*'Единичные ставки+критерии'!$G$2+'типовая конструкция'!AE221), "конец жизненного цикла")</f>
        <v>#VALUE!</v>
      </c>
      <c r="AF224" s="217" t="e">
        <f ca="1">IF(AE220=0, (AF215*'Единичные ставки+критерии'!$G$8+AF216*'Единичные ставки+критерии'!$G$6+AF217*'Единичные ставки+критерии'!$G$4+'типовая конструкция'!AF218*'Единичные ставки+критерии'!$G$5+'типовая конструкция'!AF219*'Единичные ставки+критерии'!$G$5+'типовая конструкция'!AF220*'Единичные ставки+критерии'!$G$2+'типовая конструкция'!AF221), "конец жизненного цикла")</f>
        <v>#VALUE!</v>
      </c>
      <c r="AG224" s="217" t="e">
        <f ca="1">IF(AF220=0, (AG215*'Единичные ставки+критерии'!$G$8+AG216*'Единичные ставки+критерии'!$G$6+AG217*'Единичные ставки+критерии'!$G$4+'типовая конструкция'!AG218*'Единичные ставки+критерии'!$G$5+'типовая конструкция'!AG219*'Единичные ставки+критерии'!$G$5+'типовая конструкция'!AG220*'Единичные ставки+критерии'!$G$2+'типовая конструкция'!AG221), "конец жизненного цикла")</f>
        <v>#VALUE!</v>
      </c>
      <c r="AH224" s="217" t="e">
        <f ca="1">IF(AG220=0, (AH215*'Единичные ставки+критерии'!$G$8+AH216*'Единичные ставки+критерии'!$G$6+AH217*'Единичные ставки+критерии'!$G$4+'типовая конструкция'!AH218*'Единичные ставки+критерии'!$G$5+'типовая конструкция'!AH219*'Единичные ставки+критерии'!$G$5+'типовая конструкция'!AH220*'Единичные ставки+критерии'!$G$2+'типовая конструкция'!AH221), "конец жизненного цикла")</f>
        <v>#VALUE!</v>
      </c>
      <c r="AI224" s="217" t="e">
        <f ca="1">IF(AH220=0, (AI215*'Единичные ставки+критерии'!$G$8+AI216*'Единичные ставки+критерии'!$G$6+AI217*'Единичные ставки+критерии'!$G$4+'типовая конструкция'!AI218*'Единичные ставки+критерии'!$G$5+'типовая конструкция'!AI219*'Единичные ставки+критерии'!$G$5+'типовая конструкция'!AI220*'Единичные ставки+критерии'!$G$2+'типовая конструкция'!AI221), "конец жизненного цикла")</f>
        <v>#VALUE!</v>
      </c>
      <c r="AJ224" s="217" t="e">
        <f ca="1">IF(AI220=0, (AJ215*'Единичные ставки+критерии'!$G$8+AJ216*'Единичные ставки+критерии'!$G$6+AJ217*'Единичные ставки+критерии'!$G$4+'типовая конструкция'!AJ218*'Единичные ставки+критерии'!$G$5+'типовая конструкция'!AJ219*'Единичные ставки+критерии'!$G$5+'типовая конструкция'!AJ220*'Единичные ставки+критерии'!$G$2+'типовая конструкция'!AJ221), "конец жизненного цикла")</f>
        <v>#VALUE!</v>
      </c>
      <c r="AK224" s="217" t="e">
        <f ca="1">IF(AJ220=0, (AK215*'Единичные ставки+критерии'!$G$8+AK216*'Единичные ставки+критерии'!$G$6+AK217*'Единичные ставки+критерии'!$G$4+'типовая конструкция'!AK218*'Единичные ставки+критерии'!$G$5+'типовая конструкция'!AK219*'Единичные ставки+критерии'!$G$5+'типовая конструкция'!AK220*'Единичные ставки+критерии'!$G$2+'типовая конструкция'!AK221), "конец жизненного цикла")</f>
        <v>#VALUE!</v>
      </c>
      <c r="AL224" s="217" t="e">
        <f ca="1">IF(AK220=0, (AL215*'Единичные ставки+критерии'!$G$8+AL216*'Единичные ставки+критерии'!$G$6+AL217*'Единичные ставки+критерии'!$G$4+'типовая конструкция'!AL218*'Единичные ставки+критерии'!$G$5+'типовая конструкция'!AL219*'Единичные ставки+критерии'!$G$5+'типовая конструкция'!AL220*'Единичные ставки+критерии'!$G$2+'типовая конструкция'!AL221), "конец жизненного цикла")</f>
        <v>#VALUE!</v>
      </c>
      <c r="AM224" s="217" t="e">
        <f ca="1">IF(AL220=0, (AM215*'Единичные ставки+критерии'!$G$8+AM216*'Единичные ставки+критерии'!$G$6+AM217*'Единичные ставки+критерии'!$G$4+'типовая конструкция'!AM218*'Единичные ставки+критерии'!$G$5+'типовая конструкция'!AM219*'Единичные ставки+критерии'!$G$5+'типовая конструкция'!AM220*'Единичные ставки+критерии'!$G$2+'типовая конструкция'!AM221), "конец жизненного цикла")</f>
        <v>#VALUE!</v>
      </c>
      <c r="AN224" s="217" t="e">
        <f ca="1">IF(AM220=0, (AN215*'Единичные ставки+критерии'!$G$8+AN216*'Единичные ставки+критерии'!$G$6+AN217*'Единичные ставки+критерии'!$G$4+'типовая конструкция'!AN218*'Единичные ставки+критерии'!$G$5+'типовая конструкция'!AN219*'Единичные ставки+критерии'!$G$5+'типовая конструкция'!AN220*'Единичные ставки+критерии'!$G$2+'типовая конструкция'!AN221), "конец жизненного цикла")</f>
        <v>#VALUE!</v>
      </c>
      <c r="AO224" s="217" t="e">
        <f ca="1">IF(AN220=0, (AO215*'Единичные ставки+критерии'!$G$8+AO216*'Единичные ставки+критерии'!$G$6+AO217*'Единичные ставки+критерии'!$G$4+'типовая конструкция'!AO218*'Единичные ставки+критерии'!$G$5+'типовая конструкция'!AO219*'Единичные ставки+критерии'!$G$5+'типовая конструкция'!AO220*'Единичные ставки+критерии'!$G$2+'типовая конструкция'!AO221), "конец жизненного цикла")</f>
        <v>#VALUE!</v>
      </c>
      <c r="AP224" s="217" t="e">
        <f ca="1">IF(AO220=0, (AP215*'Единичные ставки+критерии'!$G$8+AP216*'Единичные ставки+критерии'!$G$6+AP217*'Единичные ставки+критерии'!$G$4+'типовая конструкция'!AP218*'Единичные ставки+критерии'!$G$5+'типовая конструкция'!AP219*'Единичные ставки+критерии'!$G$5+'типовая конструкция'!AP220*'Единичные ставки+критерии'!$G$2+'типовая конструкция'!AP221), "конец жизненного цикла")</f>
        <v>#VALUE!</v>
      </c>
    </row>
    <row r="225" spans="1:43" ht="15.75" thickBot="1" x14ac:dyDescent="0.3">
      <c r="A225" s="204" t="s">
        <v>321</v>
      </c>
      <c r="B225" s="207">
        <f ca="1">IF(C224="конец жизненного цикла", SUM($B$224:B224), SUM($B$224:C224))</f>
        <v>2998.8055105018339</v>
      </c>
      <c r="C225" s="207">
        <f ca="1">IF(D224="конец жизненного цикла", SUM($B$224:C224), SUM($B$224:D224))</f>
        <v>7506.5631845080652</v>
      </c>
      <c r="D225" s="207">
        <f ca="1">IF(E224="конец жизненного цикла", SUM($B$224:D224), SUM($B$224:E224))</f>
        <v>7828.8009639562251</v>
      </c>
      <c r="E225" s="207">
        <f ca="1">IF(F224="конец жизненного цикла", SUM($B$224:E224), SUM($B$224:F224))</f>
        <v>20932.882882737678</v>
      </c>
      <c r="F225" s="207">
        <f ca="1">IF(G224="конец жизненного цикла", SUM($B$224:F224), SUM($B$224:G224))</f>
        <v>25378.153483725338</v>
      </c>
      <c r="G225" s="207">
        <f ca="1">IF(H224="конец жизненного цикла", SUM($B$224:G224), SUM($B$224:H224))</f>
        <v>25569.840269321085</v>
      </c>
      <c r="H225" s="207">
        <f ca="1">IF(I224="конец жизненного цикла", SUM($B$224:H224), SUM($B$224:I224))</f>
        <v>28743.353605244476</v>
      </c>
      <c r="I225" s="207">
        <f ca="1">IF(J224="конец жизненного цикла", SUM($B$224:I224), SUM($B$224:J224))</f>
        <v>64079.017874311838</v>
      </c>
      <c r="J225" s="207">
        <f ca="1">IF(K224="конец жизненного цикла", SUM($B$224:J224), SUM($B$224:K224))</f>
        <v>64079.017874311838</v>
      </c>
      <c r="K225" s="207" t="e">
        <f ca="1">IF(L224="конец жизненного цикла", SUM($B$224:K224), SUM($B$224:L224))</f>
        <v>#VALUE!</v>
      </c>
      <c r="L225" s="207" t="e">
        <f ca="1">IF(M224="конец жизненного цикла", SUM($B$224:L224), SUM($B$224:M224))</f>
        <v>#VALUE!</v>
      </c>
      <c r="M225" s="207" t="e">
        <f ca="1">IF(N224="конец жизненного цикла", SUM($B$224:M224), SUM($B$224:N224))</f>
        <v>#VALUE!</v>
      </c>
      <c r="N225" s="207" t="e">
        <f ca="1">IF(O224="конец жизненного цикла", SUM($B$224:N224), SUM($B$224:O224))</f>
        <v>#VALUE!</v>
      </c>
      <c r="O225" s="207" t="e">
        <f ca="1">IF(P224="конец жизненного цикла", SUM($B$224:O224), SUM($B$224:P224))</f>
        <v>#VALUE!</v>
      </c>
      <c r="P225" s="207" t="e">
        <f ca="1">IF(Q224="конец жизненного цикла", SUM($B$224:P224), SUM($B$224:Q224))</f>
        <v>#VALUE!</v>
      </c>
      <c r="Q225" s="207" t="e">
        <f ca="1">IF(R224="конец жизненного цикла", SUM($B$224:Q224), SUM($B$224:R224))</f>
        <v>#VALUE!</v>
      </c>
      <c r="R225" s="207" t="e">
        <f ca="1">IF(S224="конец жизненного цикла", SUM($B$224:R224), SUM($B$224:S224))</f>
        <v>#VALUE!</v>
      </c>
      <c r="S225" s="207" t="e">
        <f ca="1">IF(T224="конец жизненного цикла", SUM($B$224:S224), SUM($B$224:T224))</f>
        <v>#VALUE!</v>
      </c>
      <c r="T225" s="207" t="e">
        <f ca="1">IF(U224="конец жизненного цикла", SUM($B$224:T224), SUM($B$224:U224))</f>
        <v>#VALUE!</v>
      </c>
      <c r="U225" s="207" t="e">
        <f ca="1">IF(V224="конец жизненного цикла", SUM($B$224:U224), SUM($B$224:V224))</f>
        <v>#VALUE!</v>
      </c>
      <c r="V225" s="207" t="e">
        <f ca="1">IF(W224="конец жизненного цикла", SUM($B$224:V224), SUM($B$224:W224))</f>
        <v>#VALUE!</v>
      </c>
      <c r="W225" s="207" t="e">
        <f ca="1">IF(X224="конец жизненного цикла", SUM($B$224:W224), SUM($B$224:X224))</f>
        <v>#VALUE!</v>
      </c>
      <c r="X225" s="207" t="e">
        <f ca="1">IF(Y224="конец жизненного цикла", SUM($B$224:X224), SUM($B$224:Y224))</f>
        <v>#VALUE!</v>
      </c>
      <c r="Y225" s="207" t="e">
        <f ca="1">IF(Z224="конец жизненного цикла", SUM($B$224:Y224), SUM($B$224:Z224))</f>
        <v>#VALUE!</v>
      </c>
      <c r="Z225" s="208" t="e">
        <f ca="1">IF(AA224="конец жизненного цикла", SUM($B$224:Z224), SUM($B$224:AA224))</f>
        <v>#VALUE!</v>
      </c>
      <c r="AA225" s="207" t="e">
        <f ca="1">IF(AB224="конец жизненного цикла", SUM($B$224:AA224), SUM($B$224:AB224))</f>
        <v>#VALUE!</v>
      </c>
      <c r="AB225" s="207" t="e">
        <f ca="1">IF(AC224="конец жизненного цикла", SUM($B$224:AB224), SUM($B$224:AC224))</f>
        <v>#VALUE!</v>
      </c>
      <c r="AC225" s="207" t="e">
        <f ca="1">IF(AD224="конец жизненного цикла", SUM($B$224:AC224), SUM($B$224:AD224))</f>
        <v>#VALUE!</v>
      </c>
      <c r="AD225" s="207" t="e">
        <f ca="1">IF(AE224="конец жизненного цикла", SUM($B$224:AD224), SUM($B$224:AE224))</f>
        <v>#VALUE!</v>
      </c>
      <c r="AE225" s="207" t="e">
        <f ca="1">IF(AF224="конец жизненного цикла", SUM($B$224:AE224), SUM($B$224:AF224))</f>
        <v>#VALUE!</v>
      </c>
      <c r="AF225" s="207" t="e">
        <f ca="1">IF(AG224="конец жизненного цикла", SUM($B$224:AF224), SUM($B$224:AG224))</f>
        <v>#VALUE!</v>
      </c>
      <c r="AG225" s="207" t="e">
        <f ca="1">IF(AH224="конец жизненного цикла", SUM($B$224:AG224), SUM($B$224:AH224))</f>
        <v>#VALUE!</v>
      </c>
      <c r="AH225" s="207" t="e">
        <f ca="1">IF(AI224="конец жизненного цикла", SUM($B$224:AH224), SUM($B$224:AI224))</f>
        <v>#VALUE!</v>
      </c>
      <c r="AI225" s="207" t="e">
        <f ca="1">IF(AJ224="конец жизненного цикла", SUM($B$224:AI224), SUM($B$224:AJ224))</f>
        <v>#VALUE!</v>
      </c>
      <c r="AJ225" s="207" t="e">
        <f ca="1">IF(AK224="конец жизненного цикла", SUM($B$224:AJ224), SUM($B$224:AK224))</f>
        <v>#VALUE!</v>
      </c>
      <c r="AK225" s="207" t="e">
        <f ca="1">IF(AL224="конец жизненного цикла", SUM($B$224:AK224), SUM($B$224:AL224))</f>
        <v>#VALUE!</v>
      </c>
      <c r="AL225" s="207" t="e">
        <f ca="1">IF(AM224="конец жизненного цикла", SUM($B$224:AL224), SUM($B$224:AM224))</f>
        <v>#VALUE!</v>
      </c>
      <c r="AM225" s="207" t="e">
        <f ca="1">IF(AN224="конец жизненного цикла", SUM($B$224:AM224), SUM($B$224:AN224))</f>
        <v>#VALUE!</v>
      </c>
      <c r="AN225" s="207" t="e">
        <f ca="1">IF(AO224="конец жизненного цикла", SUM($B$224:AN224), SUM($B$224:AO224))</f>
        <v>#VALUE!</v>
      </c>
      <c r="AO225" s="207" t="e">
        <f ca="1">IF(AP224="конец жизненного цикла", SUM($B$224:AO224), SUM($B$224:AP224))</f>
        <v>#VALUE!</v>
      </c>
      <c r="AP225" s="207" t="e">
        <f ca="1">IF(AQ224="конец жизненного цикла", SUM($B$224:AP224), SUM($B$224:AQ224))</f>
        <v>#VALUE!</v>
      </c>
      <c r="AQ225" s="205"/>
    </row>
    <row r="226" spans="1:43" ht="15.75" thickBot="1" x14ac:dyDescent="0.3">
      <c r="A226" s="231" t="s">
        <v>321</v>
      </c>
      <c r="B226" s="263">
        <f t="array" aca="1" ref="B226" ca="1">MAX(IF(ISERROR(B225:AP225), "",B225:AP225))</f>
        <v>64079.017874311838</v>
      </c>
      <c r="C226" s="264"/>
      <c r="D226" s="264"/>
      <c r="E226" s="264"/>
      <c r="F226" s="264"/>
      <c r="G226" s="264"/>
      <c r="H226" s="264"/>
      <c r="I226" s="264"/>
      <c r="J226" s="264"/>
      <c r="K226" s="264"/>
      <c r="L226" s="264"/>
      <c r="M226" s="264"/>
      <c r="N226" s="264"/>
      <c r="O226" s="264"/>
      <c r="P226" s="264"/>
      <c r="Q226" s="264"/>
      <c r="R226" s="264"/>
      <c r="S226" s="264"/>
      <c r="T226" s="264"/>
      <c r="U226" s="264"/>
      <c r="V226" s="264"/>
      <c r="W226" s="264"/>
      <c r="X226" s="264"/>
      <c r="Y226" s="264"/>
      <c r="Z226" s="264"/>
      <c r="AA226" s="264"/>
      <c r="AB226" s="264"/>
      <c r="AC226" s="264"/>
      <c r="AD226" s="264"/>
      <c r="AE226" s="264"/>
      <c r="AF226" s="264"/>
      <c r="AG226" s="264"/>
      <c r="AH226" s="264"/>
      <c r="AI226" s="264"/>
      <c r="AJ226" s="264"/>
      <c r="AK226" s="264"/>
      <c r="AL226" s="264"/>
      <c r="AM226" s="264"/>
      <c r="AN226" s="264"/>
      <c r="AO226" s="264"/>
      <c r="AP226" s="265"/>
    </row>
    <row r="227" spans="1:43" x14ac:dyDescent="0.25">
      <c r="B227" s="168"/>
      <c r="C227" s="168"/>
      <c r="D227" s="168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8"/>
      <c r="Y227" s="168"/>
      <c r="Z227" s="168"/>
      <c r="AA227" s="168"/>
      <c r="AB227" s="168"/>
      <c r="AC227" s="168"/>
      <c r="AD227" s="168"/>
      <c r="AE227" s="168"/>
      <c r="AF227" s="168"/>
      <c r="AG227" s="168"/>
      <c r="AH227" s="168"/>
      <c r="AI227" s="168"/>
      <c r="AJ227" s="168"/>
      <c r="AK227" s="168"/>
      <c r="AL227" s="168"/>
      <c r="AM227" s="168"/>
      <c r="AN227" s="168"/>
      <c r="AO227" s="168"/>
      <c r="AP227" s="168"/>
    </row>
    <row r="228" spans="1:43" x14ac:dyDescent="0.25">
      <c r="B228" s="168"/>
      <c r="C228" s="168"/>
      <c r="D228" s="168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8"/>
      <c r="Y228" s="168"/>
      <c r="Z228" s="168"/>
      <c r="AA228" s="168"/>
      <c r="AB228" s="168"/>
      <c r="AC228" s="168"/>
      <c r="AD228" s="168"/>
      <c r="AE228" s="168"/>
      <c r="AF228" s="168"/>
      <c r="AG228" s="168"/>
      <c r="AH228" s="168"/>
      <c r="AI228" s="168"/>
      <c r="AJ228" s="168"/>
      <c r="AK228" s="168"/>
      <c r="AL228" s="168"/>
      <c r="AM228" s="168"/>
      <c r="AN228" s="168"/>
      <c r="AO228" s="168"/>
      <c r="AP228" s="168"/>
    </row>
    <row r="229" spans="1:43" x14ac:dyDescent="0.25">
      <c r="B229" s="168"/>
      <c r="C229" s="168"/>
      <c r="D229" s="168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8"/>
      <c r="Y229" s="168"/>
      <c r="Z229" s="168"/>
      <c r="AA229" s="168"/>
      <c r="AB229" s="168"/>
      <c r="AC229" s="168"/>
      <c r="AD229" s="168"/>
      <c r="AE229" s="168"/>
      <c r="AF229" s="168"/>
      <c r="AG229" s="168"/>
      <c r="AH229" s="168"/>
      <c r="AI229" s="168"/>
      <c r="AJ229" s="168"/>
      <c r="AK229" s="168"/>
      <c r="AL229" s="168"/>
      <c r="AM229" s="168"/>
      <c r="AN229" s="168"/>
      <c r="AO229" s="168"/>
      <c r="AP229" s="168"/>
    </row>
    <row r="230" spans="1:43" x14ac:dyDescent="0.25">
      <c r="B230" s="168"/>
      <c r="C230" s="168"/>
      <c r="D230" s="168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8"/>
      <c r="Y230" s="168"/>
      <c r="Z230" s="168"/>
      <c r="AA230" s="168"/>
      <c r="AB230" s="168"/>
      <c r="AC230" s="168"/>
      <c r="AD230" s="168"/>
      <c r="AE230" s="168"/>
      <c r="AF230" s="168"/>
      <c r="AG230" s="168"/>
      <c r="AH230" s="168"/>
      <c r="AI230" s="168"/>
      <c r="AJ230" s="168"/>
      <c r="AK230" s="168"/>
      <c r="AL230" s="168"/>
      <c r="AM230" s="168"/>
      <c r="AN230" s="168"/>
      <c r="AO230" s="168"/>
      <c r="AP230" s="168"/>
    </row>
    <row r="231" spans="1:43" x14ac:dyDescent="0.25">
      <c r="B231" s="168"/>
      <c r="C231" s="168"/>
      <c r="D231" s="168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8"/>
      <c r="Y231" s="168"/>
      <c r="Z231" s="168"/>
      <c r="AA231" s="168"/>
      <c r="AB231" s="168"/>
      <c r="AC231" s="168"/>
      <c r="AD231" s="168"/>
      <c r="AE231" s="168"/>
      <c r="AF231" s="168"/>
      <c r="AG231" s="168"/>
      <c r="AH231" s="168"/>
      <c r="AI231" s="168"/>
      <c r="AJ231" s="168"/>
      <c r="AK231" s="168"/>
      <c r="AL231" s="168"/>
      <c r="AM231" s="168"/>
      <c r="AN231" s="168"/>
      <c r="AO231" s="168"/>
      <c r="AP231" s="168"/>
    </row>
  </sheetData>
  <mergeCells count="116">
    <mergeCell ref="B226:AP226"/>
    <mergeCell ref="A108:A109"/>
    <mergeCell ref="B108:B109"/>
    <mergeCell ref="C108:C109"/>
    <mergeCell ref="B118:B119"/>
    <mergeCell ref="C118:H118"/>
    <mergeCell ref="H108:I108"/>
    <mergeCell ref="J108:K108"/>
    <mergeCell ref="F108:F109"/>
    <mergeCell ref="G108:G109"/>
    <mergeCell ref="D108:D109"/>
    <mergeCell ref="E108:E109"/>
    <mergeCell ref="I118:I119"/>
    <mergeCell ref="J118:J119"/>
    <mergeCell ref="C105:C107"/>
    <mergeCell ref="DX2:EC2"/>
    <mergeCell ref="ED2:EI2"/>
    <mergeCell ref="EJ2:EO2"/>
    <mergeCell ref="DX3:DY3"/>
    <mergeCell ref="DZ3:EA3"/>
    <mergeCell ref="EB3:EC3"/>
    <mergeCell ref="ED3:EE3"/>
    <mergeCell ref="EF3:EG3"/>
    <mergeCell ref="EH3:EI3"/>
    <mergeCell ref="EJ3:EK3"/>
    <mergeCell ref="EL3:EM3"/>
    <mergeCell ref="EN3:EO3"/>
    <mergeCell ref="CX3:CY3"/>
    <mergeCell ref="CZ3:DA3"/>
    <mergeCell ref="DB3:DC3"/>
    <mergeCell ref="DD3:DE3"/>
    <mergeCell ref="BJ2:BO2"/>
    <mergeCell ref="BD2:BI2"/>
    <mergeCell ref="T3:U3"/>
    <mergeCell ref="V3:W3"/>
    <mergeCell ref="BP2:BU2"/>
    <mergeCell ref="BD3:BE3"/>
    <mergeCell ref="BF3:BG3"/>
    <mergeCell ref="AR2:AW2"/>
    <mergeCell ref="AX2:BC2"/>
    <mergeCell ref="T2:Y2"/>
    <mergeCell ref="AF2:AK2"/>
    <mergeCell ref="AR3:AS3"/>
    <mergeCell ref="AT3:AU3"/>
    <mergeCell ref="BJ3:BK3"/>
    <mergeCell ref="BL3:BM3"/>
    <mergeCell ref="DF1:EO1"/>
    <mergeCell ref="BV1:DE1"/>
    <mergeCell ref="AL1:BU1"/>
    <mergeCell ref="BH3:BI3"/>
    <mergeCell ref="AV3:AW3"/>
    <mergeCell ref="AX3:AY3"/>
    <mergeCell ref="AZ3:BA3"/>
    <mergeCell ref="BB3:BC3"/>
    <mergeCell ref="X3:Y3"/>
    <mergeCell ref="Z2:AE2"/>
    <mergeCell ref="Z3:AA3"/>
    <mergeCell ref="AB3:AC3"/>
    <mergeCell ref="AD3:AE3"/>
    <mergeCell ref="BN3:BO3"/>
    <mergeCell ref="BP3:BQ3"/>
    <mergeCell ref="BR3:BS3"/>
    <mergeCell ref="BT3:BU3"/>
    <mergeCell ref="AF3:AG3"/>
    <mergeCell ref="AH3:AI3"/>
    <mergeCell ref="DF2:DK2"/>
    <mergeCell ref="DL2:DQ2"/>
    <mergeCell ref="DR2:DW2"/>
    <mergeCell ref="CJ3:CK3"/>
    <mergeCell ref="CL3:CM3"/>
    <mergeCell ref="DF3:DG3"/>
    <mergeCell ref="DH3:DI3"/>
    <mergeCell ref="CN2:CS2"/>
    <mergeCell ref="CT2:CY2"/>
    <mergeCell ref="CZ2:DE2"/>
    <mergeCell ref="CN3:CO3"/>
    <mergeCell ref="CP3:CQ3"/>
    <mergeCell ref="CR3:CS3"/>
    <mergeCell ref="CT3:CU3"/>
    <mergeCell ref="CV3:CW3"/>
    <mergeCell ref="DT3:DU3"/>
    <mergeCell ref="DV3:DW3"/>
    <mergeCell ref="DJ3:DK3"/>
    <mergeCell ref="DL3:DM3"/>
    <mergeCell ref="DN3:DO3"/>
    <mergeCell ref="DP3:DQ3"/>
    <mergeCell ref="DR3:DS3"/>
    <mergeCell ref="BV2:CA2"/>
    <mergeCell ref="CB2:CG2"/>
    <mergeCell ref="CH2:CM2"/>
    <mergeCell ref="BX3:BY3"/>
    <mergeCell ref="BZ3:CA3"/>
    <mergeCell ref="CB3:CC3"/>
    <mergeCell ref="CD3:CE3"/>
    <mergeCell ref="CF3:CG3"/>
    <mergeCell ref="CH3:CI3"/>
    <mergeCell ref="BV3:BW3"/>
    <mergeCell ref="A1:A4"/>
    <mergeCell ref="B3:C3"/>
    <mergeCell ref="D3:E3"/>
    <mergeCell ref="F3:G3"/>
    <mergeCell ref="H3:I3"/>
    <mergeCell ref="J3:K3"/>
    <mergeCell ref="AL3:AM3"/>
    <mergeCell ref="AN3:AO3"/>
    <mergeCell ref="AP3:AQ3"/>
    <mergeCell ref="B1:AK1"/>
    <mergeCell ref="B2:G2"/>
    <mergeCell ref="H2:M2"/>
    <mergeCell ref="N2:S2"/>
    <mergeCell ref="L3:M3"/>
    <mergeCell ref="N3:O3"/>
    <mergeCell ref="P3:Q3"/>
    <mergeCell ref="R3:S3"/>
    <mergeCell ref="AJ3:AK3"/>
    <mergeCell ref="AL2:AQ2"/>
  </mergeCells>
  <conditionalFormatting sqref="B224:Z224 AB224:AP224">
    <cfRule type="containsText" dxfId="2" priority="1" operator="containsText" text="конец жизненного цикла">
      <formula>NOT(ISERROR(SEARCH("конец жизненного цикла",B224)))</formula>
    </cfRule>
    <cfRule type="containsText" dxfId="1" priority="3" operator="containsText" text="конец жизненного цикла ">
      <formula>NOT(ISERROR(SEARCH("конец жизненного цикла ",B224)))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4BC0334-2386-4405-8D29-4A47D75EADD6}">
            <xm:f>NOT(ISERROR(SEARCH($AA$224,B224)))</xm:f>
            <xm:f>$AA$224</xm:f>
            <x14:dxf>
              <fill>
                <patternFill>
                  <bgColor rgb="FFFF0000"/>
                </patternFill>
              </fill>
            </x14:dxf>
          </x14:cfRule>
          <xm:sqref>B224:Z224 AB224:AP224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O167"/>
  <sheetViews>
    <sheetView workbookViewId="0">
      <pane xSplit="1" ySplit="4" topLeftCell="B133" activePane="bottomRight" state="frozen"/>
      <selection pane="topRight" activeCell="B1" sqref="B1"/>
      <selection pane="bottomLeft" activeCell="A5" sqref="A5"/>
      <selection pane="bottomRight" activeCell="L139" sqref="L139"/>
    </sheetView>
  </sheetViews>
  <sheetFormatPr defaultRowHeight="15" x14ac:dyDescent="0.25"/>
  <cols>
    <col min="1" max="1" width="31.140625" style="89" customWidth="1"/>
    <col min="2" max="2" width="16.85546875" style="89" customWidth="1"/>
    <col min="3" max="3" width="14" style="89" customWidth="1"/>
    <col min="4" max="4" width="9.7109375" style="89" customWidth="1"/>
    <col min="5" max="5" width="10.7109375" style="89" customWidth="1"/>
    <col min="6" max="6" width="11.28515625" style="89" customWidth="1"/>
    <col min="7" max="7" width="11.140625" style="89" customWidth="1"/>
    <col min="8" max="8" width="12.5703125" style="89" customWidth="1"/>
    <col min="9" max="9" width="17.5703125" style="89" customWidth="1"/>
    <col min="10" max="10" width="11.7109375" style="89" customWidth="1"/>
    <col min="11" max="11" width="10.140625" style="89" customWidth="1"/>
    <col min="12" max="12" width="11.7109375" style="89" customWidth="1"/>
    <col min="13" max="13" width="11.85546875" style="89" customWidth="1"/>
    <col min="14" max="14" width="12.42578125" style="89" customWidth="1"/>
    <col min="15" max="15" width="13.28515625" style="89" customWidth="1"/>
    <col min="16" max="16" width="12.85546875" style="89" customWidth="1"/>
    <col min="17" max="17" width="15.28515625" style="89" customWidth="1"/>
    <col min="18" max="18" width="10.85546875" style="89" customWidth="1"/>
    <col min="19" max="19" width="11.28515625" style="89" customWidth="1"/>
    <col min="20" max="20" width="12.28515625" style="89" customWidth="1"/>
    <col min="21" max="21" width="11.7109375" style="89" customWidth="1"/>
    <col min="22" max="22" width="11.140625" style="89" customWidth="1"/>
    <col min="23" max="23" width="13.5703125" style="89" customWidth="1"/>
    <col min="24" max="24" width="11" style="89" customWidth="1"/>
    <col min="25" max="25" width="11.42578125" style="89" customWidth="1"/>
    <col min="26" max="26" width="12.7109375" style="89" customWidth="1"/>
    <col min="27" max="27" width="13.5703125" style="89" customWidth="1"/>
    <col min="28" max="28" width="11.7109375" style="89" customWidth="1"/>
    <col min="29" max="29" width="13" style="89" customWidth="1"/>
    <col min="30" max="30" width="12.42578125" style="89" customWidth="1"/>
    <col min="31" max="31" width="13.42578125" style="89" customWidth="1"/>
    <col min="32" max="32" width="15.7109375" style="89" customWidth="1"/>
    <col min="33" max="33" width="13" style="89" customWidth="1"/>
    <col min="34" max="34" width="12.85546875" style="89" customWidth="1"/>
    <col min="35" max="35" width="18.7109375" style="89" customWidth="1"/>
    <col min="36" max="36" width="17.85546875" style="89" customWidth="1"/>
    <col min="37" max="37" width="15.140625" style="89" customWidth="1"/>
    <col min="38" max="38" width="15.85546875" style="89" customWidth="1"/>
    <col min="39" max="40" width="16" style="89" customWidth="1"/>
    <col min="41" max="41" width="17" style="89" customWidth="1"/>
    <col min="42" max="42" width="16.7109375" style="89" customWidth="1"/>
    <col min="43" max="145" width="9.140625" style="89" customWidth="1"/>
    <col min="146" max="16384" width="9.140625" style="89"/>
  </cols>
  <sheetData>
    <row r="1" spans="1:145" x14ac:dyDescent="0.25">
      <c r="A1" s="288" t="s">
        <v>6</v>
      </c>
      <c r="B1" s="290" t="s">
        <v>12</v>
      </c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  <c r="AI1" s="291"/>
      <c r="AJ1" s="291"/>
      <c r="AK1" s="291"/>
      <c r="AL1" s="292" t="s">
        <v>13</v>
      </c>
      <c r="AM1" s="293"/>
      <c r="AN1" s="293"/>
      <c r="AO1" s="293"/>
      <c r="AP1" s="293"/>
      <c r="AQ1" s="293"/>
      <c r="AR1" s="293"/>
      <c r="AS1" s="293"/>
      <c r="AT1" s="293"/>
      <c r="AU1" s="293"/>
      <c r="AV1" s="293"/>
      <c r="AW1" s="293"/>
      <c r="AX1" s="293"/>
      <c r="AY1" s="293"/>
      <c r="AZ1" s="293"/>
      <c r="BA1" s="293"/>
      <c r="BB1" s="293"/>
      <c r="BC1" s="293"/>
      <c r="BD1" s="293"/>
      <c r="BE1" s="293"/>
      <c r="BF1" s="293"/>
      <c r="BG1" s="293"/>
      <c r="BH1" s="293"/>
      <c r="BI1" s="293"/>
      <c r="BJ1" s="293"/>
      <c r="BK1" s="293"/>
      <c r="BL1" s="293"/>
      <c r="BM1" s="293"/>
      <c r="BN1" s="293"/>
      <c r="BO1" s="293"/>
      <c r="BP1" s="293"/>
      <c r="BQ1" s="293"/>
      <c r="BR1" s="293"/>
      <c r="BS1" s="293"/>
      <c r="BT1" s="293"/>
      <c r="BU1" s="294"/>
      <c r="BV1" s="295" t="s">
        <v>14</v>
      </c>
      <c r="BW1" s="296"/>
      <c r="BX1" s="296"/>
      <c r="BY1" s="296"/>
      <c r="BZ1" s="296"/>
      <c r="CA1" s="296"/>
      <c r="CB1" s="296"/>
      <c r="CC1" s="296"/>
      <c r="CD1" s="296"/>
      <c r="CE1" s="296"/>
      <c r="CF1" s="296"/>
      <c r="CG1" s="296"/>
      <c r="CH1" s="296"/>
      <c r="CI1" s="296"/>
      <c r="CJ1" s="296"/>
      <c r="CK1" s="296"/>
      <c r="CL1" s="296"/>
      <c r="CM1" s="296"/>
      <c r="CN1" s="296"/>
      <c r="CO1" s="296"/>
      <c r="CP1" s="296"/>
      <c r="CQ1" s="296"/>
      <c r="CR1" s="296"/>
      <c r="CS1" s="296"/>
      <c r="CT1" s="296"/>
      <c r="CU1" s="296"/>
      <c r="CV1" s="296"/>
      <c r="CW1" s="296"/>
      <c r="CX1" s="296"/>
      <c r="CY1" s="296"/>
      <c r="CZ1" s="296"/>
      <c r="DA1" s="296"/>
      <c r="DB1" s="296"/>
      <c r="DC1" s="296"/>
      <c r="DD1" s="296"/>
      <c r="DE1" s="297"/>
      <c r="DF1" s="298" t="s">
        <v>15</v>
      </c>
      <c r="DG1" s="299"/>
      <c r="DH1" s="299"/>
      <c r="DI1" s="299"/>
      <c r="DJ1" s="299"/>
      <c r="DK1" s="299"/>
      <c r="DL1" s="299"/>
      <c r="DM1" s="299"/>
      <c r="DN1" s="299"/>
      <c r="DO1" s="299"/>
      <c r="DP1" s="299"/>
      <c r="DQ1" s="299"/>
      <c r="DR1" s="299"/>
      <c r="DS1" s="299"/>
      <c r="DT1" s="299"/>
      <c r="DU1" s="299"/>
      <c r="DV1" s="299"/>
      <c r="DW1" s="299"/>
      <c r="DX1" s="299"/>
      <c r="DY1" s="299"/>
      <c r="DZ1" s="299"/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</row>
    <row r="2" spans="1:145" x14ac:dyDescent="0.25">
      <c r="A2" s="288"/>
      <c r="B2" s="300" t="s">
        <v>9</v>
      </c>
      <c r="C2" s="282"/>
      <c r="D2" s="282"/>
      <c r="E2" s="282"/>
      <c r="F2" s="282"/>
      <c r="G2" s="282"/>
      <c r="H2" s="282" t="s">
        <v>10</v>
      </c>
      <c r="I2" s="282"/>
      <c r="J2" s="282"/>
      <c r="K2" s="282"/>
      <c r="L2" s="282"/>
      <c r="M2" s="282"/>
      <c r="N2" s="282" t="s">
        <v>11</v>
      </c>
      <c r="O2" s="282"/>
      <c r="P2" s="282"/>
      <c r="Q2" s="282"/>
      <c r="R2" s="282"/>
      <c r="S2" s="301"/>
      <c r="T2" s="282" t="s">
        <v>55</v>
      </c>
      <c r="U2" s="282"/>
      <c r="V2" s="282"/>
      <c r="W2" s="282"/>
      <c r="X2" s="282"/>
      <c r="Y2" s="301"/>
      <c r="Z2" s="282" t="s">
        <v>56</v>
      </c>
      <c r="AA2" s="282"/>
      <c r="AB2" s="282"/>
      <c r="AC2" s="282"/>
      <c r="AD2" s="282"/>
      <c r="AE2" s="301"/>
      <c r="AF2" s="282" t="s">
        <v>57</v>
      </c>
      <c r="AG2" s="282"/>
      <c r="AH2" s="282"/>
      <c r="AI2" s="282"/>
      <c r="AJ2" s="282"/>
      <c r="AK2" s="301"/>
      <c r="AL2" s="302" t="s">
        <v>9</v>
      </c>
      <c r="AM2" s="281"/>
      <c r="AN2" s="281"/>
      <c r="AO2" s="281"/>
      <c r="AP2" s="281"/>
      <c r="AQ2" s="281"/>
      <c r="AR2" s="281" t="s">
        <v>10</v>
      </c>
      <c r="AS2" s="281"/>
      <c r="AT2" s="281"/>
      <c r="AU2" s="281"/>
      <c r="AV2" s="281"/>
      <c r="AW2" s="281"/>
      <c r="AX2" s="281" t="s">
        <v>11</v>
      </c>
      <c r="AY2" s="281"/>
      <c r="AZ2" s="281"/>
      <c r="BA2" s="281"/>
      <c r="BB2" s="281"/>
      <c r="BC2" s="286"/>
      <c r="BD2" s="281" t="s">
        <v>55</v>
      </c>
      <c r="BE2" s="281"/>
      <c r="BF2" s="281"/>
      <c r="BG2" s="281"/>
      <c r="BH2" s="281"/>
      <c r="BI2" s="286"/>
      <c r="BJ2" s="281" t="s">
        <v>56</v>
      </c>
      <c r="BK2" s="281"/>
      <c r="BL2" s="281"/>
      <c r="BM2" s="281"/>
      <c r="BN2" s="281"/>
      <c r="BO2" s="286"/>
      <c r="BP2" s="281" t="s">
        <v>57</v>
      </c>
      <c r="BQ2" s="281"/>
      <c r="BR2" s="281"/>
      <c r="BS2" s="281"/>
      <c r="BT2" s="281"/>
      <c r="BU2" s="286"/>
      <c r="BV2" s="287" t="s">
        <v>9</v>
      </c>
      <c r="BW2" s="280"/>
      <c r="BX2" s="280"/>
      <c r="BY2" s="280"/>
      <c r="BZ2" s="280"/>
      <c r="CA2" s="280"/>
      <c r="CB2" s="280" t="s">
        <v>10</v>
      </c>
      <c r="CC2" s="280"/>
      <c r="CD2" s="280"/>
      <c r="CE2" s="280"/>
      <c r="CF2" s="280"/>
      <c r="CG2" s="280"/>
      <c r="CH2" s="280" t="s">
        <v>11</v>
      </c>
      <c r="CI2" s="280"/>
      <c r="CJ2" s="280"/>
      <c r="CK2" s="280"/>
      <c r="CL2" s="280"/>
      <c r="CM2" s="284"/>
      <c r="CN2" s="280" t="s">
        <v>55</v>
      </c>
      <c r="CO2" s="280"/>
      <c r="CP2" s="280"/>
      <c r="CQ2" s="280"/>
      <c r="CR2" s="280"/>
      <c r="CS2" s="284"/>
      <c r="CT2" s="280" t="s">
        <v>56</v>
      </c>
      <c r="CU2" s="280"/>
      <c r="CV2" s="280"/>
      <c r="CW2" s="280"/>
      <c r="CX2" s="280"/>
      <c r="CY2" s="284"/>
      <c r="CZ2" s="280" t="s">
        <v>57</v>
      </c>
      <c r="DA2" s="280"/>
      <c r="DB2" s="280"/>
      <c r="DC2" s="280"/>
      <c r="DD2" s="280"/>
      <c r="DE2" s="284"/>
      <c r="DF2" s="285" t="s">
        <v>9</v>
      </c>
      <c r="DG2" s="279"/>
      <c r="DH2" s="279"/>
      <c r="DI2" s="279"/>
      <c r="DJ2" s="279"/>
      <c r="DK2" s="279"/>
      <c r="DL2" s="279" t="s">
        <v>10</v>
      </c>
      <c r="DM2" s="279"/>
      <c r="DN2" s="279"/>
      <c r="DO2" s="279"/>
      <c r="DP2" s="279"/>
      <c r="DQ2" s="279"/>
      <c r="DR2" s="279" t="s">
        <v>11</v>
      </c>
      <c r="DS2" s="279"/>
      <c r="DT2" s="279"/>
      <c r="DU2" s="279"/>
      <c r="DV2" s="279"/>
      <c r="DW2" s="283"/>
      <c r="DX2" s="279" t="s">
        <v>55</v>
      </c>
      <c r="DY2" s="279"/>
      <c r="DZ2" s="279"/>
      <c r="EA2" s="279"/>
      <c r="EB2" s="279"/>
      <c r="EC2" s="283"/>
      <c r="ED2" s="279" t="s">
        <v>56</v>
      </c>
      <c r="EE2" s="279"/>
      <c r="EF2" s="279"/>
      <c r="EG2" s="279"/>
      <c r="EH2" s="279"/>
      <c r="EI2" s="283"/>
      <c r="EJ2" s="279" t="s">
        <v>57</v>
      </c>
      <c r="EK2" s="279"/>
      <c r="EL2" s="279"/>
      <c r="EM2" s="279"/>
      <c r="EN2" s="279"/>
      <c r="EO2" s="283"/>
    </row>
    <row r="3" spans="1:145" ht="15" customHeight="1" x14ac:dyDescent="0.25">
      <c r="A3" s="288"/>
      <c r="B3" s="282" t="s">
        <v>49</v>
      </c>
      <c r="C3" s="282"/>
      <c r="D3" s="282" t="s">
        <v>0</v>
      </c>
      <c r="E3" s="282"/>
      <c r="F3" s="282" t="s">
        <v>1</v>
      </c>
      <c r="G3" s="282"/>
      <c r="H3" s="282" t="s">
        <v>49</v>
      </c>
      <c r="I3" s="282"/>
      <c r="J3" s="282" t="s">
        <v>0</v>
      </c>
      <c r="K3" s="282"/>
      <c r="L3" s="282" t="s">
        <v>1</v>
      </c>
      <c r="M3" s="282"/>
      <c r="N3" s="282" t="s">
        <v>49</v>
      </c>
      <c r="O3" s="282"/>
      <c r="P3" s="282" t="s">
        <v>0</v>
      </c>
      <c r="Q3" s="282"/>
      <c r="R3" s="282" t="s">
        <v>1</v>
      </c>
      <c r="S3" s="282"/>
      <c r="T3" s="282" t="s">
        <v>49</v>
      </c>
      <c r="U3" s="282"/>
      <c r="V3" s="282" t="s">
        <v>0</v>
      </c>
      <c r="W3" s="282"/>
      <c r="X3" s="282" t="s">
        <v>1</v>
      </c>
      <c r="Y3" s="282"/>
      <c r="Z3" s="282" t="s">
        <v>49</v>
      </c>
      <c r="AA3" s="282"/>
      <c r="AB3" s="282" t="s">
        <v>0</v>
      </c>
      <c r="AC3" s="282"/>
      <c r="AD3" s="282" t="s">
        <v>1</v>
      </c>
      <c r="AE3" s="282"/>
      <c r="AF3" s="282" t="s">
        <v>49</v>
      </c>
      <c r="AG3" s="282"/>
      <c r="AH3" s="282" t="s">
        <v>0</v>
      </c>
      <c r="AI3" s="282"/>
      <c r="AJ3" s="282" t="s">
        <v>1</v>
      </c>
      <c r="AK3" s="282"/>
      <c r="AL3" s="281" t="s">
        <v>49</v>
      </c>
      <c r="AM3" s="281"/>
      <c r="AN3" s="281" t="s">
        <v>0</v>
      </c>
      <c r="AO3" s="281"/>
      <c r="AP3" s="281" t="s">
        <v>1</v>
      </c>
      <c r="AQ3" s="281"/>
      <c r="AR3" s="281" t="s">
        <v>49</v>
      </c>
      <c r="AS3" s="281"/>
      <c r="AT3" s="281" t="s">
        <v>0</v>
      </c>
      <c r="AU3" s="281"/>
      <c r="AV3" s="281" t="s">
        <v>1</v>
      </c>
      <c r="AW3" s="281"/>
      <c r="AX3" s="281" t="s">
        <v>49</v>
      </c>
      <c r="AY3" s="281"/>
      <c r="AZ3" s="281" t="s">
        <v>0</v>
      </c>
      <c r="BA3" s="281"/>
      <c r="BB3" s="281" t="s">
        <v>1</v>
      </c>
      <c r="BC3" s="281"/>
      <c r="BD3" s="281" t="s">
        <v>49</v>
      </c>
      <c r="BE3" s="281"/>
      <c r="BF3" s="281" t="s">
        <v>0</v>
      </c>
      <c r="BG3" s="281"/>
      <c r="BH3" s="281" t="s">
        <v>1</v>
      </c>
      <c r="BI3" s="281"/>
      <c r="BJ3" s="281" t="s">
        <v>49</v>
      </c>
      <c r="BK3" s="281"/>
      <c r="BL3" s="281" t="s">
        <v>0</v>
      </c>
      <c r="BM3" s="281"/>
      <c r="BN3" s="281" t="s">
        <v>1</v>
      </c>
      <c r="BO3" s="281"/>
      <c r="BP3" s="281" t="s">
        <v>49</v>
      </c>
      <c r="BQ3" s="281"/>
      <c r="BR3" s="281" t="s">
        <v>0</v>
      </c>
      <c r="BS3" s="281"/>
      <c r="BT3" s="281" t="s">
        <v>1</v>
      </c>
      <c r="BU3" s="281"/>
      <c r="BV3" s="280" t="s">
        <v>49</v>
      </c>
      <c r="BW3" s="280"/>
      <c r="BX3" s="280" t="s">
        <v>0</v>
      </c>
      <c r="BY3" s="280"/>
      <c r="BZ3" s="280" t="s">
        <v>1</v>
      </c>
      <c r="CA3" s="280"/>
      <c r="CB3" s="280" t="s">
        <v>49</v>
      </c>
      <c r="CC3" s="280"/>
      <c r="CD3" s="280" t="s">
        <v>0</v>
      </c>
      <c r="CE3" s="280"/>
      <c r="CF3" s="280" t="s">
        <v>1</v>
      </c>
      <c r="CG3" s="280"/>
      <c r="CH3" s="280" t="s">
        <v>49</v>
      </c>
      <c r="CI3" s="280"/>
      <c r="CJ3" s="280" t="s">
        <v>0</v>
      </c>
      <c r="CK3" s="280"/>
      <c r="CL3" s="280" t="s">
        <v>1</v>
      </c>
      <c r="CM3" s="280"/>
      <c r="CN3" s="280" t="s">
        <v>49</v>
      </c>
      <c r="CO3" s="280"/>
      <c r="CP3" s="280" t="s">
        <v>0</v>
      </c>
      <c r="CQ3" s="280"/>
      <c r="CR3" s="280" t="s">
        <v>1</v>
      </c>
      <c r="CS3" s="280"/>
      <c r="CT3" s="280" t="s">
        <v>49</v>
      </c>
      <c r="CU3" s="280"/>
      <c r="CV3" s="280" t="s">
        <v>0</v>
      </c>
      <c r="CW3" s="280"/>
      <c r="CX3" s="280" t="s">
        <v>1</v>
      </c>
      <c r="CY3" s="280"/>
      <c r="CZ3" s="280" t="s">
        <v>49</v>
      </c>
      <c r="DA3" s="280"/>
      <c r="DB3" s="280" t="s">
        <v>0</v>
      </c>
      <c r="DC3" s="280"/>
      <c r="DD3" s="280" t="s">
        <v>1</v>
      </c>
      <c r="DE3" s="280"/>
      <c r="DF3" s="279" t="s">
        <v>49</v>
      </c>
      <c r="DG3" s="279"/>
      <c r="DH3" s="279" t="s">
        <v>0</v>
      </c>
      <c r="DI3" s="279"/>
      <c r="DJ3" s="279" t="s">
        <v>1</v>
      </c>
      <c r="DK3" s="279"/>
      <c r="DL3" s="279" t="s">
        <v>49</v>
      </c>
      <c r="DM3" s="279"/>
      <c r="DN3" s="279" t="s">
        <v>0</v>
      </c>
      <c r="DO3" s="279"/>
      <c r="DP3" s="279" t="s">
        <v>1</v>
      </c>
      <c r="DQ3" s="279"/>
      <c r="DR3" s="279" t="s">
        <v>49</v>
      </c>
      <c r="DS3" s="279"/>
      <c r="DT3" s="279" t="s">
        <v>0</v>
      </c>
      <c r="DU3" s="279"/>
      <c r="DV3" s="279" t="s">
        <v>1</v>
      </c>
      <c r="DW3" s="279"/>
      <c r="DX3" s="279" t="s">
        <v>49</v>
      </c>
      <c r="DY3" s="279"/>
      <c r="DZ3" s="279" t="s">
        <v>0</v>
      </c>
      <c r="EA3" s="279"/>
      <c r="EB3" s="279" t="s">
        <v>1</v>
      </c>
      <c r="EC3" s="279"/>
      <c r="ED3" s="279" t="s">
        <v>49</v>
      </c>
      <c r="EE3" s="279"/>
      <c r="EF3" s="279" t="s">
        <v>0</v>
      </c>
      <c r="EG3" s="279"/>
      <c r="EH3" s="279" t="s">
        <v>1</v>
      </c>
      <c r="EI3" s="279"/>
      <c r="EJ3" s="279" t="s">
        <v>49</v>
      </c>
      <c r="EK3" s="279"/>
      <c r="EL3" s="279" t="s">
        <v>0</v>
      </c>
      <c r="EM3" s="279"/>
      <c r="EN3" s="279" t="s">
        <v>1</v>
      </c>
      <c r="EO3" s="279"/>
    </row>
    <row r="4" spans="1:145" ht="21" customHeight="1" x14ac:dyDescent="0.25">
      <c r="A4" s="289"/>
      <c r="B4" s="7" t="s">
        <v>2</v>
      </c>
      <c r="C4" s="8" t="s">
        <v>48</v>
      </c>
      <c r="D4" s="7" t="s">
        <v>2</v>
      </c>
      <c r="E4" s="8" t="s">
        <v>48</v>
      </c>
      <c r="F4" s="7" t="s">
        <v>2</v>
      </c>
      <c r="G4" s="8" t="s">
        <v>48</v>
      </c>
      <c r="H4" s="7" t="s">
        <v>2</v>
      </c>
      <c r="I4" s="8" t="s">
        <v>48</v>
      </c>
      <c r="J4" s="7" t="s">
        <v>2</v>
      </c>
      <c r="K4" s="8" t="s">
        <v>48</v>
      </c>
      <c r="L4" s="7" t="s">
        <v>2</v>
      </c>
      <c r="M4" s="8" t="s">
        <v>48</v>
      </c>
      <c r="N4" s="7" t="s">
        <v>2</v>
      </c>
      <c r="O4" s="8" t="s">
        <v>48</v>
      </c>
      <c r="P4" s="7" t="s">
        <v>2</v>
      </c>
      <c r="Q4" s="8" t="s">
        <v>48</v>
      </c>
      <c r="R4" s="7" t="s">
        <v>2</v>
      </c>
      <c r="S4" s="8" t="s">
        <v>48</v>
      </c>
      <c r="T4" s="7" t="s">
        <v>2</v>
      </c>
      <c r="U4" s="8" t="s">
        <v>48</v>
      </c>
      <c r="V4" s="7" t="s">
        <v>2</v>
      </c>
      <c r="W4" s="8" t="s">
        <v>48</v>
      </c>
      <c r="X4" s="7" t="s">
        <v>2</v>
      </c>
      <c r="Y4" s="8" t="s">
        <v>48</v>
      </c>
      <c r="Z4" s="7" t="s">
        <v>2</v>
      </c>
      <c r="AA4" s="8" t="s">
        <v>48</v>
      </c>
      <c r="AB4" s="7" t="s">
        <v>2</v>
      </c>
      <c r="AC4" s="8" t="s">
        <v>48</v>
      </c>
      <c r="AD4" s="7" t="s">
        <v>2</v>
      </c>
      <c r="AE4" s="8" t="s">
        <v>48</v>
      </c>
      <c r="AF4" s="7" t="s">
        <v>2</v>
      </c>
      <c r="AG4" s="8" t="s">
        <v>48</v>
      </c>
      <c r="AH4" s="7" t="s">
        <v>2</v>
      </c>
      <c r="AI4" s="8" t="s">
        <v>48</v>
      </c>
      <c r="AJ4" s="7" t="s">
        <v>2</v>
      </c>
      <c r="AK4" s="8" t="s">
        <v>48</v>
      </c>
      <c r="AL4" s="11" t="s">
        <v>2</v>
      </c>
      <c r="AM4" s="12" t="s">
        <v>48</v>
      </c>
      <c r="AN4" s="11" t="s">
        <v>2</v>
      </c>
      <c r="AO4" s="12" t="s">
        <v>48</v>
      </c>
      <c r="AP4" s="11" t="s">
        <v>2</v>
      </c>
      <c r="AQ4" s="12" t="s">
        <v>48</v>
      </c>
      <c r="AR4" s="11" t="s">
        <v>2</v>
      </c>
      <c r="AS4" s="12" t="s">
        <v>48</v>
      </c>
      <c r="AT4" s="11" t="s">
        <v>2</v>
      </c>
      <c r="AU4" s="12" t="s">
        <v>48</v>
      </c>
      <c r="AV4" s="11" t="s">
        <v>2</v>
      </c>
      <c r="AW4" s="12" t="s">
        <v>48</v>
      </c>
      <c r="AX4" s="11" t="s">
        <v>2</v>
      </c>
      <c r="AY4" s="12" t="s">
        <v>48</v>
      </c>
      <c r="AZ4" s="11" t="s">
        <v>2</v>
      </c>
      <c r="BA4" s="12" t="s">
        <v>48</v>
      </c>
      <c r="BB4" s="11" t="s">
        <v>2</v>
      </c>
      <c r="BC4" s="12" t="s">
        <v>48</v>
      </c>
      <c r="BD4" s="11" t="s">
        <v>2</v>
      </c>
      <c r="BE4" s="12" t="s">
        <v>48</v>
      </c>
      <c r="BF4" s="11" t="s">
        <v>2</v>
      </c>
      <c r="BG4" s="12" t="s">
        <v>48</v>
      </c>
      <c r="BH4" s="11" t="s">
        <v>2</v>
      </c>
      <c r="BI4" s="12" t="s">
        <v>48</v>
      </c>
      <c r="BJ4" s="11" t="s">
        <v>2</v>
      </c>
      <c r="BK4" s="12" t="s">
        <v>48</v>
      </c>
      <c r="BL4" s="11" t="s">
        <v>2</v>
      </c>
      <c r="BM4" s="12" t="s">
        <v>48</v>
      </c>
      <c r="BN4" s="11" t="s">
        <v>2</v>
      </c>
      <c r="BO4" s="12" t="s">
        <v>48</v>
      </c>
      <c r="BP4" s="11" t="s">
        <v>2</v>
      </c>
      <c r="BQ4" s="12" t="s">
        <v>48</v>
      </c>
      <c r="BR4" s="11" t="s">
        <v>2</v>
      </c>
      <c r="BS4" s="12" t="s">
        <v>48</v>
      </c>
      <c r="BT4" s="11" t="s">
        <v>2</v>
      </c>
      <c r="BU4" s="12" t="s">
        <v>48</v>
      </c>
      <c r="BV4" s="5" t="s">
        <v>2</v>
      </c>
      <c r="BW4" s="6" t="s">
        <v>48</v>
      </c>
      <c r="BX4" s="5" t="s">
        <v>2</v>
      </c>
      <c r="BY4" s="6" t="s">
        <v>48</v>
      </c>
      <c r="BZ4" s="5" t="s">
        <v>2</v>
      </c>
      <c r="CA4" s="6" t="s">
        <v>48</v>
      </c>
      <c r="CB4" s="5" t="s">
        <v>2</v>
      </c>
      <c r="CC4" s="6" t="s">
        <v>48</v>
      </c>
      <c r="CD4" s="5" t="s">
        <v>2</v>
      </c>
      <c r="CE4" s="6" t="s">
        <v>48</v>
      </c>
      <c r="CF4" s="5" t="s">
        <v>2</v>
      </c>
      <c r="CG4" s="6" t="s">
        <v>48</v>
      </c>
      <c r="CH4" s="5" t="s">
        <v>2</v>
      </c>
      <c r="CI4" s="6" t="s">
        <v>48</v>
      </c>
      <c r="CJ4" s="5" t="s">
        <v>2</v>
      </c>
      <c r="CK4" s="6" t="s">
        <v>48</v>
      </c>
      <c r="CL4" s="5" t="s">
        <v>2</v>
      </c>
      <c r="CM4" s="6" t="s">
        <v>48</v>
      </c>
      <c r="CN4" s="5" t="s">
        <v>2</v>
      </c>
      <c r="CO4" s="6" t="s">
        <v>48</v>
      </c>
      <c r="CP4" s="5" t="s">
        <v>2</v>
      </c>
      <c r="CQ4" s="6" t="s">
        <v>48</v>
      </c>
      <c r="CR4" s="5" t="s">
        <v>2</v>
      </c>
      <c r="CS4" s="6" t="s">
        <v>48</v>
      </c>
      <c r="CT4" s="5" t="s">
        <v>2</v>
      </c>
      <c r="CU4" s="6" t="s">
        <v>48</v>
      </c>
      <c r="CV4" s="5" t="s">
        <v>2</v>
      </c>
      <c r="CW4" s="6" t="s">
        <v>48</v>
      </c>
      <c r="CX4" s="5" t="s">
        <v>2</v>
      </c>
      <c r="CY4" s="6" t="s">
        <v>48</v>
      </c>
      <c r="CZ4" s="5" t="s">
        <v>2</v>
      </c>
      <c r="DA4" s="6" t="s">
        <v>48</v>
      </c>
      <c r="DB4" s="5" t="s">
        <v>2</v>
      </c>
      <c r="DC4" s="6" t="s">
        <v>48</v>
      </c>
      <c r="DD4" s="5" t="s">
        <v>2</v>
      </c>
      <c r="DE4" s="6" t="s">
        <v>48</v>
      </c>
      <c r="DF4" s="9" t="s">
        <v>2</v>
      </c>
      <c r="DG4" s="10" t="s">
        <v>48</v>
      </c>
      <c r="DH4" s="9" t="s">
        <v>2</v>
      </c>
      <c r="DI4" s="10" t="s">
        <v>48</v>
      </c>
      <c r="DJ4" s="9" t="s">
        <v>2</v>
      </c>
      <c r="DK4" s="10" t="s">
        <v>48</v>
      </c>
      <c r="DL4" s="9" t="s">
        <v>2</v>
      </c>
      <c r="DM4" s="10" t="s">
        <v>48</v>
      </c>
      <c r="DN4" s="9" t="s">
        <v>2</v>
      </c>
      <c r="DO4" s="10" t="s">
        <v>48</v>
      </c>
      <c r="DP4" s="9" t="s">
        <v>2</v>
      </c>
      <c r="DQ4" s="10" t="s">
        <v>48</v>
      </c>
      <c r="DR4" s="9" t="s">
        <v>2</v>
      </c>
      <c r="DS4" s="10" t="s">
        <v>48</v>
      </c>
      <c r="DT4" s="9" t="s">
        <v>2</v>
      </c>
      <c r="DU4" s="10" t="s">
        <v>48</v>
      </c>
      <c r="DV4" s="9" t="s">
        <v>2</v>
      </c>
      <c r="DW4" s="10" t="s">
        <v>48</v>
      </c>
      <c r="DX4" s="9" t="s">
        <v>2</v>
      </c>
      <c r="DY4" s="10" t="s">
        <v>48</v>
      </c>
      <c r="DZ4" s="9" t="s">
        <v>2</v>
      </c>
      <c r="EA4" s="10" t="s">
        <v>48</v>
      </c>
      <c r="EB4" s="9" t="s">
        <v>2</v>
      </c>
      <c r="EC4" s="10" t="s">
        <v>48</v>
      </c>
      <c r="ED4" s="9" t="s">
        <v>2</v>
      </c>
      <c r="EE4" s="10" t="s">
        <v>48</v>
      </c>
      <c r="EF4" s="9" t="s">
        <v>2</v>
      </c>
      <c r="EG4" s="10" t="s">
        <v>48</v>
      </c>
      <c r="EH4" s="9" t="s">
        <v>2</v>
      </c>
      <c r="EI4" s="10" t="s">
        <v>48</v>
      </c>
      <c r="EJ4" s="9" t="s">
        <v>2</v>
      </c>
      <c r="EK4" s="10" t="s">
        <v>48</v>
      </c>
      <c r="EL4" s="9" t="s">
        <v>2</v>
      </c>
      <c r="EM4" s="10" t="s">
        <v>48</v>
      </c>
      <c r="EN4" s="9" t="s">
        <v>2</v>
      </c>
      <c r="EO4" s="10" t="s">
        <v>48</v>
      </c>
    </row>
    <row r="5" spans="1:145" ht="35.25" customHeight="1" x14ac:dyDescent="0.25">
      <c r="A5" s="3" t="s">
        <v>52</v>
      </c>
      <c r="B5" s="40">
        <v>117</v>
      </c>
      <c r="C5" s="40">
        <v>10.6</v>
      </c>
      <c r="D5" s="40">
        <v>114.6</v>
      </c>
      <c r="E5" s="40">
        <v>9.5</v>
      </c>
      <c r="F5" s="40">
        <v>114.3</v>
      </c>
      <c r="G5" s="40">
        <v>12.4</v>
      </c>
      <c r="H5" s="40">
        <v>120.9</v>
      </c>
      <c r="I5" s="40">
        <v>9.4</v>
      </c>
      <c r="J5" s="40">
        <v>121.6</v>
      </c>
      <c r="K5" s="40">
        <v>7.6</v>
      </c>
      <c r="L5" s="40">
        <v>122</v>
      </c>
      <c r="M5" s="40">
        <v>10.8</v>
      </c>
      <c r="N5" s="40">
        <v>133.9</v>
      </c>
      <c r="O5" s="40">
        <v>9.1999999999999993</v>
      </c>
      <c r="P5" s="40">
        <v>133.69999999999999</v>
      </c>
      <c r="Q5" s="40">
        <v>10.199999999999999</v>
      </c>
      <c r="R5" s="40">
        <v>132.30000000000001</v>
      </c>
      <c r="S5" s="40">
        <v>9.6</v>
      </c>
      <c r="T5" s="40">
        <v>29.4</v>
      </c>
      <c r="U5" s="40">
        <v>2.2999999999999998</v>
      </c>
      <c r="V5" s="40">
        <v>29</v>
      </c>
      <c r="W5" s="40">
        <v>1.7</v>
      </c>
      <c r="X5" s="40">
        <v>29.3</v>
      </c>
      <c r="Y5" s="40">
        <v>1.4</v>
      </c>
      <c r="Z5" s="42">
        <f>B5*0.68</f>
        <v>79.56</v>
      </c>
      <c r="AA5" s="42">
        <v>4.8</v>
      </c>
      <c r="AB5" s="42">
        <f>D5*0.68</f>
        <v>77.927999999999997</v>
      </c>
      <c r="AC5" s="42">
        <v>5.7</v>
      </c>
      <c r="AD5" s="42">
        <f>F5*0.68</f>
        <v>77.724000000000004</v>
      </c>
      <c r="AE5" s="42">
        <v>6</v>
      </c>
      <c r="AF5" s="42">
        <f ca="1">RANDBETWEEN(1050,1070)*H5/1000</f>
        <v>126.94499999999999</v>
      </c>
      <c r="AG5" s="42">
        <f t="shared" ref="AG5:AK6" ca="1" si="0">RANDBETWEEN(1050,1070)*I5/1000</f>
        <v>9.9169999999999998</v>
      </c>
      <c r="AH5" s="42">
        <f t="shared" ca="1" si="0"/>
        <v>130.11199999999999</v>
      </c>
      <c r="AI5" s="42">
        <f t="shared" ca="1" si="0"/>
        <v>8.0787999999999993</v>
      </c>
      <c r="AJ5" s="42">
        <f t="shared" ca="1" si="0"/>
        <v>129.07599999999999</v>
      </c>
      <c r="AK5" s="42">
        <f t="shared" ca="1" si="0"/>
        <v>11.372400000000001</v>
      </c>
      <c r="AL5" s="41">
        <v>118.1</v>
      </c>
      <c r="AM5" s="40">
        <v>12</v>
      </c>
      <c r="AN5" s="41">
        <v>113.9</v>
      </c>
      <c r="AO5" s="40">
        <v>11.4</v>
      </c>
      <c r="AP5" s="41">
        <v>114.1</v>
      </c>
      <c r="AQ5" s="40">
        <v>12.4</v>
      </c>
      <c r="AR5" s="41">
        <v>122.3</v>
      </c>
      <c r="AS5" s="40">
        <v>9.8000000000000007</v>
      </c>
      <c r="AT5" s="41">
        <v>121.9</v>
      </c>
      <c r="AU5" s="40">
        <v>8.5</v>
      </c>
      <c r="AV5" s="41">
        <v>121.7</v>
      </c>
      <c r="AW5" s="40">
        <v>10.1</v>
      </c>
      <c r="AX5" s="41">
        <v>132</v>
      </c>
      <c r="AY5" s="40">
        <v>9.8000000000000007</v>
      </c>
      <c r="AZ5" s="41">
        <v>132.4</v>
      </c>
      <c r="BA5" s="40">
        <v>10.1</v>
      </c>
      <c r="BB5" s="41">
        <v>132.4</v>
      </c>
      <c r="BC5" s="40">
        <v>10.4</v>
      </c>
      <c r="BD5" s="41">
        <v>29.4</v>
      </c>
      <c r="BE5" s="40">
        <v>1.7</v>
      </c>
      <c r="BF5" s="41">
        <v>29.2</v>
      </c>
      <c r="BG5" s="40">
        <v>1.2</v>
      </c>
      <c r="BH5" s="41">
        <v>31.8</v>
      </c>
      <c r="BI5" s="40">
        <v>4.2</v>
      </c>
      <c r="BJ5" s="42">
        <f>AL5*0.68</f>
        <v>80.308000000000007</v>
      </c>
      <c r="BK5" s="42">
        <v>5.6</v>
      </c>
      <c r="BL5" s="42">
        <f>AN5*0.68</f>
        <v>77.452000000000012</v>
      </c>
      <c r="BM5" s="42">
        <v>5.9</v>
      </c>
      <c r="BN5" s="42">
        <f>AP5*0.68</f>
        <v>77.588000000000008</v>
      </c>
      <c r="BO5" s="42">
        <v>6.8</v>
      </c>
      <c r="BP5" s="42">
        <f ca="1">RANDBETWEEN(1050,1070)*AR5/1000</f>
        <v>129.8826</v>
      </c>
      <c r="BQ5" s="42">
        <f t="shared" ref="BQ5:BU6" ca="1" si="1">RANDBETWEEN(1050,1070)*AS5/1000</f>
        <v>10.427200000000001</v>
      </c>
      <c r="BR5" s="42">
        <f t="shared" ca="1" si="1"/>
        <v>129.70160000000001</v>
      </c>
      <c r="BS5" s="42">
        <f t="shared" ca="1" si="1"/>
        <v>9.0355000000000008</v>
      </c>
      <c r="BT5" s="42">
        <f t="shared" ca="1" si="1"/>
        <v>128.39349999999999</v>
      </c>
      <c r="BU5" s="42">
        <f t="shared" ca="1" si="1"/>
        <v>10.6454</v>
      </c>
      <c r="BV5" s="41">
        <v>115.5</v>
      </c>
      <c r="BW5" s="40">
        <v>11.8</v>
      </c>
      <c r="BX5" s="41">
        <v>113.9</v>
      </c>
      <c r="BY5" s="40">
        <v>10.5</v>
      </c>
      <c r="BZ5" s="41">
        <v>113.1</v>
      </c>
      <c r="CA5" s="40">
        <v>12.2</v>
      </c>
      <c r="CB5" s="41">
        <v>122.7</v>
      </c>
      <c r="CC5" s="40">
        <v>8.5</v>
      </c>
      <c r="CD5" s="41">
        <v>121.6</v>
      </c>
      <c r="CE5" s="40">
        <v>7.8</v>
      </c>
      <c r="CF5" s="41">
        <v>121.5</v>
      </c>
      <c r="CG5" s="40">
        <v>10.5</v>
      </c>
      <c r="CH5" s="41">
        <v>130.9</v>
      </c>
      <c r="CI5" s="40">
        <v>9.6</v>
      </c>
      <c r="CJ5" s="41">
        <v>132.4</v>
      </c>
      <c r="CK5" s="40">
        <v>11</v>
      </c>
      <c r="CL5" s="41">
        <v>129.5</v>
      </c>
      <c r="CM5" s="40">
        <v>10.6</v>
      </c>
      <c r="CN5" s="41">
        <v>29.1</v>
      </c>
      <c r="CO5" s="40">
        <v>2.2999999999999998</v>
      </c>
      <c r="CP5" s="41">
        <v>29.5</v>
      </c>
      <c r="CQ5" s="40">
        <v>2</v>
      </c>
      <c r="CR5" s="44">
        <f ca="1">RANDBETWEEN(950,960)*BH5/1000</f>
        <v>30.273600000000002</v>
      </c>
      <c r="CS5" s="44">
        <f ca="1">RANDBETWEEN(950,960)*BI5/1000</f>
        <v>4.032</v>
      </c>
      <c r="CT5" s="42">
        <f>BV5*0.68</f>
        <v>78.540000000000006</v>
      </c>
      <c r="CU5" s="42">
        <v>4</v>
      </c>
      <c r="CV5" s="42">
        <f>BX5*0.68</f>
        <v>77.452000000000012</v>
      </c>
      <c r="CW5" s="42">
        <v>4.5</v>
      </c>
      <c r="CX5" s="42">
        <f>BZ5*0.68</f>
        <v>76.908000000000001</v>
      </c>
      <c r="CY5" s="42">
        <v>5</v>
      </c>
      <c r="CZ5" s="42">
        <f ca="1">RANDBETWEEN(1050,1070)*CB5/1000</f>
        <v>130.6755</v>
      </c>
      <c r="DA5" s="42">
        <f t="shared" ref="DA5:DE6" ca="1" si="2">RANDBETWEEN(1050,1070)*CC5/1000</f>
        <v>9.0694999999999997</v>
      </c>
      <c r="DB5" s="42">
        <f t="shared" ca="1" si="2"/>
        <v>129.13919999999999</v>
      </c>
      <c r="DC5" s="42">
        <f t="shared" ca="1" si="2"/>
        <v>8.19</v>
      </c>
      <c r="DD5" s="42">
        <f t="shared" ca="1" si="2"/>
        <v>129.8835</v>
      </c>
      <c r="DE5" s="42">
        <f t="shared" ca="1" si="2"/>
        <v>11.077500000000001</v>
      </c>
      <c r="DF5" s="41">
        <v>117.2</v>
      </c>
      <c r="DG5" s="40">
        <v>13.3</v>
      </c>
      <c r="DH5" s="44">
        <f t="shared" ref="DH5:DK6" ca="1" si="3">RANDBETWEEN(1050,1060)*BX5/1000</f>
        <v>120.2784</v>
      </c>
      <c r="DI5" s="44">
        <f t="shared" ca="1" si="3"/>
        <v>11.035500000000001</v>
      </c>
      <c r="DJ5" s="45">
        <f t="shared" ca="1" si="3"/>
        <v>119.20739999999999</v>
      </c>
      <c r="DK5" s="45">
        <f t="shared" ca="1" si="3"/>
        <v>12.907599999999999</v>
      </c>
      <c r="DL5" s="41">
        <v>121.6</v>
      </c>
      <c r="DM5" s="40">
        <v>11.2</v>
      </c>
      <c r="DN5" s="44">
        <f t="shared" ref="DN5:EC6" ca="1" si="4">RANDBETWEEN(1050,1060)*CD5/1000</f>
        <v>128.16639999999998</v>
      </c>
      <c r="DO5" s="44">
        <f t="shared" ca="1" si="4"/>
        <v>8.2211999999999996</v>
      </c>
      <c r="DP5" s="45">
        <f t="shared" ca="1" si="4"/>
        <v>128.66849999999999</v>
      </c>
      <c r="DQ5" s="45">
        <f t="shared" ca="1" si="4"/>
        <v>11.045999999999999</v>
      </c>
      <c r="DR5" s="44">
        <f t="shared" ca="1" si="4"/>
        <v>138.36130000000003</v>
      </c>
      <c r="DS5" s="44">
        <f t="shared" ca="1" si="4"/>
        <v>10.137600000000001</v>
      </c>
      <c r="DT5" s="44">
        <f t="shared" ca="1" si="4"/>
        <v>139.68199999999999</v>
      </c>
      <c r="DU5" s="44">
        <f t="shared" ca="1" si="4"/>
        <v>11.638</v>
      </c>
      <c r="DV5" s="45">
        <f t="shared" ca="1" si="4"/>
        <v>136.75200000000001</v>
      </c>
      <c r="DW5" s="45">
        <f t="shared" ca="1" si="4"/>
        <v>11.13</v>
      </c>
      <c r="DX5" s="44">
        <f t="shared" ca="1" si="4"/>
        <v>30.555</v>
      </c>
      <c r="DY5" s="44">
        <f t="shared" ca="1" si="4"/>
        <v>2.4333999999999998</v>
      </c>
      <c r="DZ5" s="44">
        <f t="shared" ca="1" si="4"/>
        <v>31.0045</v>
      </c>
      <c r="EA5" s="44">
        <f t="shared" ca="1" si="4"/>
        <v>2.1080000000000001</v>
      </c>
      <c r="EB5" s="45">
        <f t="shared" ca="1" si="4"/>
        <v>31.999195200000003</v>
      </c>
      <c r="EC5" s="45">
        <f t="shared" ca="1" si="4"/>
        <v>4.2456959999999997</v>
      </c>
      <c r="ED5" s="42">
        <f>DF5*0.68</f>
        <v>79.696000000000012</v>
      </c>
      <c r="EE5" s="42">
        <v>3.3</v>
      </c>
      <c r="EF5" s="42">
        <f ca="1">DH5*0.68</f>
        <v>81.78931200000001</v>
      </c>
      <c r="EG5" s="42">
        <v>4.5999999999999996</v>
      </c>
      <c r="EH5" s="43">
        <f ca="1">DJ5*0.68</f>
        <v>81.061031999999997</v>
      </c>
      <c r="EI5" s="43">
        <v>4.5999999999999996</v>
      </c>
      <c r="EJ5" s="42">
        <f ca="1">RANDBETWEEN(1050,1070)*DL5/1000</f>
        <v>129.50399999999999</v>
      </c>
      <c r="EK5" s="42">
        <f t="shared" ref="EK5:EO6" ca="1" si="5">RANDBETWEEN(1050,1070)*DM5/1000</f>
        <v>11.782399999999999</v>
      </c>
      <c r="EL5" s="42">
        <f t="shared" ca="1" si="5"/>
        <v>136.11271679999999</v>
      </c>
      <c r="EM5" s="42">
        <f t="shared" ca="1" si="5"/>
        <v>8.7802416000000001</v>
      </c>
      <c r="EN5" s="43">
        <f t="shared" ca="1" si="5"/>
        <v>136.13127299999999</v>
      </c>
      <c r="EO5" s="43">
        <f t="shared" ca="1" si="5"/>
        <v>11.808173999999999</v>
      </c>
    </row>
    <row r="6" spans="1:145" ht="34.5" customHeight="1" x14ac:dyDescent="0.25">
      <c r="A6" s="3" t="s">
        <v>53</v>
      </c>
      <c r="B6" s="40">
        <v>3.1</v>
      </c>
      <c r="C6" s="40">
        <v>10.4</v>
      </c>
      <c r="D6" s="40">
        <v>19.899999999999999</v>
      </c>
      <c r="E6" s="40">
        <v>16.5</v>
      </c>
      <c r="F6" s="40">
        <v>55.1</v>
      </c>
      <c r="G6" s="40">
        <v>16.3</v>
      </c>
      <c r="H6" s="40">
        <v>8.9</v>
      </c>
      <c r="I6" s="40">
        <v>8</v>
      </c>
      <c r="J6" s="40">
        <v>10</v>
      </c>
      <c r="K6" s="40">
        <v>12.8</v>
      </c>
      <c r="L6" s="40">
        <v>37.9</v>
      </c>
      <c r="M6" s="40">
        <v>13.2</v>
      </c>
      <c r="N6" s="40">
        <v>15.6</v>
      </c>
      <c r="O6" s="40">
        <v>7.3</v>
      </c>
      <c r="P6" s="40">
        <v>23.3</v>
      </c>
      <c r="Q6" s="40">
        <v>7.2</v>
      </c>
      <c r="R6" s="40">
        <v>21.2</v>
      </c>
      <c r="S6" s="40">
        <v>12.6</v>
      </c>
      <c r="T6" s="40">
        <v>0.8</v>
      </c>
      <c r="U6" s="40">
        <v>1.3</v>
      </c>
      <c r="V6" s="40">
        <v>2.9</v>
      </c>
      <c r="W6" s="40">
        <v>1.1000000000000001</v>
      </c>
      <c r="X6" s="40">
        <v>8.6999999999999993</v>
      </c>
      <c r="Y6" s="40">
        <v>3.4</v>
      </c>
      <c r="Z6" s="42">
        <f>B6/2</f>
        <v>1.55</v>
      </c>
      <c r="AA6" s="42">
        <f t="shared" ref="AA6:AE6" si="6">C6/2</f>
        <v>5.2</v>
      </c>
      <c r="AB6" s="42">
        <f t="shared" si="6"/>
        <v>9.9499999999999993</v>
      </c>
      <c r="AC6" s="42">
        <f t="shared" si="6"/>
        <v>8.25</v>
      </c>
      <c r="AD6" s="42">
        <f t="shared" si="6"/>
        <v>27.55</v>
      </c>
      <c r="AE6" s="42">
        <f t="shared" si="6"/>
        <v>8.15</v>
      </c>
      <c r="AF6" s="42">
        <f ca="1">RANDBETWEEN(1050,1070)*H6/1000</f>
        <v>9.3717000000000006</v>
      </c>
      <c r="AG6" s="42">
        <f t="shared" ca="1" si="0"/>
        <v>8.4960000000000004</v>
      </c>
      <c r="AH6" s="42">
        <f t="shared" ca="1" si="0"/>
        <v>10.6</v>
      </c>
      <c r="AI6" s="42">
        <f t="shared" ca="1" si="0"/>
        <v>13.670400000000001</v>
      </c>
      <c r="AJ6" s="42">
        <f t="shared" ca="1" si="0"/>
        <v>40.287699999999994</v>
      </c>
      <c r="AK6" s="42">
        <f t="shared" ca="1" si="0"/>
        <v>14.044799999999999</v>
      </c>
      <c r="AL6" s="41">
        <v>2.7</v>
      </c>
      <c r="AM6" s="40">
        <v>11</v>
      </c>
      <c r="AN6" s="41">
        <v>21.3</v>
      </c>
      <c r="AO6" s="40">
        <v>15.3</v>
      </c>
      <c r="AP6" s="41">
        <v>56</v>
      </c>
      <c r="AQ6" s="40">
        <v>15.4</v>
      </c>
      <c r="AR6" s="41">
        <v>4.4000000000000004</v>
      </c>
      <c r="AS6" s="40">
        <v>11.8</v>
      </c>
      <c r="AT6" s="41">
        <v>10.7</v>
      </c>
      <c r="AU6" s="40">
        <v>12.8</v>
      </c>
      <c r="AV6" s="41">
        <v>38.200000000000003</v>
      </c>
      <c r="AW6" s="40">
        <v>13</v>
      </c>
      <c r="AX6" s="41">
        <v>15.5</v>
      </c>
      <c r="AY6" s="40">
        <v>6.8</v>
      </c>
      <c r="AZ6" s="41">
        <v>19.600000000000001</v>
      </c>
      <c r="BA6" s="40">
        <v>6.4</v>
      </c>
      <c r="BB6" s="41">
        <v>26.5</v>
      </c>
      <c r="BC6" s="40">
        <v>13.7</v>
      </c>
      <c r="BD6" s="41">
        <v>1.5</v>
      </c>
      <c r="BE6" s="40">
        <v>1</v>
      </c>
      <c r="BF6" s="41">
        <v>4.3</v>
      </c>
      <c r="BG6" s="40">
        <v>0.8</v>
      </c>
      <c r="BH6" s="41">
        <v>11.9</v>
      </c>
      <c r="BI6" s="40">
        <v>5</v>
      </c>
      <c r="BJ6" s="42">
        <f>AL6/2</f>
        <v>1.35</v>
      </c>
      <c r="BK6" s="42">
        <f t="shared" ref="BK6:BO6" si="7">AM6/2</f>
        <v>5.5</v>
      </c>
      <c r="BL6" s="42">
        <f t="shared" si="7"/>
        <v>10.65</v>
      </c>
      <c r="BM6" s="42">
        <f t="shared" si="7"/>
        <v>7.65</v>
      </c>
      <c r="BN6" s="42">
        <f t="shared" si="7"/>
        <v>28</v>
      </c>
      <c r="BO6" s="42">
        <f t="shared" si="7"/>
        <v>7.7</v>
      </c>
      <c r="BP6" s="42">
        <f ca="1">RANDBETWEEN(1050,1070)*AR6/1000</f>
        <v>4.7036000000000007</v>
      </c>
      <c r="BQ6" s="42">
        <f t="shared" ca="1" si="1"/>
        <v>12.543400000000002</v>
      </c>
      <c r="BR6" s="42">
        <f t="shared" ca="1" si="1"/>
        <v>11.320599999999999</v>
      </c>
      <c r="BS6" s="42">
        <f t="shared" ca="1" si="1"/>
        <v>13.6576</v>
      </c>
      <c r="BT6" s="42">
        <f t="shared" ca="1" si="1"/>
        <v>40.186399999999999</v>
      </c>
      <c r="BU6" s="42">
        <f t="shared" ca="1" si="1"/>
        <v>13.819000000000001</v>
      </c>
      <c r="BV6" s="41">
        <v>117.2</v>
      </c>
      <c r="BW6" s="40">
        <v>13.3</v>
      </c>
      <c r="BX6" s="41">
        <v>24.3</v>
      </c>
      <c r="BY6" s="40">
        <v>15</v>
      </c>
      <c r="BZ6" s="41">
        <v>51.6</v>
      </c>
      <c r="CA6" s="40">
        <v>22.5</v>
      </c>
      <c r="CB6" s="41">
        <v>7.1</v>
      </c>
      <c r="CC6" s="40">
        <v>10</v>
      </c>
      <c r="CD6" s="41">
        <v>11.2</v>
      </c>
      <c r="CE6" s="40">
        <v>12.7</v>
      </c>
      <c r="CF6" s="41">
        <v>39</v>
      </c>
      <c r="CG6" s="40">
        <v>12.6</v>
      </c>
      <c r="CH6" s="41">
        <v>9.1999999999999993</v>
      </c>
      <c r="CI6" s="40">
        <v>11.8</v>
      </c>
      <c r="CJ6" s="41">
        <v>20.6</v>
      </c>
      <c r="CK6" s="40">
        <v>6.5</v>
      </c>
      <c r="CL6" s="41">
        <v>23.2</v>
      </c>
      <c r="CM6" s="40">
        <v>15.1</v>
      </c>
      <c r="CN6" s="41">
        <v>1.3</v>
      </c>
      <c r="CO6" s="40">
        <v>1.3</v>
      </c>
      <c r="CP6" s="41">
        <v>3.4</v>
      </c>
      <c r="CQ6" s="40">
        <v>0.9</v>
      </c>
      <c r="CR6" s="44">
        <f ca="1">RANDBETWEEN(950,960)*BH6/1000</f>
        <v>11.3407</v>
      </c>
      <c r="CS6" s="44">
        <f ca="1">RANDBETWEEN(950,960)*BI6/1000</f>
        <v>4.7750000000000004</v>
      </c>
      <c r="CT6" s="42">
        <f>BV6/2</f>
        <v>58.6</v>
      </c>
      <c r="CU6" s="42">
        <f t="shared" ref="CU6:CY6" si="8">BW6/2</f>
        <v>6.65</v>
      </c>
      <c r="CV6" s="42">
        <f t="shared" si="8"/>
        <v>12.15</v>
      </c>
      <c r="CW6" s="42">
        <f t="shared" si="8"/>
        <v>7.5</v>
      </c>
      <c r="CX6" s="42">
        <f t="shared" si="8"/>
        <v>25.8</v>
      </c>
      <c r="CY6" s="42">
        <f t="shared" si="8"/>
        <v>11.25</v>
      </c>
      <c r="CZ6" s="42">
        <f ca="1">RANDBETWEEN(1050,1070)*CB6/1000</f>
        <v>7.4620999999999995</v>
      </c>
      <c r="DA6" s="42">
        <f t="shared" ca="1" si="2"/>
        <v>10.69</v>
      </c>
      <c r="DB6" s="42">
        <f t="shared" ca="1" si="2"/>
        <v>11.883199999999999</v>
      </c>
      <c r="DC6" s="42">
        <f t="shared" ca="1" si="2"/>
        <v>13.487399999999999</v>
      </c>
      <c r="DD6" s="42">
        <f t="shared" ca="1" si="2"/>
        <v>41.301000000000002</v>
      </c>
      <c r="DE6" s="42">
        <f t="shared" ca="1" si="2"/>
        <v>13.2804</v>
      </c>
      <c r="DF6" s="41">
        <v>3.4</v>
      </c>
      <c r="DG6" s="40">
        <v>12.3</v>
      </c>
      <c r="DH6" s="44">
        <f t="shared" ca="1" si="3"/>
        <v>25.612200000000001</v>
      </c>
      <c r="DI6" s="44">
        <f t="shared" ca="1" si="3"/>
        <v>15.9</v>
      </c>
      <c r="DJ6" s="45">
        <f t="shared" ca="1" si="3"/>
        <v>54.334800000000001</v>
      </c>
      <c r="DK6" s="45">
        <f t="shared" ca="1" si="3"/>
        <v>23.715</v>
      </c>
      <c r="DL6" s="41">
        <v>4.0999999999999996</v>
      </c>
      <c r="DM6" s="40">
        <v>11.6</v>
      </c>
      <c r="DN6" s="44">
        <f t="shared" ca="1" si="4"/>
        <v>11.872</v>
      </c>
      <c r="DO6" s="44">
        <f t="shared" ca="1" si="4"/>
        <v>13.411199999999999</v>
      </c>
      <c r="DP6" s="45">
        <f t="shared" ca="1" si="4"/>
        <v>40.950000000000003</v>
      </c>
      <c r="DQ6" s="45">
        <f t="shared" ca="1" si="4"/>
        <v>13.242599999999999</v>
      </c>
      <c r="DR6" s="44">
        <f t="shared" ca="1" si="4"/>
        <v>9.7335999999999991</v>
      </c>
      <c r="DS6" s="44">
        <f t="shared" ca="1" si="4"/>
        <v>12.425400000000002</v>
      </c>
      <c r="DT6" s="44">
        <f t="shared" ca="1" si="4"/>
        <v>21.712400000000002</v>
      </c>
      <c r="DU6" s="44">
        <f t="shared" ca="1" si="4"/>
        <v>6.89</v>
      </c>
      <c r="DV6" s="45">
        <f t="shared" ca="1" si="4"/>
        <v>24.36</v>
      </c>
      <c r="DW6" s="45">
        <f t="shared" ca="1" si="4"/>
        <v>15.885199999999999</v>
      </c>
      <c r="DX6" s="44">
        <f t="shared" ca="1" si="4"/>
        <v>1.3702000000000001</v>
      </c>
      <c r="DY6" s="44">
        <f t="shared" ca="1" si="4"/>
        <v>1.3714999999999999</v>
      </c>
      <c r="DZ6" s="44">
        <f t="shared" ca="1" si="4"/>
        <v>3.57</v>
      </c>
      <c r="EA6" s="44">
        <f t="shared" ca="1" si="4"/>
        <v>0.94680000000000009</v>
      </c>
      <c r="EB6" s="45">
        <f t="shared" ca="1" si="4"/>
        <v>12.021141999999999</v>
      </c>
      <c r="EC6" s="45">
        <f t="shared" ca="1" si="4"/>
        <v>5.0424000000000007</v>
      </c>
      <c r="ED6" s="42">
        <f>DF6/2</f>
        <v>1.7</v>
      </c>
      <c r="EE6" s="42">
        <f t="shared" ref="EE6:EI6" si="9">DG6/2</f>
        <v>6.15</v>
      </c>
      <c r="EF6" s="42">
        <f t="shared" ca="1" si="9"/>
        <v>12.806100000000001</v>
      </c>
      <c r="EG6" s="42">
        <f t="shared" ca="1" si="9"/>
        <v>7.95</v>
      </c>
      <c r="EH6" s="43">
        <f t="shared" ca="1" si="9"/>
        <v>27.167400000000001</v>
      </c>
      <c r="EI6" s="43">
        <f t="shared" ca="1" si="9"/>
        <v>11.8575</v>
      </c>
      <c r="EJ6" s="42">
        <f ca="1">RANDBETWEEN(1050,1070)*DL6/1000</f>
        <v>4.3665000000000003</v>
      </c>
      <c r="EK6" s="42">
        <f t="shared" ca="1" si="5"/>
        <v>12.400399999999999</v>
      </c>
      <c r="EL6" s="42">
        <f t="shared" ca="1" si="5"/>
        <v>12.501216000000001</v>
      </c>
      <c r="EM6" s="42">
        <f t="shared" ca="1" si="5"/>
        <v>14.242694399999998</v>
      </c>
      <c r="EN6" s="43">
        <f t="shared" ca="1" si="5"/>
        <v>43.038450000000005</v>
      </c>
      <c r="EO6" s="43">
        <f t="shared" ca="1" si="5"/>
        <v>13.931215199999999</v>
      </c>
    </row>
    <row r="7" spans="1:145" ht="20.25" customHeight="1" x14ac:dyDescent="0.25">
      <c r="A7" s="2" t="s">
        <v>3</v>
      </c>
      <c r="B7" s="8">
        <v>1600</v>
      </c>
      <c r="C7" s="8">
        <v>1600</v>
      </c>
      <c r="D7" s="8">
        <v>1600</v>
      </c>
      <c r="E7" s="8">
        <v>1600</v>
      </c>
      <c r="F7" s="8">
        <v>1600</v>
      </c>
      <c r="G7" s="8">
        <v>1600</v>
      </c>
      <c r="H7" s="8">
        <v>1600</v>
      </c>
      <c r="I7" s="8">
        <v>1600</v>
      </c>
      <c r="J7" s="8">
        <v>1600</v>
      </c>
      <c r="K7" s="8">
        <v>1600</v>
      </c>
      <c r="L7" s="8">
        <v>1600</v>
      </c>
      <c r="M7" s="8">
        <v>1600</v>
      </c>
      <c r="N7" s="8">
        <v>1600</v>
      </c>
      <c r="O7" s="8">
        <v>1600</v>
      </c>
      <c r="P7" s="8">
        <v>1600</v>
      </c>
      <c r="Q7" s="8">
        <v>1600</v>
      </c>
      <c r="R7" s="8">
        <v>1600</v>
      </c>
      <c r="S7" s="8">
        <v>1600</v>
      </c>
      <c r="T7" s="8">
        <v>1600</v>
      </c>
      <c r="U7" s="8">
        <v>1600</v>
      </c>
      <c r="V7" s="8">
        <v>1600</v>
      </c>
      <c r="W7" s="8">
        <v>1600</v>
      </c>
      <c r="X7" s="8">
        <v>1600</v>
      </c>
      <c r="Y7" s="8">
        <v>1600</v>
      </c>
      <c r="Z7" s="8">
        <v>1600</v>
      </c>
      <c r="AA7" s="8">
        <v>1600</v>
      </c>
      <c r="AB7" s="8">
        <v>1600</v>
      </c>
      <c r="AC7" s="8">
        <v>1600</v>
      </c>
      <c r="AD7" s="8">
        <v>1600</v>
      </c>
      <c r="AE7" s="8">
        <v>1600</v>
      </c>
      <c r="AF7" s="8">
        <v>1600</v>
      </c>
      <c r="AG7" s="8">
        <v>1600</v>
      </c>
      <c r="AH7" s="8">
        <v>1600</v>
      </c>
      <c r="AI7" s="8">
        <v>1600</v>
      </c>
      <c r="AJ7" s="8">
        <v>1600</v>
      </c>
      <c r="AK7" s="8">
        <v>1600</v>
      </c>
      <c r="AL7" s="8">
        <v>1600</v>
      </c>
      <c r="AM7" s="8">
        <v>1600</v>
      </c>
      <c r="AN7" s="8">
        <v>1600</v>
      </c>
      <c r="AO7" s="8">
        <v>1600</v>
      </c>
      <c r="AP7" s="8">
        <v>1600</v>
      </c>
      <c r="AQ7" s="8">
        <v>1600</v>
      </c>
      <c r="AR7" s="8">
        <v>1600</v>
      </c>
      <c r="AS7" s="8">
        <v>1600</v>
      </c>
      <c r="AT7" s="8">
        <v>1600</v>
      </c>
      <c r="AU7" s="8">
        <v>1600</v>
      </c>
      <c r="AV7" s="8">
        <v>1600</v>
      </c>
      <c r="AW7" s="8">
        <v>1600</v>
      </c>
      <c r="AX7" s="8">
        <v>1600</v>
      </c>
      <c r="AY7" s="8">
        <v>1600</v>
      </c>
      <c r="AZ7" s="8">
        <v>1600</v>
      </c>
      <c r="BA7" s="8">
        <v>1600</v>
      </c>
      <c r="BB7" s="8">
        <v>1600</v>
      </c>
      <c r="BC7" s="8">
        <v>1600</v>
      </c>
      <c r="BD7" s="8">
        <v>1600</v>
      </c>
      <c r="BE7" s="8">
        <v>1600</v>
      </c>
      <c r="BF7" s="8">
        <v>1600</v>
      </c>
      <c r="BG7" s="8">
        <v>1600</v>
      </c>
      <c r="BH7" s="8">
        <v>1600</v>
      </c>
      <c r="BI7" s="8">
        <v>1600</v>
      </c>
      <c r="BJ7" s="8">
        <v>1600</v>
      </c>
      <c r="BK7" s="8">
        <v>1600</v>
      </c>
      <c r="BL7" s="8">
        <v>1600</v>
      </c>
      <c r="BM7" s="8">
        <v>1600</v>
      </c>
      <c r="BN7" s="8">
        <v>1600</v>
      </c>
      <c r="BO7" s="8">
        <v>1600</v>
      </c>
      <c r="BP7" s="8">
        <v>1600</v>
      </c>
      <c r="BQ7" s="8">
        <v>1600</v>
      </c>
      <c r="BR7" s="8">
        <v>1600</v>
      </c>
      <c r="BS7" s="8">
        <v>1600</v>
      </c>
      <c r="BT7" s="8">
        <v>1600</v>
      </c>
      <c r="BU7" s="8">
        <v>1600</v>
      </c>
      <c r="BV7" s="8">
        <v>1600</v>
      </c>
      <c r="BW7" s="8">
        <v>1600</v>
      </c>
      <c r="BX7" s="8">
        <v>1600</v>
      </c>
      <c r="BY7" s="8">
        <v>1600</v>
      </c>
      <c r="BZ7" s="8">
        <v>1600</v>
      </c>
      <c r="CA7" s="8">
        <v>1600</v>
      </c>
      <c r="CB7" s="8">
        <v>1600</v>
      </c>
      <c r="CC7" s="8">
        <v>1600</v>
      </c>
      <c r="CD7" s="8">
        <v>1600</v>
      </c>
      <c r="CE7" s="8">
        <v>1600</v>
      </c>
      <c r="CF7" s="8">
        <v>1600</v>
      </c>
      <c r="CG7" s="8">
        <v>1600</v>
      </c>
      <c r="CH7" s="8">
        <v>1600</v>
      </c>
      <c r="CI7" s="8">
        <v>1600</v>
      </c>
      <c r="CJ7" s="8">
        <v>1600</v>
      </c>
      <c r="CK7" s="8">
        <v>1600</v>
      </c>
      <c r="CL7" s="8">
        <v>1600</v>
      </c>
      <c r="CM7" s="8">
        <v>1600</v>
      </c>
      <c r="CN7" s="8">
        <v>1600</v>
      </c>
      <c r="CO7" s="8">
        <v>1600</v>
      </c>
      <c r="CP7" s="8">
        <v>1600</v>
      </c>
      <c r="CQ7" s="8">
        <v>1600</v>
      </c>
      <c r="CR7" s="8">
        <v>1600</v>
      </c>
      <c r="CS7" s="8">
        <v>1600</v>
      </c>
      <c r="CT7" s="8">
        <v>1600</v>
      </c>
      <c r="CU7" s="8">
        <v>1600</v>
      </c>
      <c r="CV7" s="8">
        <v>1600</v>
      </c>
      <c r="CW7" s="8">
        <v>1600</v>
      </c>
      <c r="CX7" s="8">
        <v>1600</v>
      </c>
      <c r="CY7" s="8">
        <v>1600</v>
      </c>
      <c r="CZ7" s="8">
        <v>1600</v>
      </c>
      <c r="DA7" s="8">
        <v>1600</v>
      </c>
      <c r="DB7" s="8">
        <v>1600</v>
      </c>
      <c r="DC7" s="8">
        <v>1600</v>
      </c>
      <c r="DD7" s="8">
        <v>1600</v>
      </c>
      <c r="DE7" s="8">
        <v>1600</v>
      </c>
      <c r="DF7" s="8">
        <v>1600</v>
      </c>
      <c r="DG7" s="8">
        <v>1600</v>
      </c>
      <c r="DH7" s="8">
        <v>1600</v>
      </c>
      <c r="DI7" s="8">
        <v>1600</v>
      </c>
      <c r="DJ7" s="8">
        <v>1600</v>
      </c>
      <c r="DK7" s="8">
        <v>1600</v>
      </c>
      <c r="DL7" s="8">
        <v>1600</v>
      </c>
      <c r="DM7" s="8">
        <v>1600</v>
      </c>
      <c r="DN7" s="8">
        <v>1600</v>
      </c>
      <c r="DO7" s="8">
        <v>1600</v>
      </c>
      <c r="DP7" s="8">
        <v>1600</v>
      </c>
      <c r="DQ7" s="8">
        <v>1600</v>
      </c>
      <c r="DR7" s="8">
        <v>1600</v>
      </c>
      <c r="DS7" s="8">
        <v>1600</v>
      </c>
      <c r="DT7" s="8">
        <v>1600</v>
      </c>
      <c r="DU7" s="8">
        <v>1600</v>
      </c>
      <c r="DV7" s="8">
        <v>1600</v>
      </c>
      <c r="DW7" s="8">
        <v>1600</v>
      </c>
      <c r="DX7" s="8">
        <v>1600</v>
      </c>
      <c r="DY7" s="8">
        <v>1600</v>
      </c>
      <c r="DZ7" s="8">
        <v>1600</v>
      </c>
      <c r="EA7" s="8">
        <v>1600</v>
      </c>
      <c r="EB7" s="8">
        <v>1600</v>
      </c>
      <c r="EC7" s="8">
        <v>1600</v>
      </c>
      <c r="ED7" s="8">
        <v>1600</v>
      </c>
      <c r="EE7" s="8">
        <v>1600</v>
      </c>
      <c r="EF7" s="8">
        <v>1600</v>
      </c>
      <c r="EG7" s="8">
        <v>1600</v>
      </c>
      <c r="EH7" s="8">
        <v>1600</v>
      </c>
      <c r="EI7" s="8">
        <v>1600</v>
      </c>
      <c r="EJ7" s="8">
        <v>1600</v>
      </c>
      <c r="EK7" s="8">
        <v>1600</v>
      </c>
      <c r="EL7" s="8">
        <v>1600</v>
      </c>
      <c r="EM7" s="8">
        <v>1600</v>
      </c>
      <c r="EN7" s="8">
        <v>1600</v>
      </c>
      <c r="EO7" s="8">
        <v>1600</v>
      </c>
    </row>
    <row r="8" spans="1:145" ht="20.25" customHeight="1" x14ac:dyDescent="0.25">
      <c r="A8" s="2" t="s">
        <v>111</v>
      </c>
      <c r="B8" s="8">
        <v>1</v>
      </c>
      <c r="C8" s="8">
        <v>1</v>
      </c>
      <c r="D8" s="8">
        <v>1</v>
      </c>
      <c r="E8" s="8">
        <v>1</v>
      </c>
      <c r="F8" s="8">
        <v>1</v>
      </c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>
        <v>1</v>
      </c>
      <c r="AF8" s="8">
        <v>1</v>
      </c>
      <c r="AG8" s="8">
        <v>1</v>
      </c>
      <c r="AH8" s="8">
        <v>1</v>
      </c>
      <c r="AI8" s="8">
        <v>1</v>
      </c>
      <c r="AJ8" s="8">
        <v>1</v>
      </c>
      <c r="AK8" s="8">
        <v>1</v>
      </c>
      <c r="AL8" s="11">
        <v>1</v>
      </c>
      <c r="AM8" s="12">
        <v>1</v>
      </c>
      <c r="AN8" s="11">
        <v>1</v>
      </c>
      <c r="AO8" s="12">
        <v>1</v>
      </c>
      <c r="AP8" s="11">
        <v>1</v>
      </c>
      <c r="AQ8" s="12">
        <v>1</v>
      </c>
      <c r="AR8" s="11">
        <v>1</v>
      </c>
      <c r="AS8" s="12">
        <v>1</v>
      </c>
      <c r="AT8" s="11">
        <v>1</v>
      </c>
      <c r="AU8" s="12">
        <v>1</v>
      </c>
      <c r="AV8" s="11">
        <v>1</v>
      </c>
      <c r="AW8" s="12">
        <v>1</v>
      </c>
      <c r="AX8" s="11">
        <v>1</v>
      </c>
      <c r="AY8" s="12">
        <v>1</v>
      </c>
      <c r="AZ8" s="11">
        <v>1</v>
      </c>
      <c r="BA8" s="12">
        <v>1</v>
      </c>
      <c r="BB8" s="11">
        <v>1</v>
      </c>
      <c r="BC8" s="12">
        <v>1</v>
      </c>
      <c r="BD8" s="11">
        <v>1</v>
      </c>
      <c r="BE8" s="12">
        <v>1</v>
      </c>
      <c r="BF8" s="11">
        <v>1</v>
      </c>
      <c r="BG8" s="12">
        <v>1</v>
      </c>
      <c r="BH8" s="11">
        <v>1</v>
      </c>
      <c r="BI8" s="12">
        <v>1</v>
      </c>
      <c r="BJ8" s="11">
        <v>1</v>
      </c>
      <c r="BK8" s="12">
        <v>1</v>
      </c>
      <c r="BL8" s="11">
        <v>1</v>
      </c>
      <c r="BM8" s="12">
        <v>1</v>
      </c>
      <c r="BN8" s="11">
        <v>1</v>
      </c>
      <c r="BO8" s="12">
        <v>1</v>
      </c>
      <c r="BP8" s="11">
        <v>1</v>
      </c>
      <c r="BQ8" s="12">
        <v>1</v>
      </c>
      <c r="BR8" s="11">
        <v>1</v>
      </c>
      <c r="BS8" s="12">
        <v>1</v>
      </c>
      <c r="BT8" s="11">
        <v>1</v>
      </c>
      <c r="BU8" s="12">
        <v>1</v>
      </c>
      <c r="BV8" s="5">
        <v>1</v>
      </c>
      <c r="BW8" s="6">
        <v>1</v>
      </c>
      <c r="BX8" s="5">
        <v>1</v>
      </c>
      <c r="BY8" s="6">
        <v>1</v>
      </c>
      <c r="BZ8" s="5">
        <v>1</v>
      </c>
      <c r="CA8" s="6">
        <v>1</v>
      </c>
      <c r="CB8" s="5">
        <v>1</v>
      </c>
      <c r="CC8" s="6">
        <v>1</v>
      </c>
      <c r="CD8" s="5">
        <v>1</v>
      </c>
      <c r="CE8" s="6">
        <v>1</v>
      </c>
      <c r="CF8" s="5">
        <v>1</v>
      </c>
      <c r="CG8" s="6">
        <v>1</v>
      </c>
      <c r="CH8" s="5">
        <v>1</v>
      </c>
      <c r="CI8" s="6">
        <v>1</v>
      </c>
      <c r="CJ8" s="5">
        <v>1</v>
      </c>
      <c r="CK8" s="6">
        <v>1</v>
      </c>
      <c r="CL8" s="5">
        <v>1</v>
      </c>
      <c r="CM8" s="6">
        <v>1</v>
      </c>
      <c r="CN8" s="5">
        <v>1</v>
      </c>
      <c r="CO8" s="6">
        <v>1</v>
      </c>
      <c r="CP8" s="5">
        <v>1</v>
      </c>
      <c r="CQ8" s="6">
        <v>1</v>
      </c>
      <c r="CR8" s="5">
        <v>1</v>
      </c>
      <c r="CS8" s="6">
        <v>1</v>
      </c>
      <c r="CT8" s="5">
        <v>1</v>
      </c>
      <c r="CU8" s="6">
        <v>1</v>
      </c>
      <c r="CV8" s="5">
        <v>1</v>
      </c>
      <c r="CW8" s="6">
        <v>1</v>
      </c>
      <c r="CX8" s="5">
        <v>1</v>
      </c>
      <c r="CY8" s="6">
        <v>1</v>
      </c>
      <c r="CZ8" s="5">
        <v>1</v>
      </c>
      <c r="DA8" s="6">
        <v>1</v>
      </c>
      <c r="DB8" s="5">
        <v>1</v>
      </c>
      <c r="DC8" s="6">
        <v>1</v>
      </c>
      <c r="DD8" s="5">
        <v>1</v>
      </c>
      <c r="DE8" s="6">
        <v>1</v>
      </c>
      <c r="DF8" s="9">
        <v>1</v>
      </c>
      <c r="DG8" s="10">
        <v>1</v>
      </c>
      <c r="DH8" s="9">
        <v>1</v>
      </c>
      <c r="DI8" s="10">
        <v>1</v>
      </c>
      <c r="DJ8" s="9">
        <v>1</v>
      </c>
      <c r="DK8" s="10">
        <v>1</v>
      </c>
      <c r="DL8" s="9">
        <v>1</v>
      </c>
      <c r="DM8" s="10">
        <v>1</v>
      </c>
      <c r="DN8" s="9">
        <v>1</v>
      </c>
      <c r="DO8" s="10">
        <v>1</v>
      </c>
      <c r="DP8" s="9">
        <v>1</v>
      </c>
      <c r="DQ8" s="10">
        <v>1</v>
      </c>
      <c r="DR8" s="9">
        <v>1</v>
      </c>
      <c r="DS8" s="10">
        <v>1</v>
      </c>
      <c r="DT8" s="9">
        <v>1</v>
      </c>
      <c r="DU8" s="10">
        <v>1</v>
      </c>
      <c r="DV8" s="9">
        <v>1</v>
      </c>
      <c r="DW8" s="10">
        <v>1</v>
      </c>
      <c r="DX8" s="9">
        <v>1</v>
      </c>
      <c r="DY8" s="10">
        <v>1</v>
      </c>
      <c r="DZ8" s="9">
        <v>1</v>
      </c>
      <c r="EA8" s="10">
        <v>1</v>
      </c>
      <c r="EB8" s="9">
        <v>1</v>
      </c>
      <c r="EC8" s="10">
        <v>1</v>
      </c>
      <c r="ED8" s="9">
        <v>1</v>
      </c>
      <c r="EE8" s="10">
        <v>1</v>
      </c>
      <c r="EF8" s="9">
        <v>1</v>
      </c>
      <c r="EG8" s="10">
        <v>1</v>
      </c>
      <c r="EH8" s="9">
        <v>1</v>
      </c>
      <c r="EI8" s="10">
        <v>1</v>
      </c>
      <c r="EJ8" s="9">
        <v>1</v>
      </c>
      <c r="EK8" s="10">
        <v>1</v>
      </c>
      <c r="EL8" s="9">
        <v>1</v>
      </c>
      <c r="EM8" s="10">
        <v>1</v>
      </c>
      <c r="EN8" s="9">
        <v>1</v>
      </c>
      <c r="EO8" s="10">
        <v>1</v>
      </c>
    </row>
    <row r="9" spans="1:145" ht="31.5" customHeight="1" x14ac:dyDescent="0.25">
      <c r="A9" s="3" t="s">
        <v>252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09"/>
      <c r="AM9" s="12"/>
      <c r="AN9" s="109"/>
      <c r="AO9" s="12"/>
      <c r="AP9" s="109"/>
      <c r="AQ9" s="12"/>
      <c r="AR9" s="109"/>
      <c r="AS9" s="12"/>
      <c r="AT9" s="109"/>
      <c r="AU9" s="12"/>
      <c r="AV9" s="109"/>
      <c r="AW9" s="12"/>
      <c r="AX9" s="109"/>
      <c r="AY9" s="12"/>
      <c r="AZ9" s="109"/>
      <c r="BA9" s="12"/>
      <c r="BB9" s="109"/>
      <c r="BC9" s="12"/>
      <c r="BD9" s="109"/>
      <c r="BE9" s="12"/>
      <c r="BF9" s="109"/>
      <c r="BG9" s="12"/>
      <c r="BH9" s="109"/>
      <c r="BI9" s="12"/>
      <c r="BJ9" s="109"/>
      <c r="BK9" s="12"/>
      <c r="BL9" s="109"/>
      <c r="BM9" s="12"/>
      <c r="BN9" s="109"/>
      <c r="BO9" s="12"/>
      <c r="BP9" s="109"/>
      <c r="BQ9" s="12"/>
      <c r="BR9" s="109"/>
      <c r="BS9" s="12"/>
      <c r="BT9" s="109"/>
      <c r="BU9" s="12"/>
      <c r="BV9" s="110"/>
      <c r="BW9" s="6"/>
      <c r="BX9" s="110"/>
      <c r="BY9" s="6"/>
      <c r="BZ9" s="110"/>
      <c r="CA9" s="6"/>
      <c r="CB9" s="110"/>
      <c r="CC9" s="6"/>
      <c r="CD9" s="110"/>
      <c r="CE9" s="6"/>
      <c r="CF9" s="110"/>
      <c r="CG9" s="6"/>
      <c r="CH9" s="110"/>
      <c r="CI9" s="6"/>
      <c r="CJ9" s="110"/>
      <c r="CK9" s="6"/>
      <c r="CL9" s="110"/>
      <c r="CM9" s="6"/>
      <c r="CN9" s="110"/>
      <c r="CO9" s="6"/>
      <c r="CP9" s="110"/>
      <c r="CQ9" s="6"/>
      <c r="CR9" s="110"/>
      <c r="CS9" s="6"/>
      <c r="CT9" s="110"/>
      <c r="CU9" s="6"/>
      <c r="CV9" s="110"/>
      <c r="CW9" s="6"/>
      <c r="CX9" s="110"/>
      <c r="CY9" s="6"/>
      <c r="CZ9" s="110"/>
      <c r="DA9" s="6"/>
      <c r="DB9" s="110"/>
      <c r="DC9" s="6"/>
      <c r="DD9" s="110"/>
      <c r="DE9" s="6"/>
      <c r="DF9" s="111"/>
      <c r="DG9" s="10"/>
      <c r="DH9" s="111"/>
      <c r="DI9" s="10"/>
      <c r="DJ9" s="111"/>
      <c r="DK9" s="10"/>
      <c r="DL9" s="111"/>
      <c r="DM9" s="10"/>
      <c r="DN9" s="111"/>
      <c r="DO9" s="10"/>
      <c r="DP9" s="111"/>
      <c r="DQ9" s="10"/>
      <c r="DR9" s="111"/>
      <c r="DS9" s="10"/>
      <c r="DT9" s="111"/>
      <c r="DU9" s="10"/>
      <c r="DV9" s="111"/>
      <c r="DW9" s="10"/>
      <c r="DX9" s="111"/>
      <c r="DY9" s="10"/>
      <c r="DZ9" s="111"/>
      <c r="EA9" s="10"/>
      <c r="EB9" s="111"/>
      <c r="EC9" s="10"/>
      <c r="ED9" s="111"/>
      <c r="EE9" s="10"/>
      <c r="EF9" s="111"/>
      <c r="EG9" s="10"/>
      <c r="EH9" s="111"/>
      <c r="EI9" s="10"/>
      <c r="EJ9" s="111"/>
      <c r="EK9" s="10"/>
      <c r="EL9" s="111"/>
      <c r="EM9" s="10"/>
      <c r="EN9" s="111"/>
      <c r="EO9" s="10"/>
    </row>
    <row r="10" spans="1:145" x14ac:dyDescent="0.25">
      <c r="A10" s="3" t="s">
        <v>4</v>
      </c>
      <c r="B10" s="8">
        <v>1.0029999999999999</v>
      </c>
      <c r="C10" s="8">
        <v>1.0029999999999999</v>
      </c>
      <c r="D10" s="8">
        <v>1.0029999999999999</v>
      </c>
      <c r="E10" s="8">
        <v>1.0029999999999999</v>
      </c>
      <c r="F10" s="8">
        <v>1.0029999999999999</v>
      </c>
      <c r="G10" s="8">
        <v>1.0029999999999999</v>
      </c>
      <c r="H10" s="8">
        <v>1.0029999999999999</v>
      </c>
      <c r="I10" s="8">
        <v>1.0029999999999999</v>
      </c>
      <c r="J10" s="8">
        <v>1.0029999999999999</v>
      </c>
      <c r="K10" s="8">
        <v>1.0029999999999999</v>
      </c>
      <c r="L10" s="8">
        <v>1.0029999999999999</v>
      </c>
      <c r="M10" s="8">
        <v>1.0029999999999999</v>
      </c>
      <c r="N10" s="8">
        <v>1.0029999999999999</v>
      </c>
      <c r="O10" s="8">
        <v>1.0029999999999999</v>
      </c>
      <c r="P10" s="8">
        <v>1.0029999999999999</v>
      </c>
      <c r="Q10" s="8">
        <v>1.0029999999999999</v>
      </c>
      <c r="R10" s="8">
        <v>1.0029999999999999</v>
      </c>
      <c r="S10" s="8">
        <v>1.0029999999999999</v>
      </c>
      <c r="T10" s="8">
        <v>1.0029999999999999</v>
      </c>
      <c r="U10" s="8">
        <v>1.0029999999999999</v>
      </c>
      <c r="V10" s="8">
        <v>1.0029999999999999</v>
      </c>
      <c r="W10" s="8">
        <v>1.0029999999999999</v>
      </c>
      <c r="X10" s="8">
        <v>1.0029999999999999</v>
      </c>
      <c r="Y10" s="8">
        <v>1.0029999999999999</v>
      </c>
      <c r="Z10" s="8">
        <v>1.0029999999999999</v>
      </c>
      <c r="AA10" s="8">
        <v>1.0029999999999999</v>
      </c>
      <c r="AB10" s="8">
        <v>1.0029999999999999</v>
      </c>
      <c r="AC10" s="8">
        <v>1.0029999999999999</v>
      </c>
      <c r="AD10" s="8">
        <v>1.0029999999999999</v>
      </c>
      <c r="AE10" s="8">
        <v>1.0029999999999999</v>
      </c>
      <c r="AF10" s="8">
        <v>1.0029999999999999</v>
      </c>
      <c r="AG10" s="8">
        <v>1.0029999999999999</v>
      </c>
      <c r="AH10" s="8">
        <v>1.0029999999999999</v>
      </c>
      <c r="AI10" s="8">
        <v>1.0029999999999999</v>
      </c>
      <c r="AJ10" s="8">
        <v>1.0029999999999999</v>
      </c>
      <c r="AK10" s="8">
        <v>1.0029999999999999</v>
      </c>
      <c r="AL10" s="8">
        <v>1.0029999999999999</v>
      </c>
      <c r="AM10" s="8">
        <v>1.0029999999999999</v>
      </c>
      <c r="AN10" s="8">
        <v>1.0029999999999999</v>
      </c>
      <c r="AO10" s="8">
        <v>1.0029999999999999</v>
      </c>
      <c r="AP10" s="8">
        <v>1.0029999999999999</v>
      </c>
      <c r="AQ10" s="8">
        <v>1.0029999999999999</v>
      </c>
      <c r="AR10" s="8">
        <v>1.0029999999999999</v>
      </c>
      <c r="AS10" s="8">
        <v>1.0029999999999999</v>
      </c>
      <c r="AT10" s="8">
        <v>1.0029999999999999</v>
      </c>
      <c r="AU10" s="8">
        <v>1.0029999999999999</v>
      </c>
      <c r="AV10" s="8">
        <v>1.0029999999999999</v>
      </c>
      <c r="AW10" s="8">
        <v>1.0029999999999999</v>
      </c>
      <c r="AX10" s="8">
        <v>1.0029999999999999</v>
      </c>
      <c r="AY10" s="8">
        <v>1.0029999999999999</v>
      </c>
      <c r="AZ10" s="8">
        <v>1.0029999999999999</v>
      </c>
      <c r="BA10" s="8">
        <v>1.0029999999999999</v>
      </c>
      <c r="BB10" s="8">
        <v>1.0029999999999999</v>
      </c>
      <c r="BC10" s="8">
        <v>1.0029999999999999</v>
      </c>
      <c r="BD10" s="8">
        <v>1.0029999999999999</v>
      </c>
      <c r="BE10" s="8">
        <v>1.0029999999999999</v>
      </c>
      <c r="BF10" s="8">
        <v>1.0029999999999999</v>
      </c>
      <c r="BG10" s="8">
        <v>1.0029999999999999</v>
      </c>
      <c r="BH10" s="8">
        <v>1.0029999999999999</v>
      </c>
      <c r="BI10" s="8">
        <v>1.0029999999999999</v>
      </c>
      <c r="BJ10" s="8">
        <v>1.0029999999999999</v>
      </c>
      <c r="BK10" s="8">
        <v>1.0029999999999999</v>
      </c>
      <c r="BL10" s="8">
        <v>1.0029999999999999</v>
      </c>
      <c r="BM10" s="8">
        <v>1.0029999999999999</v>
      </c>
      <c r="BN10" s="8">
        <v>1.0029999999999999</v>
      </c>
      <c r="BO10" s="8">
        <v>1.0029999999999999</v>
      </c>
      <c r="BP10" s="8">
        <v>1.0029999999999999</v>
      </c>
      <c r="BQ10" s="8">
        <v>1.0029999999999999</v>
      </c>
      <c r="BR10" s="8">
        <v>1.0029999999999999</v>
      </c>
      <c r="BS10" s="8">
        <v>1.0029999999999999</v>
      </c>
      <c r="BT10" s="8">
        <v>1.0029999999999999</v>
      </c>
      <c r="BU10" s="8">
        <v>1.0029999999999999</v>
      </c>
      <c r="BV10" s="8">
        <v>1.0029999999999999</v>
      </c>
      <c r="BW10" s="8">
        <v>1.0029999999999999</v>
      </c>
      <c r="BX10" s="8">
        <v>1.0029999999999999</v>
      </c>
      <c r="BY10" s="8">
        <v>1.0029999999999999</v>
      </c>
      <c r="BZ10" s="8">
        <v>1.0029999999999999</v>
      </c>
      <c r="CA10" s="8">
        <v>1.0029999999999999</v>
      </c>
      <c r="CB10" s="8">
        <v>1.0029999999999999</v>
      </c>
      <c r="CC10" s="8">
        <v>1.0029999999999999</v>
      </c>
      <c r="CD10" s="8">
        <v>1.0029999999999999</v>
      </c>
      <c r="CE10" s="8">
        <v>1.0029999999999999</v>
      </c>
      <c r="CF10" s="8">
        <v>1.0029999999999999</v>
      </c>
      <c r="CG10" s="8">
        <v>1.0029999999999999</v>
      </c>
      <c r="CH10" s="8">
        <v>1.0029999999999999</v>
      </c>
      <c r="CI10" s="8">
        <v>1.0029999999999999</v>
      </c>
      <c r="CJ10" s="8">
        <v>1.0029999999999999</v>
      </c>
      <c r="CK10" s="8">
        <v>1.0029999999999999</v>
      </c>
      <c r="CL10" s="8">
        <v>1.0029999999999999</v>
      </c>
      <c r="CM10" s="8">
        <v>1.0029999999999999</v>
      </c>
      <c r="CN10" s="8">
        <v>1.0029999999999999</v>
      </c>
      <c r="CO10" s="8">
        <v>1.0029999999999999</v>
      </c>
      <c r="CP10" s="8">
        <v>1.0029999999999999</v>
      </c>
      <c r="CQ10" s="8">
        <v>1.0029999999999999</v>
      </c>
      <c r="CR10" s="8">
        <v>1.0029999999999999</v>
      </c>
      <c r="CS10" s="8">
        <v>1.0029999999999999</v>
      </c>
      <c r="CT10" s="8">
        <v>1.0029999999999999</v>
      </c>
      <c r="CU10" s="8">
        <v>1.0029999999999999</v>
      </c>
      <c r="CV10" s="8">
        <v>1.0029999999999999</v>
      </c>
      <c r="CW10" s="8">
        <v>1.0029999999999999</v>
      </c>
      <c r="CX10" s="8">
        <v>1.0029999999999999</v>
      </c>
      <c r="CY10" s="8">
        <v>1.0029999999999999</v>
      </c>
      <c r="CZ10" s="8">
        <v>1.0029999999999999</v>
      </c>
      <c r="DA10" s="8">
        <v>1.0029999999999999</v>
      </c>
      <c r="DB10" s="8">
        <v>1.0029999999999999</v>
      </c>
      <c r="DC10" s="8">
        <v>1.0029999999999999</v>
      </c>
      <c r="DD10" s="8">
        <v>1.0029999999999999</v>
      </c>
      <c r="DE10" s="8">
        <v>1.0029999999999999</v>
      </c>
      <c r="DF10" s="8">
        <v>1.0029999999999999</v>
      </c>
      <c r="DG10" s="8">
        <v>1.0029999999999999</v>
      </c>
      <c r="DH10" s="8">
        <v>1.0029999999999999</v>
      </c>
      <c r="DI10" s="8">
        <v>1.0029999999999999</v>
      </c>
      <c r="DJ10" s="8">
        <v>1.0029999999999999</v>
      </c>
      <c r="DK10" s="8">
        <v>1.0029999999999999</v>
      </c>
      <c r="DL10" s="8">
        <v>1.0029999999999999</v>
      </c>
      <c r="DM10" s="8">
        <v>1.0029999999999999</v>
      </c>
      <c r="DN10" s="8">
        <v>1.0029999999999999</v>
      </c>
      <c r="DO10" s="8">
        <v>1.0029999999999999</v>
      </c>
      <c r="DP10" s="8">
        <v>1.0029999999999999</v>
      </c>
      <c r="DQ10" s="8">
        <v>1.0029999999999999</v>
      </c>
      <c r="DR10" s="8">
        <v>1.0029999999999999</v>
      </c>
      <c r="DS10" s="8">
        <v>1.0029999999999999</v>
      </c>
      <c r="DT10" s="8">
        <v>1.0029999999999999</v>
      </c>
      <c r="DU10" s="8">
        <v>1.0029999999999999</v>
      </c>
      <c r="DV10" s="8">
        <v>1.0029999999999999</v>
      </c>
      <c r="DW10" s="8">
        <v>1.0029999999999999</v>
      </c>
      <c r="DX10" s="8">
        <v>1.0029999999999999</v>
      </c>
      <c r="DY10" s="8">
        <v>1.0029999999999999</v>
      </c>
      <c r="DZ10" s="8">
        <v>1.0029999999999999</v>
      </c>
      <c r="EA10" s="8">
        <v>1.0029999999999999</v>
      </c>
      <c r="EB10" s="8">
        <v>1.0029999999999999</v>
      </c>
      <c r="EC10" s="8">
        <v>1.0029999999999999</v>
      </c>
      <c r="ED10" s="8">
        <v>1.0029999999999999</v>
      </c>
      <c r="EE10" s="8">
        <v>1.0029999999999999</v>
      </c>
      <c r="EF10" s="8">
        <v>1.0029999999999999</v>
      </c>
      <c r="EG10" s="8">
        <v>1.0029999999999999</v>
      </c>
      <c r="EH10" s="8">
        <v>1.0029999999999999</v>
      </c>
      <c r="EI10" s="8">
        <v>1.0029999999999999</v>
      </c>
      <c r="EJ10" s="8">
        <v>1.0029999999999999</v>
      </c>
      <c r="EK10" s="8">
        <v>1.0029999999999999</v>
      </c>
      <c r="EL10" s="8">
        <v>1.0029999999999999</v>
      </c>
      <c r="EM10" s="8">
        <v>1.0029999999999999</v>
      </c>
      <c r="EN10" s="8">
        <v>1.0029999999999999</v>
      </c>
      <c r="EO10" s="8">
        <v>1.0029999999999999</v>
      </c>
    </row>
    <row r="11" spans="1:145" ht="30" customHeight="1" x14ac:dyDescent="0.25">
      <c r="A11" s="4" t="s">
        <v>5</v>
      </c>
      <c r="B11" s="8">
        <f>1.3*B10</f>
        <v>1.3038999999999998</v>
      </c>
      <c r="C11" s="8">
        <f t="shared" ref="C11:BN11" si="10">1.3*C10</f>
        <v>1.3038999999999998</v>
      </c>
      <c r="D11" s="8">
        <f t="shared" si="10"/>
        <v>1.3038999999999998</v>
      </c>
      <c r="E11" s="8">
        <f t="shared" si="10"/>
        <v>1.3038999999999998</v>
      </c>
      <c r="F11" s="8">
        <f t="shared" si="10"/>
        <v>1.3038999999999998</v>
      </c>
      <c r="G11" s="8">
        <f t="shared" si="10"/>
        <v>1.3038999999999998</v>
      </c>
      <c r="H11" s="8">
        <f t="shared" si="10"/>
        <v>1.3038999999999998</v>
      </c>
      <c r="I11" s="8">
        <f t="shared" si="10"/>
        <v>1.3038999999999998</v>
      </c>
      <c r="J11" s="8">
        <f t="shared" si="10"/>
        <v>1.3038999999999998</v>
      </c>
      <c r="K11" s="8">
        <f t="shared" si="10"/>
        <v>1.3038999999999998</v>
      </c>
      <c r="L11" s="8">
        <f t="shared" si="10"/>
        <v>1.3038999999999998</v>
      </c>
      <c r="M11" s="8">
        <f t="shared" si="10"/>
        <v>1.3038999999999998</v>
      </c>
      <c r="N11" s="8">
        <f t="shared" si="10"/>
        <v>1.3038999999999998</v>
      </c>
      <c r="O11" s="8">
        <f t="shared" si="10"/>
        <v>1.3038999999999998</v>
      </c>
      <c r="P11" s="8">
        <f t="shared" si="10"/>
        <v>1.3038999999999998</v>
      </c>
      <c r="Q11" s="8">
        <f t="shared" si="10"/>
        <v>1.3038999999999998</v>
      </c>
      <c r="R11" s="8">
        <f t="shared" si="10"/>
        <v>1.3038999999999998</v>
      </c>
      <c r="S11" s="8">
        <f t="shared" si="10"/>
        <v>1.3038999999999998</v>
      </c>
      <c r="T11" s="8">
        <f t="shared" si="10"/>
        <v>1.3038999999999998</v>
      </c>
      <c r="U11" s="8">
        <f t="shared" si="10"/>
        <v>1.3038999999999998</v>
      </c>
      <c r="V11" s="8">
        <f t="shared" si="10"/>
        <v>1.3038999999999998</v>
      </c>
      <c r="W11" s="8">
        <f t="shared" si="10"/>
        <v>1.3038999999999998</v>
      </c>
      <c r="X11" s="8">
        <f t="shared" si="10"/>
        <v>1.3038999999999998</v>
      </c>
      <c r="Y11" s="8">
        <f t="shared" si="10"/>
        <v>1.3038999999999998</v>
      </c>
      <c r="Z11" s="8">
        <f t="shared" si="10"/>
        <v>1.3038999999999998</v>
      </c>
      <c r="AA11" s="8">
        <f t="shared" si="10"/>
        <v>1.3038999999999998</v>
      </c>
      <c r="AB11" s="8">
        <f t="shared" si="10"/>
        <v>1.3038999999999998</v>
      </c>
      <c r="AC11" s="8">
        <f t="shared" si="10"/>
        <v>1.3038999999999998</v>
      </c>
      <c r="AD11" s="8">
        <f t="shared" si="10"/>
        <v>1.3038999999999998</v>
      </c>
      <c r="AE11" s="8">
        <f t="shared" si="10"/>
        <v>1.3038999999999998</v>
      </c>
      <c r="AF11" s="8">
        <f t="shared" si="10"/>
        <v>1.3038999999999998</v>
      </c>
      <c r="AG11" s="8">
        <f t="shared" si="10"/>
        <v>1.3038999999999998</v>
      </c>
      <c r="AH11" s="8">
        <f t="shared" si="10"/>
        <v>1.3038999999999998</v>
      </c>
      <c r="AI11" s="8">
        <f t="shared" si="10"/>
        <v>1.3038999999999998</v>
      </c>
      <c r="AJ11" s="8">
        <f t="shared" si="10"/>
        <v>1.3038999999999998</v>
      </c>
      <c r="AK11" s="8">
        <f t="shared" si="10"/>
        <v>1.3038999999999998</v>
      </c>
      <c r="AL11" s="8">
        <f t="shared" si="10"/>
        <v>1.3038999999999998</v>
      </c>
      <c r="AM11" s="8">
        <f t="shared" si="10"/>
        <v>1.3038999999999998</v>
      </c>
      <c r="AN11" s="8">
        <f t="shared" si="10"/>
        <v>1.3038999999999998</v>
      </c>
      <c r="AO11" s="8">
        <f t="shared" si="10"/>
        <v>1.3038999999999998</v>
      </c>
      <c r="AP11" s="8">
        <f t="shared" si="10"/>
        <v>1.3038999999999998</v>
      </c>
      <c r="AQ11" s="8">
        <f t="shared" si="10"/>
        <v>1.3038999999999998</v>
      </c>
      <c r="AR11" s="8">
        <f t="shared" si="10"/>
        <v>1.3038999999999998</v>
      </c>
      <c r="AS11" s="8">
        <f t="shared" si="10"/>
        <v>1.3038999999999998</v>
      </c>
      <c r="AT11" s="8">
        <f t="shared" si="10"/>
        <v>1.3038999999999998</v>
      </c>
      <c r="AU11" s="8">
        <f t="shared" si="10"/>
        <v>1.3038999999999998</v>
      </c>
      <c r="AV11" s="8">
        <f t="shared" si="10"/>
        <v>1.3038999999999998</v>
      </c>
      <c r="AW11" s="8">
        <f t="shared" si="10"/>
        <v>1.3038999999999998</v>
      </c>
      <c r="AX11" s="8">
        <f t="shared" si="10"/>
        <v>1.3038999999999998</v>
      </c>
      <c r="AY11" s="8">
        <f t="shared" si="10"/>
        <v>1.3038999999999998</v>
      </c>
      <c r="AZ11" s="8">
        <f t="shared" si="10"/>
        <v>1.3038999999999998</v>
      </c>
      <c r="BA11" s="8">
        <f t="shared" si="10"/>
        <v>1.3038999999999998</v>
      </c>
      <c r="BB11" s="8">
        <f t="shared" si="10"/>
        <v>1.3038999999999998</v>
      </c>
      <c r="BC11" s="8">
        <f t="shared" si="10"/>
        <v>1.3038999999999998</v>
      </c>
      <c r="BD11" s="8">
        <f t="shared" si="10"/>
        <v>1.3038999999999998</v>
      </c>
      <c r="BE11" s="8">
        <f t="shared" si="10"/>
        <v>1.3038999999999998</v>
      </c>
      <c r="BF11" s="8">
        <f t="shared" si="10"/>
        <v>1.3038999999999998</v>
      </c>
      <c r="BG11" s="8">
        <f t="shared" si="10"/>
        <v>1.3038999999999998</v>
      </c>
      <c r="BH11" s="8">
        <f t="shared" si="10"/>
        <v>1.3038999999999998</v>
      </c>
      <c r="BI11" s="8">
        <f t="shared" si="10"/>
        <v>1.3038999999999998</v>
      </c>
      <c r="BJ11" s="8">
        <f t="shared" si="10"/>
        <v>1.3038999999999998</v>
      </c>
      <c r="BK11" s="8">
        <f t="shared" si="10"/>
        <v>1.3038999999999998</v>
      </c>
      <c r="BL11" s="8">
        <f t="shared" si="10"/>
        <v>1.3038999999999998</v>
      </c>
      <c r="BM11" s="8">
        <f t="shared" si="10"/>
        <v>1.3038999999999998</v>
      </c>
      <c r="BN11" s="8">
        <f t="shared" si="10"/>
        <v>1.3038999999999998</v>
      </c>
      <c r="BO11" s="8">
        <f t="shared" ref="BO11:DZ11" si="11">1.3*BO10</f>
        <v>1.3038999999999998</v>
      </c>
      <c r="BP11" s="8">
        <f t="shared" si="11"/>
        <v>1.3038999999999998</v>
      </c>
      <c r="BQ11" s="8">
        <f t="shared" si="11"/>
        <v>1.3038999999999998</v>
      </c>
      <c r="BR11" s="8">
        <f t="shared" si="11"/>
        <v>1.3038999999999998</v>
      </c>
      <c r="BS11" s="8">
        <f t="shared" si="11"/>
        <v>1.3038999999999998</v>
      </c>
      <c r="BT11" s="8">
        <f t="shared" si="11"/>
        <v>1.3038999999999998</v>
      </c>
      <c r="BU11" s="8">
        <f t="shared" si="11"/>
        <v>1.3038999999999998</v>
      </c>
      <c r="BV11" s="8">
        <f t="shared" si="11"/>
        <v>1.3038999999999998</v>
      </c>
      <c r="BW11" s="8">
        <f t="shared" si="11"/>
        <v>1.3038999999999998</v>
      </c>
      <c r="BX11" s="8">
        <f t="shared" si="11"/>
        <v>1.3038999999999998</v>
      </c>
      <c r="BY11" s="8">
        <f t="shared" si="11"/>
        <v>1.3038999999999998</v>
      </c>
      <c r="BZ11" s="8">
        <f t="shared" si="11"/>
        <v>1.3038999999999998</v>
      </c>
      <c r="CA11" s="8">
        <f t="shared" si="11"/>
        <v>1.3038999999999998</v>
      </c>
      <c r="CB11" s="8">
        <f t="shared" si="11"/>
        <v>1.3038999999999998</v>
      </c>
      <c r="CC11" s="8">
        <f t="shared" si="11"/>
        <v>1.3038999999999998</v>
      </c>
      <c r="CD11" s="8">
        <f t="shared" si="11"/>
        <v>1.3038999999999998</v>
      </c>
      <c r="CE11" s="8">
        <f t="shared" si="11"/>
        <v>1.3038999999999998</v>
      </c>
      <c r="CF11" s="8">
        <f t="shared" si="11"/>
        <v>1.3038999999999998</v>
      </c>
      <c r="CG11" s="8">
        <f t="shared" si="11"/>
        <v>1.3038999999999998</v>
      </c>
      <c r="CH11" s="8">
        <f t="shared" si="11"/>
        <v>1.3038999999999998</v>
      </c>
      <c r="CI11" s="8">
        <f t="shared" si="11"/>
        <v>1.3038999999999998</v>
      </c>
      <c r="CJ11" s="8">
        <f t="shared" si="11"/>
        <v>1.3038999999999998</v>
      </c>
      <c r="CK11" s="8">
        <f t="shared" si="11"/>
        <v>1.3038999999999998</v>
      </c>
      <c r="CL11" s="8">
        <f t="shared" si="11"/>
        <v>1.3038999999999998</v>
      </c>
      <c r="CM11" s="8">
        <f t="shared" si="11"/>
        <v>1.3038999999999998</v>
      </c>
      <c r="CN11" s="8">
        <f t="shared" si="11"/>
        <v>1.3038999999999998</v>
      </c>
      <c r="CO11" s="8">
        <f t="shared" si="11"/>
        <v>1.3038999999999998</v>
      </c>
      <c r="CP11" s="8">
        <f t="shared" si="11"/>
        <v>1.3038999999999998</v>
      </c>
      <c r="CQ11" s="8">
        <f t="shared" si="11"/>
        <v>1.3038999999999998</v>
      </c>
      <c r="CR11" s="8">
        <f t="shared" si="11"/>
        <v>1.3038999999999998</v>
      </c>
      <c r="CS11" s="8">
        <f t="shared" si="11"/>
        <v>1.3038999999999998</v>
      </c>
      <c r="CT11" s="8">
        <f t="shared" si="11"/>
        <v>1.3038999999999998</v>
      </c>
      <c r="CU11" s="8">
        <f t="shared" si="11"/>
        <v>1.3038999999999998</v>
      </c>
      <c r="CV11" s="8">
        <f t="shared" si="11"/>
        <v>1.3038999999999998</v>
      </c>
      <c r="CW11" s="8">
        <f t="shared" si="11"/>
        <v>1.3038999999999998</v>
      </c>
      <c r="CX11" s="8">
        <f t="shared" si="11"/>
        <v>1.3038999999999998</v>
      </c>
      <c r="CY11" s="8">
        <f t="shared" si="11"/>
        <v>1.3038999999999998</v>
      </c>
      <c r="CZ11" s="8">
        <f t="shared" si="11"/>
        <v>1.3038999999999998</v>
      </c>
      <c r="DA11" s="8">
        <f t="shared" si="11"/>
        <v>1.3038999999999998</v>
      </c>
      <c r="DB11" s="8">
        <f t="shared" si="11"/>
        <v>1.3038999999999998</v>
      </c>
      <c r="DC11" s="8">
        <f t="shared" si="11"/>
        <v>1.3038999999999998</v>
      </c>
      <c r="DD11" s="8">
        <f t="shared" si="11"/>
        <v>1.3038999999999998</v>
      </c>
      <c r="DE11" s="8">
        <f t="shared" si="11"/>
        <v>1.3038999999999998</v>
      </c>
      <c r="DF11" s="8">
        <f t="shared" si="11"/>
        <v>1.3038999999999998</v>
      </c>
      <c r="DG11" s="8">
        <f t="shared" si="11"/>
        <v>1.3038999999999998</v>
      </c>
      <c r="DH11" s="8">
        <f t="shared" si="11"/>
        <v>1.3038999999999998</v>
      </c>
      <c r="DI11" s="8">
        <f t="shared" si="11"/>
        <v>1.3038999999999998</v>
      </c>
      <c r="DJ11" s="8">
        <f t="shared" si="11"/>
        <v>1.3038999999999998</v>
      </c>
      <c r="DK11" s="8">
        <f t="shared" si="11"/>
        <v>1.3038999999999998</v>
      </c>
      <c r="DL11" s="8">
        <f t="shared" si="11"/>
        <v>1.3038999999999998</v>
      </c>
      <c r="DM11" s="8">
        <f t="shared" si="11"/>
        <v>1.3038999999999998</v>
      </c>
      <c r="DN11" s="8">
        <f t="shared" si="11"/>
        <v>1.3038999999999998</v>
      </c>
      <c r="DO11" s="8">
        <f t="shared" si="11"/>
        <v>1.3038999999999998</v>
      </c>
      <c r="DP11" s="8">
        <f t="shared" si="11"/>
        <v>1.3038999999999998</v>
      </c>
      <c r="DQ11" s="8">
        <f t="shared" si="11"/>
        <v>1.3038999999999998</v>
      </c>
      <c r="DR11" s="8">
        <f t="shared" si="11"/>
        <v>1.3038999999999998</v>
      </c>
      <c r="DS11" s="8">
        <f t="shared" si="11"/>
        <v>1.3038999999999998</v>
      </c>
      <c r="DT11" s="8">
        <f t="shared" si="11"/>
        <v>1.3038999999999998</v>
      </c>
      <c r="DU11" s="8">
        <f t="shared" si="11"/>
        <v>1.3038999999999998</v>
      </c>
      <c r="DV11" s="8">
        <f t="shared" si="11"/>
        <v>1.3038999999999998</v>
      </c>
      <c r="DW11" s="8">
        <f t="shared" si="11"/>
        <v>1.3038999999999998</v>
      </c>
      <c r="DX11" s="8">
        <f t="shared" si="11"/>
        <v>1.3038999999999998</v>
      </c>
      <c r="DY11" s="8">
        <f t="shared" si="11"/>
        <v>1.3038999999999998</v>
      </c>
      <c r="DZ11" s="8">
        <f t="shared" si="11"/>
        <v>1.3038999999999998</v>
      </c>
      <c r="EA11" s="8">
        <f t="shared" ref="EA11:EO11" si="12">1.3*EA10</f>
        <v>1.3038999999999998</v>
      </c>
      <c r="EB11" s="8">
        <f t="shared" si="12"/>
        <v>1.3038999999999998</v>
      </c>
      <c r="EC11" s="8">
        <f t="shared" si="12"/>
        <v>1.3038999999999998</v>
      </c>
      <c r="ED11" s="8">
        <f t="shared" si="12"/>
        <v>1.3038999999999998</v>
      </c>
      <c r="EE11" s="8">
        <f t="shared" si="12"/>
        <v>1.3038999999999998</v>
      </c>
      <c r="EF11" s="8">
        <f t="shared" si="12"/>
        <v>1.3038999999999998</v>
      </c>
      <c r="EG11" s="8">
        <f t="shared" si="12"/>
        <v>1.3038999999999998</v>
      </c>
      <c r="EH11" s="8">
        <f t="shared" si="12"/>
        <v>1.3038999999999998</v>
      </c>
      <c r="EI11" s="8">
        <f t="shared" si="12"/>
        <v>1.3038999999999998</v>
      </c>
      <c r="EJ11" s="8">
        <f t="shared" si="12"/>
        <v>1.3038999999999998</v>
      </c>
      <c r="EK11" s="8">
        <f t="shared" si="12"/>
        <v>1.3038999999999998</v>
      </c>
      <c r="EL11" s="8">
        <f t="shared" si="12"/>
        <v>1.3038999999999998</v>
      </c>
      <c r="EM11" s="8">
        <f t="shared" si="12"/>
        <v>1.3038999999999998</v>
      </c>
      <c r="EN11" s="8">
        <f t="shared" si="12"/>
        <v>1.3038999999999998</v>
      </c>
      <c r="EO11" s="8">
        <f t="shared" si="12"/>
        <v>1.3038999999999998</v>
      </c>
    </row>
    <row r="12" spans="1:145" ht="30" customHeight="1" x14ac:dyDescent="0.25">
      <c r="A12" s="4" t="s">
        <v>119</v>
      </c>
      <c r="B12" s="8">
        <v>417</v>
      </c>
      <c r="C12" s="8">
        <v>417</v>
      </c>
      <c r="D12" s="8">
        <v>417</v>
      </c>
      <c r="E12" s="8">
        <v>417</v>
      </c>
      <c r="F12" s="8">
        <v>417</v>
      </c>
      <c r="G12" s="8">
        <v>417</v>
      </c>
      <c r="H12" s="8">
        <v>417</v>
      </c>
      <c r="I12" s="8">
        <v>417</v>
      </c>
      <c r="J12" s="8">
        <v>417</v>
      </c>
      <c r="K12" s="8">
        <v>417</v>
      </c>
      <c r="L12" s="8">
        <v>417</v>
      </c>
      <c r="M12" s="8">
        <v>417</v>
      </c>
      <c r="N12" s="8">
        <v>417</v>
      </c>
      <c r="O12" s="8">
        <v>417</v>
      </c>
      <c r="P12" s="8">
        <v>417</v>
      </c>
      <c r="Q12" s="8">
        <v>417</v>
      </c>
      <c r="R12" s="8">
        <v>417</v>
      </c>
      <c r="S12" s="8">
        <v>417</v>
      </c>
      <c r="T12" s="8">
        <v>417</v>
      </c>
      <c r="U12" s="8">
        <v>417</v>
      </c>
      <c r="V12" s="8">
        <v>417</v>
      </c>
      <c r="W12" s="8">
        <v>417</v>
      </c>
      <c r="X12" s="8">
        <v>417</v>
      </c>
      <c r="Y12" s="8">
        <v>417</v>
      </c>
      <c r="Z12" s="8">
        <v>417</v>
      </c>
      <c r="AA12" s="8">
        <v>417</v>
      </c>
      <c r="AB12" s="8">
        <v>417</v>
      </c>
      <c r="AC12" s="8">
        <v>417</v>
      </c>
      <c r="AD12" s="8">
        <v>417</v>
      </c>
      <c r="AE12" s="8">
        <v>417</v>
      </c>
      <c r="AF12" s="8">
        <v>417</v>
      </c>
      <c r="AG12" s="8">
        <v>417</v>
      </c>
      <c r="AH12" s="8">
        <v>417</v>
      </c>
      <c r="AI12" s="8">
        <v>417</v>
      </c>
      <c r="AJ12" s="8">
        <v>417</v>
      </c>
      <c r="AK12" s="8">
        <v>417</v>
      </c>
      <c r="AL12" s="8">
        <v>417</v>
      </c>
      <c r="AM12" s="8">
        <v>417</v>
      </c>
      <c r="AN12" s="8">
        <v>417</v>
      </c>
      <c r="AO12" s="8">
        <v>417</v>
      </c>
      <c r="AP12" s="8">
        <v>417</v>
      </c>
      <c r="AQ12" s="8">
        <v>417</v>
      </c>
      <c r="AR12" s="8">
        <v>417</v>
      </c>
      <c r="AS12" s="8">
        <v>417</v>
      </c>
      <c r="AT12" s="8">
        <v>417</v>
      </c>
      <c r="AU12" s="8">
        <v>417</v>
      </c>
      <c r="AV12" s="8">
        <v>417</v>
      </c>
      <c r="AW12" s="8">
        <v>417</v>
      </c>
      <c r="AX12" s="8">
        <v>417</v>
      </c>
      <c r="AY12" s="8">
        <v>417</v>
      </c>
      <c r="AZ12" s="8">
        <v>417</v>
      </c>
      <c r="BA12" s="8">
        <v>417</v>
      </c>
      <c r="BB12" s="8">
        <v>417</v>
      </c>
      <c r="BC12" s="8">
        <v>417</v>
      </c>
      <c r="BD12" s="8">
        <v>417</v>
      </c>
      <c r="BE12" s="8">
        <v>417</v>
      </c>
      <c r="BF12" s="8">
        <v>417</v>
      </c>
      <c r="BG12" s="8">
        <v>417</v>
      </c>
      <c r="BH12" s="8">
        <v>417</v>
      </c>
      <c r="BI12" s="8">
        <v>417</v>
      </c>
      <c r="BJ12" s="8">
        <v>417</v>
      </c>
      <c r="BK12" s="8">
        <v>417</v>
      </c>
      <c r="BL12" s="8">
        <v>417</v>
      </c>
      <c r="BM12" s="8">
        <v>417</v>
      </c>
      <c r="BN12" s="8">
        <v>417</v>
      </c>
      <c r="BO12" s="8">
        <v>417</v>
      </c>
      <c r="BP12" s="8">
        <v>417</v>
      </c>
      <c r="BQ12" s="8">
        <v>417</v>
      </c>
      <c r="BR12" s="8">
        <v>417</v>
      </c>
      <c r="BS12" s="8">
        <v>417</v>
      </c>
      <c r="BT12" s="8">
        <v>417</v>
      </c>
      <c r="BU12" s="8">
        <v>417</v>
      </c>
      <c r="BV12" s="8">
        <v>417</v>
      </c>
      <c r="BW12" s="8">
        <v>417</v>
      </c>
      <c r="BX12" s="8">
        <v>417</v>
      </c>
      <c r="BY12" s="8">
        <v>417</v>
      </c>
      <c r="BZ12" s="8">
        <v>417</v>
      </c>
      <c r="CA12" s="8">
        <v>417</v>
      </c>
      <c r="CB12" s="8">
        <v>417</v>
      </c>
      <c r="CC12" s="8">
        <v>417</v>
      </c>
      <c r="CD12" s="8">
        <v>417</v>
      </c>
      <c r="CE12" s="8">
        <v>417</v>
      </c>
      <c r="CF12" s="8">
        <v>417</v>
      </c>
      <c r="CG12" s="8">
        <v>417</v>
      </c>
      <c r="CH12" s="8">
        <v>417</v>
      </c>
      <c r="CI12" s="8">
        <v>417</v>
      </c>
      <c r="CJ12" s="8">
        <v>417</v>
      </c>
      <c r="CK12" s="8">
        <v>417</v>
      </c>
      <c r="CL12" s="8">
        <v>417</v>
      </c>
      <c r="CM12" s="8">
        <v>417</v>
      </c>
      <c r="CN12" s="8">
        <v>417</v>
      </c>
      <c r="CO12" s="8">
        <v>417</v>
      </c>
      <c r="CP12" s="8">
        <v>417</v>
      </c>
      <c r="CQ12" s="8">
        <v>417</v>
      </c>
      <c r="CR12" s="8">
        <v>417</v>
      </c>
      <c r="CS12" s="8">
        <v>417</v>
      </c>
      <c r="CT12" s="8">
        <v>417</v>
      </c>
      <c r="CU12" s="8">
        <v>417</v>
      </c>
      <c r="CV12" s="8">
        <v>417</v>
      </c>
      <c r="CW12" s="8">
        <v>417</v>
      </c>
      <c r="CX12" s="8">
        <v>417</v>
      </c>
      <c r="CY12" s="8">
        <v>417</v>
      </c>
      <c r="CZ12" s="8">
        <v>417</v>
      </c>
      <c r="DA12" s="8">
        <v>417</v>
      </c>
      <c r="DB12" s="8">
        <v>417</v>
      </c>
      <c r="DC12" s="8">
        <v>417</v>
      </c>
      <c r="DD12" s="8">
        <v>417</v>
      </c>
      <c r="DE12" s="8">
        <v>417</v>
      </c>
      <c r="DF12" s="8">
        <v>417</v>
      </c>
      <c r="DG12" s="8">
        <v>417</v>
      </c>
      <c r="DH12" s="8">
        <v>417</v>
      </c>
      <c r="DI12" s="8">
        <v>417</v>
      </c>
      <c r="DJ12" s="8">
        <v>417</v>
      </c>
      <c r="DK12" s="8">
        <v>417</v>
      </c>
      <c r="DL12" s="8">
        <v>417</v>
      </c>
      <c r="DM12" s="8">
        <v>417</v>
      </c>
      <c r="DN12" s="8">
        <v>417</v>
      </c>
      <c r="DO12" s="8">
        <v>417</v>
      </c>
      <c r="DP12" s="8">
        <v>417</v>
      </c>
      <c r="DQ12" s="8">
        <v>417</v>
      </c>
      <c r="DR12" s="8">
        <v>417</v>
      </c>
      <c r="DS12" s="8">
        <v>417</v>
      </c>
      <c r="DT12" s="8">
        <v>417</v>
      </c>
      <c r="DU12" s="8">
        <v>417</v>
      </c>
      <c r="DV12" s="8">
        <v>417</v>
      </c>
      <c r="DW12" s="8">
        <v>417</v>
      </c>
      <c r="DX12" s="8">
        <v>417</v>
      </c>
      <c r="DY12" s="8">
        <v>417</v>
      </c>
      <c r="DZ12" s="8">
        <v>417</v>
      </c>
      <c r="EA12" s="8">
        <v>417</v>
      </c>
      <c r="EB12" s="8">
        <v>417</v>
      </c>
      <c r="EC12" s="8">
        <v>417</v>
      </c>
      <c r="ED12" s="8">
        <v>417</v>
      </c>
      <c r="EE12" s="8">
        <v>417</v>
      </c>
      <c r="EF12" s="8">
        <v>417</v>
      </c>
      <c r="EG12" s="8">
        <v>417</v>
      </c>
      <c r="EH12" s="8">
        <v>417</v>
      </c>
      <c r="EI12" s="8">
        <v>417</v>
      </c>
      <c r="EJ12" s="8">
        <v>417</v>
      </c>
      <c r="EK12" s="8">
        <v>417</v>
      </c>
      <c r="EL12" s="8">
        <v>417</v>
      </c>
      <c r="EM12" s="8">
        <v>417</v>
      </c>
      <c r="EN12" s="8">
        <v>417</v>
      </c>
      <c r="EO12" s="8">
        <v>417</v>
      </c>
    </row>
    <row r="13" spans="1:145" ht="29.25" customHeight="1" x14ac:dyDescent="0.25">
      <c r="A13" s="3" t="s">
        <v>54</v>
      </c>
      <c r="B13" s="8">
        <v>3092</v>
      </c>
      <c r="C13" s="8">
        <v>3092</v>
      </c>
      <c r="D13" s="8">
        <v>3092</v>
      </c>
      <c r="E13" s="8">
        <v>3092</v>
      </c>
      <c r="F13" s="8">
        <v>3092</v>
      </c>
      <c r="G13" s="8">
        <v>3092</v>
      </c>
      <c r="H13" s="8">
        <v>3092</v>
      </c>
      <c r="I13" s="8">
        <v>3092</v>
      </c>
      <c r="J13" s="8">
        <v>3092</v>
      </c>
      <c r="K13" s="8">
        <v>3092</v>
      </c>
      <c r="L13" s="8">
        <v>3092</v>
      </c>
      <c r="M13" s="8">
        <v>3092</v>
      </c>
      <c r="N13" s="8">
        <v>3092</v>
      </c>
      <c r="O13" s="8">
        <v>3092</v>
      </c>
      <c r="P13" s="8">
        <v>3092</v>
      </c>
      <c r="Q13" s="8">
        <v>3092</v>
      </c>
      <c r="R13" s="8">
        <v>3092</v>
      </c>
      <c r="S13" s="8">
        <v>3092</v>
      </c>
      <c r="T13" s="8">
        <v>3092</v>
      </c>
      <c r="U13" s="8">
        <v>3092</v>
      </c>
      <c r="V13" s="8">
        <v>3092</v>
      </c>
      <c r="W13" s="8">
        <v>3092</v>
      </c>
      <c r="X13" s="8">
        <v>3092</v>
      </c>
      <c r="Y13" s="8">
        <v>3092</v>
      </c>
      <c r="Z13" s="8">
        <v>3092</v>
      </c>
      <c r="AA13" s="8">
        <v>3092</v>
      </c>
      <c r="AB13" s="8">
        <v>3092</v>
      </c>
      <c r="AC13" s="8">
        <v>3092</v>
      </c>
      <c r="AD13" s="8">
        <v>3092</v>
      </c>
      <c r="AE13" s="8">
        <v>3092</v>
      </c>
      <c r="AF13" s="8">
        <v>3092</v>
      </c>
      <c r="AG13" s="8">
        <v>3092</v>
      </c>
      <c r="AH13" s="8">
        <v>3092</v>
      </c>
      <c r="AI13" s="8">
        <v>3092</v>
      </c>
      <c r="AJ13" s="8">
        <v>3092</v>
      </c>
      <c r="AK13" s="8">
        <v>3092</v>
      </c>
      <c r="AL13" s="11">
        <v>3092</v>
      </c>
      <c r="AM13" s="12">
        <v>3092</v>
      </c>
      <c r="AN13" s="11">
        <v>3092</v>
      </c>
      <c r="AO13" s="12">
        <v>3092</v>
      </c>
      <c r="AP13" s="11">
        <v>3092</v>
      </c>
      <c r="AQ13" s="12">
        <v>3092</v>
      </c>
      <c r="AR13" s="11">
        <v>3092</v>
      </c>
      <c r="AS13" s="12">
        <v>3092</v>
      </c>
      <c r="AT13" s="11">
        <v>3092</v>
      </c>
      <c r="AU13" s="12">
        <v>3092</v>
      </c>
      <c r="AV13" s="11">
        <v>3092</v>
      </c>
      <c r="AW13" s="12">
        <v>3092</v>
      </c>
      <c r="AX13" s="11">
        <v>3092</v>
      </c>
      <c r="AY13" s="12">
        <v>3092</v>
      </c>
      <c r="AZ13" s="11">
        <v>3092</v>
      </c>
      <c r="BA13" s="12">
        <v>3092</v>
      </c>
      <c r="BB13" s="11">
        <v>3092</v>
      </c>
      <c r="BC13" s="12">
        <v>3092</v>
      </c>
      <c r="BD13" s="11">
        <v>3092</v>
      </c>
      <c r="BE13" s="12">
        <v>3092</v>
      </c>
      <c r="BF13" s="11">
        <v>3092</v>
      </c>
      <c r="BG13" s="12">
        <v>3092</v>
      </c>
      <c r="BH13" s="11">
        <v>3092</v>
      </c>
      <c r="BI13" s="12">
        <v>3092</v>
      </c>
      <c r="BJ13" s="11">
        <v>3092</v>
      </c>
      <c r="BK13" s="12">
        <v>3092</v>
      </c>
      <c r="BL13" s="11">
        <v>3092</v>
      </c>
      <c r="BM13" s="12">
        <v>3092</v>
      </c>
      <c r="BN13" s="11">
        <v>3092</v>
      </c>
      <c r="BO13" s="12">
        <v>3092</v>
      </c>
      <c r="BP13" s="11">
        <v>3092</v>
      </c>
      <c r="BQ13" s="12">
        <v>3092</v>
      </c>
      <c r="BR13" s="11">
        <v>3092</v>
      </c>
      <c r="BS13" s="12">
        <v>3092</v>
      </c>
      <c r="BT13" s="11">
        <v>3092</v>
      </c>
      <c r="BU13" s="12">
        <v>3092</v>
      </c>
      <c r="BV13" s="5">
        <v>3092</v>
      </c>
      <c r="BW13" s="6">
        <v>3092</v>
      </c>
      <c r="BX13" s="5">
        <v>3092</v>
      </c>
      <c r="BY13" s="6">
        <v>3092</v>
      </c>
      <c r="BZ13" s="5">
        <v>3092</v>
      </c>
      <c r="CA13" s="6">
        <v>3092</v>
      </c>
      <c r="CB13" s="5">
        <v>3092</v>
      </c>
      <c r="CC13" s="6">
        <v>3092</v>
      </c>
      <c r="CD13" s="5">
        <v>3092</v>
      </c>
      <c r="CE13" s="6">
        <v>3092</v>
      </c>
      <c r="CF13" s="5">
        <v>3092</v>
      </c>
      <c r="CG13" s="6">
        <v>3092</v>
      </c>
      <c r="CH13" s="5">
        <v>3092</v>
      </c>
      <c r="CI13" s="6">
        <v>3092</v>
      </c>
      <c r="CJ13" s="5">
        <v>3092</v>
      </c>
      <c r="CK13" s="6">
        <v>3092</v>
      </c>
      <c r="CL13" s="5">
        <v>3092</v>
      </c>
      <c r="CM13" s="6">
        <v>3092</v>
      </c>
      <c r="CN13" s="5">
        <v>3092</v>
      </c>
      <c r="CO13" s="6">
        <v>3092</v>
      </c>
      <c r="CP13" s="5">
        <v>3092</v>
      </c>
      <c r="CQ13" s="6">
        <v>3092</v>
      </c>
      <c r="CR13" s="5">
        <v>3092</v>
      </c>
      <c r="CS13" s="6">
        <v>3092</v>
      </c>
      <c r="CT13" s="5">
        <v>3092</v>
      </c>
      <c r="CU13" s="6">
        <v>3092</v>
      </c>
      <c r="CV13" s="5">
        <v>3092</v>
      </c>
      <c r="CW13" s="6">
        <v>3092</v>
      </c>
      <c r="CX13" s="5">
        <v>3092</v>
      </c>
      <c r="CY13" s="6">
        <v>3092</v>
      </c>
      <c r="CZ13" s="5">
        <v>3092</v>
      </c>
      <c r="DA13" s="6">
        <v>3092</v>
      </c>
      <c r="DB13" s="5">
        <v>3092</v>
      </c>
      <c r="DC13" s="6">
        <v>3092</v>
      </c>
      <c r="DD13" s="5">
        <v>3092</v>
      </c>
      <c r="DE13" s="6">
        <v>3092</v>
      </c>
      <c r="DF13" s="9">
        <v>3092</v>
      </c>
      <c r="DG13" s="10">
        <v>3092</v>
      </c>
      <c r="DH13" s="9">
        <v>3092</v>
      </c>
      <c r="DI13" s="10">
        <v>3092</v>
      </c>
      <c r="DJ13" s="9">
        <v>3092</v>
      </c>
      <c r="DK13" s="10">
        <v>3092</v>
      </c>
      <c r="DL13" s="9">
        <v>3092</v>
      </c>
      <c r="DM13" s="10">
        <v>3092</v>
      </c>
      <c r="DN13" s="9">
        <v>3092</v>
      </c>
      <c r="DO13" s="10">
        <v>3092</v>
      </c>
      <c r="DP13" s="9">
        <v>3092</v>
      </c>
      <c r="DQ13" s="10">
        <v>3092</v>
      </c>
      <c r="DR13" s="9">
        <v>3092</v>
      </c>
      <c r="DS13" s="10">
        <v>3092</v>
      </c>
      <c r="DT13" s="9">
        <v>3092</v>
      </c>
      <c r="DU13" s="10">
        <v>3092</v>
      </c>
      <c r="DV13" s="9">
        <v>3092</v>
      </c>
      <c r="DW13" s="10">
        <v>3092</v>
      </c>
      <c r="DX13" s="9">
        <v>3092</v>
      </c>
      <c r="DY13" s="10">
        <v>3092</v>
      </c>
      <c r="DZ13" s="9">
        <v>3092</v>
      </c>
      <c r="EA13" s="10">
        <v>3092</v>
      </c>
      <c r="EB13" s="9">
        <v>3092</v>
      </c>
      <c r="EC13" s="10">
        <v>3092</v>
      </c>
      <c r="ED13" s="9">
        <v>3092</v>
      </c>
      <c r="EE13" s="10">
        <v>3092</v>
      </c>
      <c r="EF13" s="9">
        <v>3092</v>
      </c>
      <c r="EG13" s="10">
        <v>3092</v>
      </c>
      <c r="EH13" s="9">
        <v>3092</v>
      </c>
      <c r="EI13" s="10">
        <v>3092</v>
      </c>
      <c r="EJ13" s="9">
        <v>3092</v>
      </c>
      <c r="EK13" s="10">
        <v>3092</v>
      </c>
      <c r="EL13" s="9">
        <v>3092</v>
      </c>
      <c r="EM13" s="10">
        <v>3092</v>
      </c>
      <c r="EN13" s="9">
        <v>3092</v>
      </c>
      <c r="EO13" s="10">
        <v>3092</v>
      </c>
    </row>
    <row r="14" spans="1:145" ht="29.25" customHeight="1" x14ac:dyDescent="0.25">
      <c r="A14" s="18" t="s">
        <v>108</v>
      </c>
      <c r="B14" s="8">
        <v>250</v>
      </c>
      <c r="C14" s="8">
        <v>250</v>
      </c>
      <c r="D14" s="8">
        <v>250</v>
      </c>
      <c r="E14" s="8">
        <v>250</v>
      </c>
      <c r="F14" s="8">
        <v>250</v>
      </c>
      <c r="G14" s="8">
        <v>250</v>
      </c>
      <c r="H14" s="8">
        <v>250</v>
      </c>
      <c r="I14" s="8">
        <v>250</v>
      </c>
      <c r="J14" s="8">
        <v>250</v>
      </c>
      <c r="K14" s="8">
        <v>250</v>
      </c>
      <c r="L14" s="8">
        <v>250</v>
      </c>
      <c r="M14" s="8">
        <v>250</v>
      </c>
      <c r="N14" s="8">
        <v>250</v>
      </c>
      <c r="O14" s="8">
        <v>250</v>
      </c>
      <c r="P14" s="8">
        <v>250</v>
      </c>
      <c r="Q14" s="8">
        <v>250</v>
      </c>
      <c r="R14" s="8">
        <v>250</v>
      </c>
      <c r="S14" s="8">
        <v>250</v>
      </c>
      <c r="T14" s="8">
        <v>250</v>
      </c>
      <c r="U14" s="8">
        <v>250</v>
      </c>
      <c r="V14" s="8">
        <v>250</v>
      </c>
      <c r="W14" s="8">
        <v>250</v>
      </c>
      <c r="X14" s="8">
        <v>250</v>
      </c>
      <c r="Y14" s="8">
        <v>250</v>
      </c>
      <c r="Z14" s="8">
        <v>250</v>
      </c>
      <c r="AA14" s="8">
        <v>250</v>
      </c>
      <c r="AB14" s="8">
        <v>250</v>
      </c>
      <c r="AC14" s="8">
        <v>250</v>
      </c>
      <c r="AD14" s="8">
        <v>250</v>
      </c>
      <c r="AE14" s="8">
        <v>250</v>
      </c>
      <c r="AF14" s="8">
        <v>250</v>
      </c>
      <c r="AG14" s="8">
        <v>250</v>
      </c>
      <c r="AH14" s="8">
        <v>250</v>
      </c>
      <c r="AI14" s="8">
        <v>250</v>
      </c>
      <c r="AJ14" s="8">
        <v>250</v>
      </c>
      <c r="AK14" s="8">
        <v>250</v>
      </c>
      <c r="AL14" s="8">
        <v>250</v>
      </c>
      <c r="AM14" s="8">
        <v>250</v>
      </c>
      <c r="AN14" s="8">
        <v>250</v>
      </c>
      <c r="AO14" s="8">
        <v>250</v>
      </c>
      <c r="AP14" s="8">
        <v>250</v>
      </c>
      <c r="AQ14" s="8">
        <v>250</v>
      </c>
      <c r="AR14" s="8">
        <v>250</v>
      </c>
      <c r="AS14" s="8">
        <v>250</v>
      </c>
      <c r="AT14" s="8">
        <v>250</v>
      </c>
      <c r="AU14" s="8">
        <v>250</v>
      </c>
      <c r="AV14" s="8">
        <v>250</v>
      </c>
      <c r="AW14" s="8">
        <v>250</v>
      </c>
      <c r="AX14" s="8">
        <v>250</v>
      </c>
      <c r="AY14" s="8">
        <v>250</v>
      </c>
      <c r="AZ14" s="8">
        <v>250</v>
      </c>
      <c r="BA14" s="8">
        <v>250</v>
      </c>
      <c r="BB14" s="8">
        <v>250</v>
      </c>
      <c r="BC14" s="8">
        <v>250</v>
      </c>
      <c r="BD14" s="8">
        <v>250</v>
      </c>
      <c r="BE14" s="8">
        <v>250</v>
      </c>
      <c r="BF14" s="8">
        <v>250</v>
      </c>
      <c r="BG14" s="8">
        <v>250</v>
      </c>
      <c r="BH14" s="8">
        <v>250</v>
      </c>
      <c r="BI14" s="8">
        <v>250</v>
      </c>
      <c r="BJ14" s="8">
        <v>250</v>
      </c>
      <c r="BK14" s="8">
        <v>250</v>
      </c>
      <c r="BL14" s="8">
        <v>250</v>
      </c>
      <c r="BM14" s="8">
        <v>250</v>
      </c>
      <c r="BN14" s="8">
        <v>250</v>
      </c>
      <c r="BO14" s="8">
        <v>250</v>
      </c>
      <c r="BP14" s="8">
        <v>250</v>
      </c>
      <c r="BQ14" s="8">
        <v>250</v>
      </c>
      <c r="BR14" s="8">
        <v>250</v>
      </c>
      <c r="BS14" s="8">
        <v>250</v>
      </c>
      <c r="BT14" s="8">
        <v>250</v>
      </c>
      <c r="BU14" s="8">
        <v>250</v>
      </c>
      <c r="BV14" s="8">
        <v>250</v>
      </c>
      <c r="BW14" s="8">
        <v>250</v>
      </c>
      <c r="BX14" s="8">
        <v>250</v>
      </c>
      <c r="BY14" s="8">
        <v>250</v>
      </c>
      <c r="BZ14" s="8">
        <v>250</v>
      </c>
      <c r="CA14" s="8">
        <v>250</v>
      </c>
      <c r="CB14" s="8">
        <v>250</v>
      </c>
      <c r="CC14" s="8">
        <v>250</v>
      </c>
      <c r="CD14" s="8">
        <v>250</v>
      </c>
      <c r="CE14" s="8">
        <v>250</v>
      </c>
      <c r="CF14" s="8">
        <v>250</v>
      </c>
      <c r="CG14" s="8">
        <v>250</v>
      </c>
      <c r="CH14" s="8">
        <v>250</v>
      </c>
      <c r="CI14" s="8">
        <v>250</v>
      </c>
      <c r="CJ14" s="8">
        <v>250</v>
      </c>
      <c r="CK14" s="8">
        <v>250</v>
      </c>
      <c r="CL14" s="8">
        <v>250</v>
      </c>
      <c r="CM14" s="8">
        <v>250</v>
      </c>
      <c r="CN14" s="8">
        <v>250</v>
      </c>
      <c r="CO14" s="8">
        <v>250</v>
      </c>
      <c r="CP14" s="8">
        <v>250</v>
      </c>
      <c r="CQ14" s="8">
        <v>250</v>
      </c>
      <c r="CR14" s="8">
        <v>250</v>
      </c>
      <c r="CS14" s="8">
        <v>250</v>
      </c>
      <c r="CT14" s="8">
        <v>250</v>
      </c>
      <c r="CU14" s="8">
        <v>250</v>
      </c>
      <c r="CV14" s="8">
        <v>250</v>
      </c>
      <c r="CW14" s="8">
        <v>250</v>
      </c>
      <c r="CX14" s="8">
        <v>250</v>
      </c>
      <c r="CY14" s="8">
        <v>250</v>
      </c>
      <c r="CZ14" s="8">
        <v>250</v>
      </c>
      <c r="DA14" s="8">
        <v>250</v>
      </c>
      <c r="DB14" s="8">
        <v>250</v>
      </c>
      <c r="DC14" s="8">
        <v>250</v>
      </c>
      <c r="DD14" s="8">
        <v>250</v>
      </c>
      <c r="DE14" s="8">
        <v>250</v>
      </c>
      <c r="DF14" s="8">
        <v>250</v>
      </c>
      <c r="DG14" s="8">
        <v>250</v>
      </c>
      <c r="DH14" s="8">
        <v>250</v>
      </c>
      <c r="DI14" s="8">
        <v>250</v>
      </c>
      <c r="DJ14" s="8">
        <v>250</v>
      </c>
      <c r="DK14" s="8">
        <v>250</v>
      </c>
      <c r="DL14" s="8">
        <v>250</v>
      </c>
      <c r="DM14" s="8">
        <v>250</v>
      </c>
      <c r="DN14" s="8">
        <v>250</v>
      </c>
      <c r="DO14" s="8">
        <v>250</v>
      </c>
      <c r="DP14" s="8">
        <v>250</v>
      </c>
      <c r="DQ14" s="8">
        <v>250</v>
      </c>
      <c r="DR14" s="8">
        <v>250</v>
      </c>
      <c r="DS14" s="8">
        <v>250</v>
      </c>
      <c r="DT14" s="8">
        <v>250</v>
      </c>
      <c r="DU14" s="8">
        <v>250</v>
      </c>
      <c r="DV14" s="8">
        <v>250</v>
      </c>
      <c r="DW14" s="8">
        <v>250</v>
      </c>
      <c r="DX14" s="8">
        <v>250</v>
      </c>
      <c r="DY14" s="8">
        <v>250</v>
      </c>
      <c r="DZ14" s="8">
        <v>250</v>
      </c>
      <c r="EA14" s="8">
        <v>250</v>
      </c>
      <c r="EB14" s="8">
        <v>250</v>
      </c>
      <c r="EC14" s="8">
        <v>250</v>
      </c>
      <c r="ED14" s="8">
        <v>250</v>
      </c>
      <c r="EE14" s="8">
        <v>250</v>
      </c>
      <c r="EF14" s="8">
        <v>250</v>
      </c>
      <c r="EG14" s="8">
        <v>250</v>
      </c>
      <c r="EH14" s="8">
        <v>250</v>
      </c>
      <c r="EI14" s="8">
        <v>250</v>
      </c>
      <c r="EJ14" s="8">
        <v>250</v>
      </c>
      <c r="EK14" s="8">
        <v>250</v>
      </c>
      <c r="EL14" s="8">
        <v>250</v>
      </c>
      <c r="EM14" s="8">
        <v>250</v>
      </c>
      <c r="EN14" s="8">
        <v>250</v>
      </c>
      <c r="EO14" s="8">
        <v>250</v>
      </c>
    </row>
    <row r="15" spans="1:145" ht="19.5" customHeight="1" x14ac:dyDescent="0.25">
      <c r="A15" s="1" t="s">
        <v>7</v>
      </c>
      <c r="B15" s="121">
        <f ca="1">RANDBETWEEN(1130,1230)/1000*((B$5)/(4*B$10*B$12)*1000)</f>
        <v>81.473206280439271</v>
      </c>
      <c r="C15" s="121">
        <f ca="1">RANDBETWEEN(1130,1230)/1000*((C$5)/(4*C$10*C$12)*1000)</f>
        <v>7.3559895852012316</v>
      </c>
      <c r="D15" s="121">
        <f ca="1">RANDBETWEEN(1300,1350)/1000*((D$5)/(4*D$10*D$12)*1000)</f>
        <v>91.994878673332522</v>
      </c>
      <c r="E15" s="121">
        <f ca="1">RANDBETWEEN(1300,1350)/1000*((E$5)/(4*E$10*E$12)*1000)</f>
        <v>7.3932877626114468</v>
      </c>
      <c r="F15" s="121">
        <f ca="1">RANDBETWEEN(1500,1550)/1000*((F$5)/(4*F$10*F$12)*1000)</f>
        <v>105.00817690812455</v>
      </c>
      <c r="G15" s="121">
        <f ca="1">RANDBETWEEN(1500,1550)/1000*((G$5)/(4*G$10*G$12)*1000)</f>
        <v>11.43643410296688</v>
      </c>
      <c r="H15" s="121">
        <f ca="1">RANDBETWEEN(1130,1230)/1000*((H$5)/(4*H$10*H$12)*1000)</f>
        <v>84.405775479317441</v>
      </c>
      <c r="I15" s="121">
        <f ca="1">RANDBETWEEN(1130,1230)/1000*((I$5)/(4*I$10*I$12)*1000)</f>
        <v>6.5457105900523853</v>
      </c>
      <c r="J15" s="121">
        <f ca="1">RANDBETWEEN(1300,1350)/1000*((J$5)/(4*J$10*J$12)*1000)</f>
        <v>95.14286875584277</v>
      </c>
      <c r="K15" s="121">
        <f ca="1">RANDBETWEEN(1300,1350)/1000*((K$5)/(4*K$10*K$12)*1000)</f>
        <v>5.9055447566174371</v>
      </c>
      <c r="L15" s="121">
        <f ca="1">RANDBETWEEN(1500,1550)/1000*((L$5)/(4*L$10*L$12)*1000)</f>
        <v>111.86345041613768</v>
      </c>
      <c r="M15" s="121">
        <f ca="1">RANDBETWEEN(1500,1550)/1000*((M$5)/(4*M$10*M$12)*1000)</f>
        <v>10.005953362932786</v>
      </c>
      <c r="N15" s="121">
        <f ca="1">RANDBETWEEN(1130,1230)/1000*((N$5)/(4*N$10*N$12)*1000)</f>
        <v>96.202878176023489</v>
      </c>
      <c r="O15" s="121">
        <f ca="1">RANDBETWEEN(1130,1230)/1000*((O$5)/(4*O$10*O$12)*1000)</f>
        <v>6.6154055818157049</v>
      </c>
      <c r="P15" s="121">
        <f ca="1">RANDBETWEEN(1300,1350)/1000*((P$5)/(4*P$10*P$12)*1000)</f>
        <v>107.08761007146427</v>
      </c>
      <c r="Q15" s="121">
        <f ca="1">RANDBETWEEN(1300,1350)/1000*((Q$5)/(4*Q$10*Q$12)*1000)</f>
        <v>8.1148640409706125</v>
      </c>
      <c r="R15" s="121">
        <f ca="1">RANDBETWEEN(1500,1550)/1000*((R$5)/(4*R$10*R$12)*1000)</f>
        <v>120.91226321036891</v>
      </c>
      <c r="S15" s="121">
        <f ca="1">RANDBETWEEN(1500,1550)/1000*((S$5)/(4*S$10*S$12)*1000)</f>
        <v>8.7162971517103358</v>
      </c>
      <c r="T15" s="121">
        <f ca="1">RANDBETWEEN(1130,1230)/1000*((T$5)/(4*T$10*T$12)*1000)</f>
        <v>19.963132186175287</v>
      </c>
      <c r="U15" s="121">
        <f ca="1">RANDBETWEEN(1130,1230)/1000*((U$5)/(4*U$10*U$12)*1000)</f>
        <v>1.5864875397787452</v>
      </c>
      <c r="V15" s="121">
        <f ca="1">RANDBETWEEN(1300,1350)/1000*((V$5)/(4*V$10*V$12)*1000)</f>
        <v>23.279681339674024</v>
      </c>
      <c r="W15" s="121">
        <f ca="1">RANDBETWEEN(1300,1350)/1000*((W$5)/(4*W$10*W$12)*1000)</f>
        <v>1.339267568995651</v>
      </c>
      <c r="X15" s="121">
        <f ca="1">RANDBETWEEN(1500,1550)/1000*((X$5)/(4*X$10*X$12)*1000)</f>
        <v>26.777999335327351</v>
      </c>
      <c r="Y15" s="121">
        <f ca="1">RANDBETWEEN(1500,1550)/1000*((Y$5)/(4*Y$10*Y$12)*1000)</f>
        <v>1.2962312104454023</v>
      </c>
      <c r="Z15" s="122">
        <f ca="1">RANDBETWEEN(1065,1115)/1000*((Z$5)/(4*Z$10*Z$12)*1000)</f>
        <v>52.26313864162907</v>
      </c>
      <c r="AA15" s="122">
        <f ca="1">RANDBETWEEN(1065,1115)/1000*((AA$5)/(4*AA$10*AA$12)*1000)</f>
        <v>3.1387850835981266</v>
      </c>
      <c r="AB15" s="122">
        <f ca="1">RANDBETWEEN(1150,1175)/1000*((AB$5)/(4*AB$10*AB$12)*1000)</f>
        <v>53.706377271064504</v>
      </c>
      <c r="AC15" s="122">
        <f ca="1">RANDBETWEEN(1150,1175)/1000*((AC$5)/(4*AC$10*AC$12)*1000)</f>
        <v>3.9385440799902454</v>
      </c>
      <c r="AD15" s="122">
        <f ca="1">RANDBETWEEN(1250,1300)/1000*((AD$5)/(4*AD$10*AD$12)*1000)</f>
        <v>58.304475064016586</v>
      </c>
      <c r="AE15" s="122">
        <f ca="1">RANDBETWEEN(1250,1300)/1000*((AE$5)/(4*AE$10*AE$12)*1000)</f>
        <v>4.6515130866393628</v>
      </c>
      <c r="AF15" s="122">
        <f ca="1">RANDBETWEEN(1350,1400)/1000*((AF$5)/(4*AF$10*AF$12)*1000)</f>
        <v>104.48466650408487</v>
      </c>
      <c r="AG15" s="122">
        <f ca="1">RANDBETWEEN(1350,1400)/1000*((AG$5)/(4*AG$10*AG$12)*1000)</f>
        <v>8.233520661038467</v>
      </c>
      <c r="AH15" s="122">
        <f ca="1">RANDBETWEEN(1550,1600)/1000*((AH$5)/(4*AH$10*AH$12)*1000)</f>
        <v>123.65665593148614</v>
      </c>
      <c r="AI15" s="122">
        <f ca="1">RANDBETWEEN(1550,1600)/1000*((AI$5)/(4*AI$10*AI$12)*1000)</f>
        <v>7.5524285656220789</v>
      </c>
      <c r="AJ15" s="122">
        <f ca="1">RANDBETWEEN(1750,1800)/1000*((AJ$5)/(4*AJ$10*AJ$12)*1000)</f>
        <v>135.17071806164242</v>
      </c>
      <c r="AK15" s="122">
        <f ca="1">RANDBETWEEN(1750,1800)/1000*((AK$5)/(4*AK$10*AK$12)*1000)</f>
        <v>12.174488763924055</v>
      </c>
      <c r="AL15" s="121">
        <f ca="1">RANDBETWEEN(1130,1230)/1000*((AL$5)/(4*AL$10*AL$12)*1000)</f>
        <v>83.086292680710869</v>
      </c>
      <c r="AM15" s="121">
        <f ca="1">RANDBETWEEN(1130,1230)/1000*((AM$5)/(4*AM$10*AM$12)*1000)</f>
        <v>8.7578989649755776</v>
      </c>
      <c r="AN15" s="121">
        <f ca="1">RANDBETWEEN(1300,1350)/1000*((AN$5)/(4*AN$10*AN$12)*1000)</f>
        <v>91.637198715603802</v>
      </c>
      <c r="AO15" s="121">
        <f ca="1">RANDBETWEEN(1300,1350)/1000*((AO$5)/(4*AO$10*AO$12)*1000)</f>
        <v>8.871945315133738</v>
      </c>
      <c r="AP15" s="121">
        <f ca="1">RANDBETWEEN(1500,1550)/1000*((AP$5)/(4*AP$10*AP$12)*1000)</f>
        <v>104.89263623996118</v>
      </c>
      <c r="AQ15" s="121">
        <f ca="1">RANDBETWEEN(1500,1550)/1000*((AQ$5)/(4*AQ$10*AQ$12)*1000)</f>
        <v>11.191844131872967</v>
      </c>
      <c r="AR15" s="121">
        <f ca="1">RANDBETWEEN(1130,1230)/1000*((AR$5)/(4*AR$10*AR$12)*1000)</f>
        <v>87.795546215071823</v>
      </c>
      <c r="AS15" s="121">
        <f ca="1">RANDBETWEEN(1130,1230)/1000*((AS$5)/(4*AS$10*AS$12)*1000)</f>
        <v>6.8652555522879801</v>
      </c>
      <c r="AT15" s="121">
        <f ca="1">RANDBETWEEN(1300,1350)/1000*((AT$5)/(4*AT$10*AT$12)*1000)</f>
        <v>95.159007390299138</v>
      </c>
      <c r="AU15" s="121">
        <f ca="1">RANDBETWEEN(1300,1350)/1000*((AU$5)/(4*AU$10*AU$12)*1000)</f>
        <v>6.8487582815103858</v>
      </c>
      <c r="AV15" s="121">
        <f ca="1">RANDBETWEEN(1500,1550)/1000*((AV$5)/(4*AV$10*AV$12)*1000)</f>
        <v>110.56996875082187</v>
      </c>
      <c r="AW15" s="121">
        <f ca="1">RANDBETWEEN(1500,1550)/1000*((AW$5)/(4*AW$10*AW$12)*1000)</f>
        <v>9.3030859459989337</v>
      </c>
      <c r="AX15" s="121">
        <f ca="1">RANDBETWEEN(1130,1230)/1000*((AX$5)/(4*AX$10*AX$12)*1000)</f>
        <v>92.707489043660402</v>
      </c>
      <c r="AY15" s="121">
        <f ca="1">RANDBETWEEN(1130,1230)/1000*((AY$5)/(4*AY$10*AY$12)*1000)</f>
        <v>6.8769710054488806</v>
      </c>
      <c r="AZ15" s="121">
        <f ca="1">RANDBETWEEN(1300,1350)/1000*((AZ$5)/(4*AZ$10*AZ$12)*1000)</f>
        <v>105.96723020387282</v>
      </c>
      <c r="BA15" s="121">
        <f ca="1">RANDBETWEEN(1300,1350)/1000*((BA$5)/(4*BA$10*BA$12)*1000)</f>
        <v>8.1379363109711633</v>
      </c>
      <c r="BB15" s="121">
        <f ca="1">RANDBETWEEN(1500,1550)/1000*((BB$5)/(4*BB$10*BB$12)*1000)</f>
        <v>121.87418559668718</v>
      </c>
      <c r="BC15" s="121">
        <f ca="1">RANDBETWEEN(1500,1550)/1000*((BC$5)/(4*BC$10*BC$12)*1000)</f>
        <v>9.3929243444725774</v>
      </c>
      <c r="BD15" s="121">
        <f ca="1">RANDBETWEEN(1130,1230)/1000*((BD$5)/(4*BD$10*BD$12)*1000)</f>
        <v>21.597437902120976</v>
      </c>
      <c r="BE15" s="121">
        <f ca="1">RANDBETWEEN(1130,1230)/1000*((BE$5)/(4*BE$10*BE$12)*1000)</f>
        <v>1.151282363939357</v>
      </c>
      <c r="BF15" s="121">
        <f ca="1">RANDBETWEEN(1300,1350)/1000*((BF$5)/(4*BF$10*BF$12)*1000)</f>
        <v>23.195879985941453</v>
      </c>
      <c r="BG15" s="121">
        <f ca="1">RANDBETWEEN(1300,1350)/1000*((BG$5)/(4*BG$10*BG$12)*1000)</f>
        <v>0.93388898054039327</v>
      </c>
      <c r="BH15" s="121">
        <f ca="1">RANDBETWEEN(1500,1550)/1000*((BH$5)/(4*BH$10*BH$12)*1000)</f>
        <v>29.252888815567687</v>
      </c>
      <c r="BI15" s="121">
        <f ca="1">RANDBETWEEN(1500,1550)/1000*((BI$5)/(4*BI$10*BI$12)*1000)</f>
        <v>3.8284427293658592</v>
      </c>
      <c r="BJ15" s="122">
        <f ca="1">RANDBETWEEN(1065,1115)/1000*((BJ$5)/(4*BJ$10*BJ$12)*1000)</f>
        <v>52.562492378978177</v>
      </c>
      <c r="BK15" s="122">
        <f ca="1">RANDBETWEEN(1065,1115)/1000*((BK$5)/(4*BK$10*BK$12)*1000)</f>
        <v>3.6384850245426787</v>
      </c>
      <c r="BL15" s="122">
        <f ca="1">RANDBETWEEN(1150,1175)/1000*((BL$5)/(4*BL$10*BL$12)*1000)</f>
        <v>53.332032678941601</v>
      </c>
      <c r="BM15" s="122">
        <f ca="1">RANDBETWEEN(1150,1175)/1000*((BM$5)/(4*BM$10*BM$12)*1000)</f>
        <v>4.0873183805896467</v>
      </c>
      <c r="BN15" s="122">
        <f ca="1">RANDBETWEEN(1250,1300)/1000*((BN$5)/(4*BN$10*BN$12)*1000)</f>
        <v>58.248831443319929</v>
      </c>
      <c r="BO15" s="122">
        <f ca="1">RANDBETWEEN(1250,1300)/1000*((BO$5)/(4*BO$10*BO$12)*1000)</f>
        <v>5.2432630167052805</v>
      </c>
      <c r="BP15" s="122">
        <f ca="1">RANDBETWEEN(1350,1400)/1000*((BP$5)/(4*BP$10*BP$12)*1000)</f>
        <v>105.11692763436311</v>
      </c>
      <c r="BQ15" s="122">
        <f ca="1">RANDBETWEEN(1350,1400)/1000*((BQ$5)/(4*BQ$10*BQ$12)*1000)</f>
        <v>8.4514341866486902</v>
      </c>
      <c r="BR15" s="122">
        <f ca="1">RANDBETWEEN(1550,1600)/1000*((BR$5)/(4*BR$10*BR$12)*1000)</f>
        <v>123.1115650649969</v>
      </c>
      <c r="BS15" s="122">
        <f ca="1">RANDBETWEEN(1550,1600)/1000*((BS$5)/(4*BS$10*BS$12)*1000)</f>
        <v>8.4035889932122103</v>
      </c>
      <c r="BT15" s="122">
        <f ca="1">RANDBETWEEN(1750,1800)/1000*((BT$5)/(4*BT$10*BT$12)*1000)</f>
        <v>134.45599173701913</v>
      </c>
      <c r="BU15" s="122">
        <f ca="1">RANDBETWEEN(1750,1800)/1000*((BU$5)/(4*BU$10*BU$12)*1000)</f>
        <v>11.211685566800798</v>
      </c>
      <c r="BV15" s="121">
        <f ca="1">RANDBETWEEN(1130,1230)/1000*((BV$5)/(4*BV$10*BV$12)*1000)</f>
        <v>84.432852521571988</v>
      </c>
      <c r="BW15" s="121">
        <f ca="1">RANDBETWEEN(1130,1230)/1000*((BW$5)/(4*BW$10*BW$12)*1000)</f>
        <v>8.5343489913951203</v>
      </c>
      <c r="BX15" s="121">
        <f ca="1">RANDBETWEEN(1300,1350)/1000*((BX$5)/(4*BX$10*BX$12)*1000)</f>
        <v>91.909523228874548</v>
      </c>
      <c r="BY15" s="121">
        <f ca="1">RANDBETWEEN(1300,1350)/1000*((BY$5)/(4*BY$10*BY$12)*1000)</f>
        <v>8.4539546827144463</v>
      </c>
      <c r="BZ15" s="121">
        <f ca="1">RANDBETWEEN(1500,1550)/1000*((BZ$5)/(4*BZ$10*BZ$12)*1000)</f>
        <v>104.58175832215584</v>
      </c>
      <c r="CA15" s="121">
        <f ca="1">RANDBETWEEN(1500,1550)/1000*((CA$5)/(4*CA$10*CA$12)*1000)</f>
        <v>11.259267760268356</v>
      </c>
      <c r="CB15" s="121">
        <f ca="1">RANDBETWEEN(1130,1230)/1000*((CB$5)/(4*CB$10*CB$12)*1000)</f>
        <v>89.109470150698982</v>
      </c>
      <c r="CC15" s="121">
        <f ca="1">RANDBETWEEN(1130,1230)/1000*((CC$5)/(4*CC$10*CC$12)*1000)</f>
        <v>6.239076535381864</v>
      </c>
      <c r="CD15" s="121">
        <f ca="1">RANDBETWEEN(1300,1350)/1000*((CD$5)/(4*CD$10*CD$12)*1000)</f>
        <v>95.506286894711536</v>
      </c>
      <c r="CE15" s="121">
        <f ca="1">RANDBETWEEN(1300,1350)/1000*((CE$5)/(4*CE$10*CE$12)*1000)</f>
        <v>6.2474447162110787</v>
      </c>
      <c r="CF15" s="121">
        <f ca="1">RANDBETWEEN(1500,1550)/1000*((CF$5)/(4*CF$10*CF$12)*1000)</f>
        <v>111.18712208697647</v>
      </c>
      <c r="CG15" s="121">
        <f ca="1">RANDBETWEEN(1500,1550)/1000*((CG$5)/(4*CG$10*CG$12)*1000)</f>
        <v>9.6526965864994949</v>
      </c>
      <c r="CH15" s="121">
        <f ca="1">RANDBETWEEN(1130,1230)/1000*((CH$5)/(4*CH$10*CH$12)*1000)</f>
        <v>93.108563996260614</v>
      </c>
      <c r="CI15" s="121">
        <f ca="1">RANDBETWEEN(1130,1230)/1000*((CI$5)/(4*CI$10*CI$12)*1000)</f>
        <v>6.6275992167382745</v>
      </c>
      <c r="CJ15" s="121">
        <f ca="1">RANDBETWEEN(1300,1350)/1000*((CJ$5)/(4*CJ$10*CJ$12)*1000)</f>
        <v>104.06789224652184</v>
      </c>
      <c r="CK15" s="121">
        <f ca="1">RANDBETWEEN(1300,1350)/1000*((CK$5)/(4*CK$10*CK$12)*1000)</f>
        <v>8.7644739641985314</v>
      </c>
      <c r="CL15" s="121">
        <f ca="1">RANDBETWEEN(1500,1550)/1000*((CL$5)/(4*CL$10*CL$12)*1000)</f>
        <v>117.03737707740089</v>
      </c>
      <c r="CM15" s="121">
        <f ca="1">RANDBETWEEN(1500,1550)/1000*((CM$5)/(4*CM$10*CM$12)*1000)</f>
        <v>9.6052370466538033</v>
      </c>
      <c r="CN15" s="121">
        <f ca="1">RANDBETWEEN(1130,1230)/1000*((CN$5)/(4*CN$10*CN$12)*1000)</f>
        <v>20.037728540995715</v>
      </c>
      <c r="CO15" s="121">
        <f ca="1">RANDBETWEEN(1130,1230)/1000*((CO$5)/(4*CO$10*CO$12)*1000)</f>
        <v>1.6414784423707296</v>
      </c>
      <c r="CP15" s="121">
        <f ca="1">RANDBETWEEN(1300,1350)/1000*((CP$5)/(4*CP$10*CP$12)*1000)</f>
        <v>23.681055155875303</v>
      </c>
      <c r="CQ15" s="121">
        <f ca="1">RANDBETWEEN(1300,1350)/1000*((CQ$5)/(4*CQ$10*CQ$12)*1000)</f>
        <v>1.554090725425642</v>
      </c>
      <c r="CR15" s="121">
        <f ca="1">RANDBETWEEN(1500,1550)/1000*((CR$5)/(4*CR$10*CR$12)*1000)</f>
        <v>27.305889525667602</v>
      </c>
      <c r="CS15" s="121">
        <f ca="1">RANDBETWEEN(1500,1550)/1000*((CS$5)/(4*CS$10*CS$12)*1000)</f>
        <v>3.6680749119547831</v>
      </c>
      <c r="CT15" s="122">
        <f ca="1">RANDBETWEEN(1065,1115)/1000*((CT$5)/(4*CT$10*CT$12)*1000)</f>
        <v>50.513352030240227</v>
      </c>
      <c r="CU15" s="122">
        <f ca="1">RANDBETWEEN(1065,1115)/1000*((CU$5)/(4*CU$10*CU$12)*1000)</f>
        <v>2.637172415606897</v>
      </c>
      <c r="CV15" s="122">
        <f ca="1">RANDBETWEEN(1150,1175)/1000*((CV$5)/(4*CV$10*CV$12)*1000)</f>
        <v>53.79498435150186</v>
      </c>
      <c r="CW15" s="122">
        <f ca="1">RANDBETWEEN(1150,1175)/1000*((CW$5)/(4*CW$10*CW$12)*1000)</f>
        <v>3.1282053121211906</v>
      </c>
      <c r="CX15" s="122">
        <f ca="1">RANDBETWEEN(1250,1300)/1000*((CX$5)/(4*CX$10*CX$12)*1000)</f>
        <v>58.381904645774917</v>
      </c>
      <c r="CY15" s="122">
        <f ca="1">RANDBETWEEN(1250,1300)/1000*((CY$5)/(4*CY$10*CY$12)*1000)</f>
        <v>3.7597041011258794</v>
      </c>
      <c r="CZ15" s="122">
        <f ca="1">RANDBETWEEN(1350,1400)/1000*((CZ$5)/(4*CZ$10*CZ$12)*1000)</f>
        <v>107.16458896691222</v>
      </c>
      <c r="DA15" s="122">
        <f ca="1">RANDBETWEEN(1350,1400)/1000*((DA$5)/(4*DA$10*DA$12)*1000)</f>
        <v>7.3726781286834937</v>
      </c>
      <c r="DB15" s="122">
        <f ca="1">RANDBETWEEN(1550,1600)/1000*((DB$5)/(4*DB$10*DB$12)*1000)</f>
        <v>122.88650021159543</v>
      </c>
      <c r="DC15" s="122">
        <f ca="1">RANDBETWEEN(1550,1600)/1000*((DC$5)/(4*DC$10*DC$12)*1000)</f>
        <v>7.671069525237237</v>
      </c>
      <c r="DD15" s="122">
        <f ca="1">RANDBETWEEN(1750,1800)/1000*((DD$5)/(4*DD$10*DD$12)*1000)</f>
        <v>137.10323525825402</v>
      </c>
      <c r="DE15" s="122">
        <f ca="1">RANDBETWEEN(1750,1800)/1000*((DE$5)/(4*DE$10*DE$12)*1000)</f>
        <v>11.845546992117175</v>
      </c>
      <c r="DF15" s="121">
        <f ca="1">RANDBETWEEN(1130,1230)/1000*((DF$5)/(4*DF$10*DF$12)*1000)</f>
        <v>84.694836354246618</v>
      </c>
      <c r="DG15" s="121">
        <f ca="1">RANDBETWEEN(1130,1230)/1000*((DG$5)/(4*DG$10*DG$12)*1000)</f>
        <v>9.5794750042438643</v>
      </c>
      <c r="DH15" s="121">
        <f ca="1">RANDBETWEEN(1300,1350)/1000*((DH$5)/(4*DH$10*DH$12)*1000)</f>
        <v>95.259114742104643</v>
      </c>
      <c r="DI15" s="121">
        <f ca="1">RANDBETWEEN(1300,1350)/1000*((DI$5)/(4*DI$10*DI$12)*1000)</f>
        <v>8.8455290603011125</v>
      </c>
      <c r="DJ15" s="121">
        <f ca="1">RANDBETWEEN(1500,1550)/1000*((DJ$5)/(4*DJ$10*DJ$12)*1000)</f>
        <v>109.87290574320205</v>
      </c>
      <c r="DK15" s="121">
        <f ca="1">RANDBETWEEN(1500,1550)/1000*((DK$5)/(4*DK$10*DK$12)*1000)</f>
        <v>11.703994252255224</v>
      </c>
      <c r="DL15" s="121">
        <f ca="1">RANDBETWEEN(1130,1230)/1000*((DL$5)/(4*DL$10*DL$12)*1000)</f>
        <v>83.586171939816026</v>
      </c>
      <c r="DM15" s="121">
        <f ca="1">RANDBETWEEN(1130,1230)/1000*((DM$5)/(4*DM$10*DM$12)*1000)</f>
        <v>7.8058390774917452</v>
      </c>
      <c r="DN15" s="121">
        <f ca="1">RANDBETWEEN(1300,1350)/1000*((DN$5)/(4*DN$10*DN$12)*1000)</f>
        <v>103.19170832825266</v>
      </c>
      <c r="DO15" s="121">
        <f ca="1">RANDBETWEEN(1300,1350)/1000*((DO$5)/(4*DO$10*DO$12)*1000)</f>
        <v>6.3882453359346432</v>
      </c>
      <c r="DP15" s="121">
        <f ca="1">RANDBETWEEN(1500,1550)/1000*((DP$5)/(4*DP$10*DP$12)*1000)</f>
        <v>116.36280636507743</v>
      </c>
      <c r="DQ15" s="121">
        <f ca="1">RANDBETWEEN(1500,1550)/1000*((DQ$5)/(4*DQ$10*DQ$12)*1000)</f>
        <v>10.088611862254963</v>
      </c>
      <c r="DR15" s="121">
        <f ca="1">RANDBETWEEN(1130,1230)/1000*((DR$5)/(4*DR$10*DR$12)*1000)</f>
        <v>98.746561394951868</v>
      </c>
      <c r="DS15" s="121">
        <f ca="1">RANDBETWEEN(1130,1230)/1000*((DS$5)/(4*DS$10*DS$12)*1000)</f>
        <v>6.992685253591743</v>
      </c>
      <c r="DT15" s="121">
        <f ca="1">RANDBETWEEN(1300,1350)/1000*((DT$5)/(4*DT$10*DT$12)*1000)</f>
        <v>108.53925035445222</v>
      </c>
      <c r="DU15" s="121">
        <f ca="1">RANDBETWEEN(1300,1350)/1000*((DU$5)/(4*DU$10*DU$12)*1000)</f>
        <v>9.2728134541220459</v>
      </c>
      <c r="DV15" s="121">
        <f ca="1">RANDBETWEEN(1500,1550)/1000*((DV$5)/(4*DV$10*DV$12)*1000)</f>
        <v>124.73583565849216</v>
      </c>
      <c r="DW15" s="121">
        <f ca="1">RANDBETWEEN(1500,1550)/1000*((DW$5)/(4*DW$10*DW$12)*1000)</f>
        <v>10.225205677930239</v>
      </c>
      <c r="DX15" s="121">
        <f ca="1">RANDBETWEEN(1130,1230)/1000*((DX$5)/(4*DX$10*DX$12)*1000)</f>
        <v>21.021351413385744</v>
      </c>
      <c r="DY15" s="121">
        <f ca="1">RANDBETWEEN(1130,1230)/1000*((DY$5)/(4*DY$10*DY$12)*1000)</f>
        <v>1.6494136296147526</v>
      </c>
      <c r="DZ15" s="121">
        <f ca="1">RANDBETWEEN(1300,1350)/1000*((DZ$5)/(4*DZ$10*DZ$12)*1000)</f>
        <v>24.814660036676543</v>
      </c>
      <c r="EA15" s="121">
        <f ca="1">RANDBETWEEN(1300,1350)/1000*((EA$5)/(4*EA$10*EA$12)*1000)</f>
        <v>1.6707718570905992</v>
      </c>
      <c r="EB15" s="121">
        <f ca="1">RANDBETWEEN(1500,1550)/1000*((EB$5)/(4*EB$10*EB$12)*1000)</f>
        <v>29.493509279356182</v>
      </c>
      <c r="EC15" s="121">
        <f ca="1">RANDBETWEEN(1500,1550)/1000*((EC$5)/(4*EC$10*EC$12)*1000)</f>
        <v>3.8903983301892882</v>
      </c>
      <c r="ED15" s="122">
        <f ca="1">RANDBETWEEN(1065,1115)/1000*((ED$5)/(4*ED$10*ED$12)*1000)</f>
        <v>52.161931471771744</v>
      </c>
      <c r="EE15" s="122">
        <f ca="1">RANDBETWEEN(1065,1115)/1000*((EE$5)/(4*EE$10*EE$12)*1000)</f>
        <v>2.19736474031144</v>
      </c>
      <c r="EF15" s="122">
        <f ca="1">RANDBETWEEN(1150,1175)/1000*((EF$5)/(4*EF$10*EF$12)*1000)</f>
        <v>56.465289598829422</v>
      </c>
      <c r="EG15" s="122">
        <f ca="1">RANDBETWEEN(1150,1175)/1000*((EG$5)/(4*EG$10*EG$12)*1000)</f>
        <v>3.1784741698166892</v>
      </c>
      <c r="EH15" s="122">
        <f ca="1">RANDBETWEEN(1250,1300)/1000*((EH$5)/(4*EH$10*EH$12)*1000)</f>
        <v>62.503575173759295</v>
      </c>
      <c r="EI15" s="122">
        <f ca="1">RANDBETWEEN(1250,1300)/1000*((EI$5)/(4*EI$10*EI$12)*1000)</f>
        <v>3.4644268632950075</v>
      </c>
      <c r="EJ15" s="122">
        <f ca="1">RANDBETWEEN(1350,1400)/1000*((EJ$5)/(4*EJ$10*EJ$12)*1000)</f>
        <v>105.6620067853992</v>
      </c>
      <c r="EK15" s="122">
        <f ca="1">RANDBETWEEN(1350,1400)/1000*((EK$5)/(4*EK$10*EK$12)*1000)</f>
        <v>9.6414028896523849</v>
      </c>
      <c r="EL15" s="122">
        <f ca="1">RANDBETWEEN(1550,1600)/1000*((EL$5)/(4*EL$10*EL$12)*1000)</f>
        <v>127.4884143884892</v>
      </c>
      <c r="EM15" s="122">
        <f ca="1">RANDBETWEEN(1550,1600)/1000*((EM$5)/(4*EM$10*EM$12)*1000)</f>
        <v>8.3183799536641878</v>
      </c>
      <c r="EN15" s="122">
        <f ca="1">RANDBETWEEN(1750,1800)/1000*((EN$5)/(4*EN$10*EN$12)*1000)</f>
        <v>144.83746956970816</v>
      </c>
      <c r="EO15" s="122">
        <f ca="1">RANDBETWEEN(1750,1800)/1000*((EO$5)/(4*EO$10*EO$12)*1000)</f>
        <v>12.450429847149199</v>
      </c>
    </row>
    <row r="16" spans="1:145" ht="19.5" customHeight="1" x14ac:dyDescent="0.25">
      <c r="A16" s="1" t="s">
        <v>8</v>
      </c>
      <c r="B16" s="121">
        <f ca="1">RANDBETWEEN(1130,1230)/1000*((B$5)/(4*B$10*B$12)*1000)</f>
        <v>79.165381553182186</v>
      </c>
      <c r="C16" s="121">
        <f ca="1">RANDBETWEEN(1130,1230)/1000*((C$5)/(4*C$10*C$12)*1000)</f>
        <v>7.6220977355702679</v>
      </c>
      <c r="D16" s="121">
        <f ca="1">RANDBETWEEN(650,700)/1000*((D$5)/(4*D$10*D$12)*1000)</f>
        <v>45.072695582317799</v>
      </c>
      <c r="E16" s="121">
        <f ca="1">RANDBETWEEN(650,700)/1000*((E$5)/(4*E$10*E$12)*1000)</f>
        <v>3.9521722601978237</v>
      </c>
      <c r="F16" s="121">
        <f ca="1">RANDBETWEEN(450,500)/1000*((F$5)/(4*F$10*F$12)*1000)</f>
        <v>31.768901927311592</v>
      </c>
      <c r="G16" s="121">
        <f ca="1">RANDBETWEEN(450,500)/1000*((G$5)/(4*G$10*G$12)*1000)</f>
        <v>3.5132014029852887</v>
      </c>
      <c r="H16" s="121">
        <f ca="1">RANDBETWEEN(1130,1230)/1000*((H$5)/(4*H$10*H$12)*1000)</f>
        <v>84.694836354246618</v>
      </c>
      <c r="I16" s="121">
        <f ca="1">RANDBETWEEN(1130,1230)/1000*((I$5)/(4*I$10*I$12)*1000)</f>
        <v>6.8041678322347119</v>
      </c>
      <c r="J16" s="121">
        <f ca="1">RANDBETWEEN(650,700)/1000*((J$5)/(4*J$10*J$12)*1000)</f>
        <v>48.916081491735824</v>
      </c>
      <c r="K16" s="121">
        <f ca="1">RANDBETWEEN(650,700)/1000*((K$5)/(4*K$10*K$12)*1000)</f>
        <v>3.098139633856225</v>
      </c>
      <c r="L16" s="121">
        <f ca="1">RANDBETWEEN(450,500)/1000*((L$5)/(4*L$10*L$12)*1000)</f>
        <v>34.054909611692501</v>
      </c>
      <c r="M16" s="121">
        <f ca="1">RANDBETWEEN(450,500)/1000*((M$5)/(4*M$10*M$12)*1000)</f>
        <v>3.117984176965507</v>
      </c>
      <c r="N16" s="121">
        <f ca="1">RANDBETWEEN(1130,1230)/1000*((N$5)/(4*N$10*N$12)*1000)</f>
        <v>93.241558298724939</v>
      </c>
      <c r="O16" s="121">
        <f ca="1">RANDBETWEEN(1130,1230)/1000*((O$5)/(4*O$10*O$12)*1000)</f>
        <v>6.6648973941484897</v>
      </c>
      <c r="P16" s="121">
        <f ca="1">RANDBETWEEN(650,700)/1000*((P$5)/(4*P$10*P$12)*1000)</f>
        <v>55.541708208707206</v>
      </c>
      <c r="Q16" s="121">
        <f ca="1">RANDBETWEEN(650,700)/1000*((Q$5)/(4*Q$10*Q$12)*1000)</f>
        <v>4.2494817705157901</v>
      </c>
      <c r="R16" s="121">
        <f ca="1">RANDBETWEEN(450,500)/1000*((R$5)/(4*R$10*R$12)*1000)</f>
        <v>35.82292690274501</v>
      </c>
      <c r="S16" s="121">
        <f ca="1">RANDBETWEEN(450,500)/1000*((S$5)/(4*S$10*S$12)*1000)</f>
        <v>2.6453015055552767</v>
      </c>
      <c r="T16" s="121">
        <f ca="1">RANDBETWEEN(1130,1230)/1000*((T$5)/(4*T$10*T$12)*1000)</f>
        <v>20.666059375829345</v>
      </c>
      <c r="U16" s="121">
        <f ca="1">RANDBETWEEN(1130,1230)/1000*((U$5)/(4*U$10*U$12)*1000)</f>
        <v>1.6840963918795175</v>
      </c>
      <c r="V16" s="121">
        <f ca="1">RANDBETWEEN(650,700)/1000*((V$5)/(4*V$10*V$12)*1000)</f>
        <v>11.353828203638486</v>
      </c>
      <c r="W16" s="121">
        <f ca="1">RANDBETWEEN(650,700)/1000*((W$5)/(4*W$10*W$12)*1000)</f>
        <v>0.66861764825427805</v>
      </c>
      <c r="X16" s="121">
        <f ca="1">RANDBETWEEN(450,500)/1000*((X$5)/(4*X$10*X$12)*1000)</f>
        <v>7.933573380577692</v>
      </c>
      <c r="Y16" s="121">
        <f ca="1">RANDBETWEEN(450,500)/1000*((Y$5)/(4*Y$10*Y$12)*1000)</f>
        <v>0.41840904146074964</v>
      </c>
      <c r="Z16" s="122">
        <f ca="1">RANDBETWEEN(1065,1115)/1000*((Z$5)/(4*Z$10*Z$12)*1000)</f>
        <v>52.64358005121327</v>
      </c>
      <c r="AA16" s="122">
        <f ca="1">RANDBETWEEN(1065,1115)/1000*((AA$5)/(4*AA$10*AA$12)*1000)</f>
        <v>3.0727960004877453</v>
      </c>
      <c r="AB16" s="122">
        <f ca="1">RANDBETWEEN(850,900)/1000*((AB$5)/(4*AB$10*AB$12)*1000)</f>
        <v>41.828557492988665</v>
      </c>
      <c r="AC16" s="122">
        <f ca="1">RANDBETWEEN(850,900)/1000*((AC$5)/(4*AC$10*AC$12)*1000)</f>
        <v>2.9198376094737375</v>
      </c>
      <c r="AD16" s="122">
        <f ca="1">RANDBETWEEN(700,750)/1000*((AD$5)/(4*AD$10*AD$12)*1000)</f>
        <v>33.681868064870145</v>
      </c>
      <c r="AE16" s="122">
        <f ca="1">RANDBETWEEN(700,750)/1000*((AE$5)/(4*AE$10*AE$12)*1000)</f>
        <v>2.6072860555025574</v>
      </c>
      <c r="AF16" s="122">
        <f ca="1">RANDBETWEEN(1350,1400)/1000*((AF$5)/(4*AF$10*AF$12)*1000)</f>
        <v>103.19473234971346</v>
      </c>
      <c r="AG16" s="122">
        <f ca="1">RANDBETWEEN(1350,1400)/1000*((AG$5)/(4*AG$10*AG$12)*1000)</f>
        <v>8.1564610724182369</v>
      </c>
      <c r="AH16" s="122">
        <f ca="1">RANDBETWEEN(400,450)/1000*((AH$5)/(4*AH$10*AH$12)*1000)</f>
        <v>32.197393431217144</v>
      </c>
      <c r="AI16" s="122">
        <f ca="1">RANDBETWEEN(400,450)/1000*((AI$5)/(4*AI$10*AI$12)*1000)</f>
        <v>2.1633554970579869</v>
      </c>
      <c r="AJ16" s="122">
        <f ca="1">RANDBETWEEN(200,250)/1000*((AJ$5)/(4*AJ$10*AJ$12)*1000)</f>
        <v>17.66786212107084</v>
      </c>
      <c r="AK16" s="122">
        <f ca="1">RANDBETWEEN(200,250)/1000*((AK$5)/(4*AK$10*AK$12)*1000)</f>
        <v>1.6858030225869156</v>
      </c>
      <c r="AL16" s="121">
        <f ca="1">RANDBETWEEN(1130,1230)/1000*((AL$5)/(4*AL$10*AL$12)*1000)</f>
        <v>80.968545203717383</v>
      </c>
      <c r="AM16" s="121">
        <f ca="1">RANDBETWEEN(1130,1230)/1000*((AM$5)/(4*AM$10*AM$12)*1000)</f>
        <v>8.1482172188470567</v>
      </c>
      <c r="AN16" s="121">
        <f ca="1">RANDBETWEEN(650,700)/1000*((AN$5)/(4*AN$10*AN$12)*1000)</f>
        <v>46.90789741088485</v>
      </c>
      <c r="AO16" s="121">
        <f ca="1">RANDBETWEEN(650,700)/1000*((AO$5)/(4*AO$10*AO$12)*1000)</f>
        <v>4.5313699190199195</v>
      </c>
      <c r="AP16" s="121">
        <f ca="1">RANDBETWEEN(450,500)/1000*((AP$5)/(4*AP$10*AP$12)*1000)</f>
        <v>34.032136205293</v>
      </c>
      <c r="AQ16" s="121">
        <f ca="1">RANDBETWEEN(450,500)/1000*((AQ$5)/(4*AQ$10*AQ$12)*1000)</f>
        <v>3.3946123260912708</v>
      </c>
      <c r="AR16" s="121">
        <f ca="1">RANDBETWEEN(1130,1230)/1000*((AR$5)/(4*AR$10*AR$12)*1000)</f>
        <v>84.579056595202417</v>
      </c>
      <c r="AS16" s="121">
        <f ca="1">RANDBETWEEN(1130,1230)/1000*((AS$5)/(4*AS$10*AS$12)*1000)</f>
        <v>6.636804215650411</v>
      </c>
      <c r="AT16" s="121">
        <f ca="1">RANDBETWEEN(650,700)/1000*((AT$5)/(4*AT$10*AT$12)*1000)</f>
        <v>49.983980910984087</v>
      </c>
      <c r="AU16" s="121">
        <f ca="1">RANDBETWEEN(650,700)/1000*((AU$5)/(4*AU$10*AU$12)*1000)</f>
        <v>3.3024427915294883</v>
      </c>
      <c r="AV16" s="121">
        <f ca="1">RANDBETWEEN(450,500)/1000*((AV$5)/(4*AV$10*AV$12)*1000)</f>
        <v>33.97116803068014</v>
      </c>
      <c r="AW16" s="121">
        <f ca="1">RANDBETWEEN(450,500)/1000*((AW$5)/(4*AW$10*AW$12)*1000)</f>
        <v>2.7347812677076684</v>
      </c>
      <c r="AX16" s="121">
        <f ca="1">RANDBETWEEN(1130,1230)/1000*((AX$5)/(4*AX$10*AX$12)*1000)</f>
        <v>95.311188735950424</v>
      </c>
      <c r="AY16" s="121">
        <f ca="1">RANDBETWEEN(1130,1230)/1000*((AY$5)/(4*AY$10*AY$12)*1000)</f>
        <v>6.7363855675180693</v>
      </c>
      <c r="AZ16" s="121">
        <f ca="1">RANDBETWEEN(650,700)/1000*((AZ$5)/(4*AZ$10*AZ$12)*1000)</f>
        <v>53.023184642714554</v>
      </c>
      <c r="BA16" s="121">
        <f ca="1">RANDBETWEEN(650,700)/1000*((BA$5)/(4*BA$10*BA$12)*1000)</f>
        <v>4.0689681554855817</v>
      </c>
      <c r="BB16" s="121">
        <f ca="1">RANDBETWEEN(450,500)/1000*((BB$5)/(4*BB$10*BB$12)*1000)</f>
        <v>39.411262615032605</v>
      </c>
      <c r="BC16" s="121">
        <f ca="1">RANDBETWEEN(450,500)/1000*((BC$5)/(4*BC$10*BC$12)*1000)</f>
        <v>3.0460178218342575</v>
      </c>
      <c r="BD16" s="121">
        <f ca="1">RANDBETWEEN(1130,1230)/1000*((BD$5)/(4*BD$10*BD$12)*1000)</f>
        <v>20.191583522812856</v>
      </c>
      <c r="BE16" s="121">
        <f ca="1">RANDBETWEEN(1130,1230)/1000*((BE$5)/(4*BE$10*BE$12)*1000)</f>
        <v>1.2315571271796124</v>
      </c>
      <c r="BF16" s="121">
        <f ca="1">RANDBETWEEN(650,700)/1000*((BF$5)/(4*BF$10*BF$12)*1000)</f>
        <v>12.200090376352954</v>
      </c>
      <c r="BG16" s="121">
        <f ca="1">RANDBETWEEN(650,700)/1000*((BG$5)/(4*BG$10*BG$12)*1000)</f>
        <v>0.47698630726525459</v>
      </c>
      <c r="BH16" s="121">
        <f ca="1">RANDBETWEEN(450,500)/1000*((BH$5)/(4*BH$10*BH$12)*1000)</f>
        <v>9.503862513179886</v>
      </c>
      <c r="BI16" s="121">
        <f ca="1">RANDBETWEEN(450,500)/1000*((BI$5)/(4*BI$10*BI$12)*1000)</f>
        <v>1.1974866766606655</v>
      </c>
      <c r="BJ16" s="122">
        <f ca="1">RANDBETWEEN(1065,1115)/1000*((BJ$5)/(4*BJ$10*BJ$12)*1000)</f>
        <v>53.474535625736713</v>
      </c>
      <c r="BK16" s="122">
        <f ca="1">RANDBETWEEN(1065,1115)/1000*((BK$5)/(4*BK$10*BK$12)*1000)</f>
        <v>3.7054304711763986</v>
      </c>
      <c r="BL16" s="122">
        <f ca="1">RANDBETWEEN(850,900)/1000*((BL$5)/(4*BL$10*BL$12)*1000)</f>
        <v>41.387879526886977</v>
      </c>
      <c r="BM16" s="122">
        <f ca="1">RANDBETWEEN(850,900)/1000*((BM$5)/(4*BM$10*BM$12)*1000)</f>
        <v>3.0540273663422206</v>
      </c>
      <c r="BN16" s="122">
        <f ca="1">RANDBETWEEN(700,750)/1000*((BN$5)/(4*BN$10*BN$12)*1000)</f>
        <v>33.391049871966835</v>
      </c>
      <c r="BO16" s="122">
        <f ca="1">RANDBETWEEN(700,750)/1000*((BO$5)/(4*BO$10*BO$12)*1000)</f>
        <v>2.9549241962362314</v>
      </c>
      <c r="BP16" s="122">
        <f ca="1">RANDBETWEEN(1350,1400)/1000*((BP$5)/(4*BP$10*BP$12)*1000)</f>
        <v>105.27219636055862</v>
      </c>
      <c r="BQ16" s="122">
        <f ca="1">RANDBETWEEN(1350,1400)/1000*((BQ$5)/(4*BQ$10*BQ$12)*1000)</f>
        <v>8.5636213661174772</v>
      </c>
      <c r="BR16" s="122">
        <f ca="1">RANDBETWEEN(400,450)/1000*((BR$5)/(4*BR$10*BR$12)*1000)</f>
        <v>34.111516768638936</v>
      </c>
      <c r="BS16" s="122">
        <f ca="1">RANDBETWEEN(400,450)/1000*((BS$5)/(4*BS$10*BS$12)*1000)</f>
        <v>2.2305155875299758</v>
      </c>
      <c r="BT16" s="122">
        <f ca="1">RANDBETWEEN(200,250)/1000*((BT$5)/(4*BT$10*BT$12)*1000)</f>
        <v>19.186071880282412</v>
      </c>
      <c r="BU16" s="122">
        <f ca="1">RANDBETWEEN(200,250)/1000*((BU$5)/(4*BU$10*BU$12)*1000)</f>
        <v>1.3298764378327848</v>
      </c>
      <c r="BV16" s="121">
        <f ca="1">RANDBETWEEN(1130,1230)/1000*((BV$5)/(4*BV$10*BV$12)*1000)</f>
        <v>84.225740046048912</v>
      </c>
      <c r="BW16" s="121">
        <f ca="1">RANDBETWEEN(1130,1230)/1000*((BW$5)/(4*BW$10*BW$12)*1000)</f>
        <v>8.2592749329947814</v>
      </c>
      <c r="BX16" s="121">
        <f ca="1">RANDBETWEEN(650,700)/1000*((BX$5)/(4*BX$10*BX$12)*1000)</f>
        <v>45.682437101166535</v>
      </c>
      <c r="BY16" s="121">
        <f ca="1">RANDBETWEEN(650,700)/1000*((BY$5)/(4*BY$10*BY$12)*1000)</f>
        <v>4.311705172253026</v>
      </c>
      <c r="BZ16" s="121">
        <f ca="1">RANDBETWEEN(450,500)/1000*((BZ$5)/(4*BZ$10*BZ$12)*1000)</f>
        <v>30.624134789874983</v>
      </c>
      <c r="CA16" s="121">
        <f ca="1">RANDBETWEEN(450,500)/1000*((CA$5)/(4*CA$10*CA$12)*1000)</f>
        <v>3.5513363984784254</v>
      </c>
      <c r="CB16" s="121">
        <f ca="1">RANDBETWEEN(1130,1230)/1000*((CB$5)/(4*CB$10*CB$12)*1000)</f>
        <v>89.476175789179223</v>
      </c>
      <c r="CC16" s="121">
        <f ca="1">RANDBETWEEN(1130,1230)/1000*((CC$5)/(4*CC$10*CC$12)*1000)</f>
        <v>5.8834288501402261</v>
      </c>
      <c r="CD16" s="121">
        <f ca="1">RANDBETWEEN(650,700)/1000*((CD$5)/(4*CD$10*CD$12)*1000)</f>
        <v>50.878539441627147</v>
      </c>
      <c r="CE16" s="121">
        <f ca="1">RANDBETWEEN(650,700)/1000*((CE$5)/(4*CE$10*CE$12)*1000)</f>
        <v>3.2076432572785238</v>
      </c>
      <c r="CF16" s="121">
        <f ca="1">RANDBETWEEN(450,500)/1000*((CF$5)/(4*CF$10*CF$12)*1000)</f>
        <v>33.624844889791063</v>
      </c>
      <c r="CG16" s="121">
        <f ca="1">RANDBETWEEN(450,500)/1000*((CG$5)/(4*CG$10*CG$12)*1000)</f>
        <v>2.8995746573229955</v>
      </c>
      <c r="CH16" s="121">
        <f ca="1">RANDBETWEEN(1130,1230)/1000*((CH$5)/(4*CH$10*CH$12)*1000)</f>
        <v>94.908141283583305</v>
      </c>
      <c r="CI16" s="121">
        <f ca="1">RANDBETWEEN(1130,1230)/1000*((CI$5)/(4*CI$10*CI$12)*1000)</f>
        <v>6.5472646807778103</v>
      </c>
      <c r="CJ16" s="121">
        <f ca="1">RANDBETWEEN(650,700)/1000*((CJ$5)/(4*CJ$10*CJ$12)*1000)</f>
        <v>54.526827192284067</v>
      </c>
      <c r="CK16" s="121">
        <f ca="1">RANDBETWEEN(650,700)/1000*((CK$5)/(4*CK$10*CK$12)*1000)</f>
        <v>4.5827744583993821</v>
      </c>
      <c r="CL16" s="121">
        <f ca="1">RANDBETWEEN(450,500)/1000*((CL$5)/(4*CL$10*CL$12)*1000)</f>
        <v>37.851373935746714</v>
      </c>
      <c r="CM16" s="121">
        <f ca="1">RANDBETWEEN(450,500)/1000*((CM$5)/(4*CM$10*CM$12)*1000)</f>
        <v>3.1489464460336021</v>
      </c>
      <c r="CN16" s="121">
        <f ca="1">RANDBETWEEN(1130,1230)/1000*((CN$5)/(4*CN$10*CN$12)*1000)</f>
        <v>21.342268159550127</v>
      </c>
      <c r="CO16" s="121">
        <f ca="1">RANDBETWEEN(1130,1230)/1000*((CO$5)/(4*CO$10*CO$12)*1000)</f>
        <v>1.6469775326299281</v>
      </c>
      <c r="CP16" s="121">
        <f ca="1">RANDBETWEEN(650,700)/1000*((CP$5)/(4*CP$10*CP$12)*1000)</f>
        <v>11.884609959091552</v>
      </c>
      <c r="CQ16" s="121">
        <f ca="1">RANDBETWEEN(650,700)/1000*((CQ$5)/(4*CQ$10*CQ$12)*1000)</f>
        <v>0.83562262851732583</v>
      </c>
      <c r="CR16" s="121">
        <f ca="1">RANDBETWEEN(450,500)/1000*((CR$5)/(4*CR$10*CR$12)*1000)</f>
        <v>8.1610047555176219</v>
      </c>
      <c r="CS16" s="121">
        <f ca="1">RANDBETWEEN(450,500)/1000*((CS$5)/(4*CS$10*CS$12)*1000)</f>
        <v>1.1013864880179605</v>
      </c>
      <c r="CT16" s="122">
        <f ca="1">RANDBETWEEN(1065,1115)/1000*((CT$5)/(4*CT$10*CT$12)*1000)</f>
        <v>50.701134008047809</v>
      </c>
      <c r="CU16" s="122">
        <f ca="1">RANDBETWEEN(1065,1115)/1000*((CU$5)/(4*CU$10*CU$12)*1000)</f>
        <v>2.6658633213070626</v>
      </c>
      <c r="CV16" s="122">
        <f ca="1">RANDBETWEEN(850,900)/1000*((CV$5)/(4*CV$10*CV$12)*1000)</f>
        <v>39.813843840182102</v>
      </c>
      <c r="CW16" s="122">
        <f ca="1">RANDBETWEEN(850,900)/1000*((CW$5)/(4*CW$10*CW$12)*1000)</f>
        <v>2.3885178995387939</v>
      </c>
      <c r="CX16" s="122">
        <f ca="1">RANDBETWEEN(700,750)/1000*((CX$5)/(4*CX$10*CX$12)*1000)</f>
        <v>33.006462626508963</v>
      </c>
      <c r="CY16" s="122">
        <f ca="1">RANDBETWEEN(700,750)/1000*((CY$5)/(4*CY$10*CY$12)*1000)</f>
        <v>2.0920452073037481</v>
      </c>
      <c r="CZ16" s="122">
        <f ca="1">RANDBETWEEN(1350,1400)/1000*((CZ$5)/(4*CZ$10*CZ$12)*1000)</f>
        <v>108.10188857886772</v>
      </c>
      <c r="DA16" s="122">
        <f ca="1">RANDBETWEEN(1350,1400)/1000*((DA$5)/(4*DA$10*DA$12)*1000)</f>
        <v>7.3726781286834937</v>
      </c>
      <c r="DB16" s="122">
        <f ca="1">RANDBETWEEN(400,450)/1000*((DB$5)/(4*DB$10*DB$12)*1000)</f>
        <v>34.272365636902244</v>
      </c>
      <c r="DC16" s="122">
        <f ca="1">RANDBETWEEN(400,450)/1000*((DC$5)/(4*DC$10*DC$12)*1000)</f>
        <v>2.1245974307293944</v>
      </c>
      <c r="DD16" s="122">
        <f ca="1">RANDBETWEEN(200,250)/1000*((DD$5)/(4*DD$10*DD$12)*1000)</f>
        <v>18.166566846223922</v>
      </c>
      <c r="DE16" s="122">
        <f ca="1">RANDBETWEEN(200,250)/1000*((DE$5)/(4*DE$10*DE$12)*1000)</f>
        <v>1.4037204931966691</v>
      </c>
      <c r="DF16" s="121">
        <f ca="1">RANDBETWEEN(1130,1230)/1000*((DF$5)/(4*DF$10*DF$12)*1000)</f>
        <v>81.122101321933485</v>
      </c>
      <c r="DG16" s="121">
        <f ca="1">RANDBETWEEN(1130,1230)/1000*((DG$5)/(4*DG$10*DG$12)*1000)</f>
        <v>9.4284293402765318</v>
      </c>
      <c r="DH16" s="121">
        <f ca="1">RANDBETWEEN(650,700)/1000*((DH$5)/(4*DH$10*DH$12)*1000)</f>
        <v>47.234142177783212</v>
      </c>
      <c r="DI16" s="121">
        <f ca="1">RANDBETWEEN(650,700)/1000*((DI$5)/(4*DI$10*DI$12)*1000)</f>
        <v>4.5513907916538159</v>
      </c>
      <c r="DJ16" s="121">
        <f ca="1">RANDBETWEEN(450,500)/1000*((DJ$5)/(4*DJ$10*DJ$12)*1000)</f>
        <v>34.914217778319717</v>
      </c>
      <c r="DK16" s="121">
        <f ca="1">RANDBETWEEN(450,500)/1000*((DK$5)/(4*DK$10*DK$12)*1000)</f>
        <v>3.6261551078180325</v>
      </c>
      <c r="DL16" s="121">
        <f ca="1">RANDBETWEEN(1130,1230)/1000*((DL$5)/(4*DL$10*DL$12)*1000)</f>
        <v>88.383291372883733</v>
      </c>
      <c r="DM16" s="121">
        <f ca="1">RANDBETWEEN(1130,1230)/1000*((DM$5)/(4*DM$10*DM$12)*1000)</f>
        <v>7.9330354260958131</v>
      </c>
      <c r="DN16" s="121">
        <f ca="1">RANDBETWEEN(650,700)/1000*((DN$5)/(4*DN$10*DN$12)*1000)</f>
        <v>52.093809698004314</v>
      </c>
      <c r="DO16" s="121">
        <f ca="1">RANDBETWEEN(650,700)/1000*((DO$5)/(4*DO$10*DO$12)*1000)</f>
        <v>3.2039507377149135</v>
      </c>
      <c r="DP16" s="121">
        <f ca="1">RANDBETWEEN(450,500)/1000*((DP$5)/(4*DP$10*DP$12)*1000)</f>
        <v>37.377609975827916</v>
      </c>
      <c r="DQ16" s="121">
        <f ca="1">RANDBETWEEN(450,500)/1000*((DQ$5)/(4*DQ$10*DQ$12)*1000)</f>
        <v>3.0635575288522925</v>
      </c>
      <c r="DR16" s="121">
        <f ca="1">RANDBETWEEN(1130,1230)/1000*((DR$5)/(4*DR$10*DR$12)*1000)</f>
        <v>93.867124944112533</v>
      </c>
      <c r="DS16" s="121">
        <f ca="1">RANDBETWEEN(1130,1230)/1000*((DS$5)/(4*DS$10*DS$12)*1000)</f>
        <v>7.1805303513918686</v>
      </c>
      <c r="DT16" s="121">
        <f ca="1">RANDBETWEEN(650,700)/1000*((DT$5)/(4*DT$10*DT$12)*1000)</f>
        <v>57.859769612027222</v>
      </c>
      <c r="DU16" s="121">
        <f ca="1">RANDBETWEEN(650,700)/1000*((DU$5)/(4*DU$10*DU$12)*1000)</f>
        <v>4.80683728191923</v>
      </c>
      <c r="DV16" s="121">
        <f ca="1">RANDBETWEEN(450,500)/1000*((DV$5)/(4*DV$10*DV$12)*1000)</f>
        <v>37.845800727314469</v>
      </c>
      <c r="DW16" s="121">
        <f ca="1">RANDBETWEEN(450,500)/1000*((DW$5)/(4*DW$10*DW$12)*1000)</f>
        <v>3.2398667307430231</v>
      </c>
      <c r="DX16" s="121">
        <f ca="1">RANDBETWEEN(1130,1230)/1000*((DX$5)/(4*DX$10*DX$12)*1000)</f>
        <v>22.11716469297145</v>
      </c>
      <c r="DY16" s="121">
        <f ca="1">RANDBETWEEN(1130,1230)/1000*((DY$5)/(4*DY$10*DY$12)*1000)</f>
        <v>1.7177755701719781</v>
      </c>
      <c r="DZ16" s="121">
        <f ca="1">RANDBETWEEN(650,700)/1000*((DZ$5)/(4*DZ$10*DZ$12)*1000)</f>
        <v>12.676047397376218</v>
      </c>
      <c r="EA16" s="121">
        <f ca="1">RANDBETWEEN(650,700)/1000*((EA$5)/(4*EA$10*EA$12)*1000)</f>
        <v>0.83412591960330063</v>
      </c>
      <c r="EB16" s="121">
        <f ca="1">RANDBETWEEN(450,500)/1000*((EB$5)/(4*EB$10*EB$12)*1000)</f>
        <v>9.3912536032191198</v>
      </c>
      <c r="EC16" s="121">
        <f ca="1">RANDBETWEEN(450,500)/1000*((EC$5)/(4*EC$10*EC$12)*1000)</f>
        <v>1.2333552436216531</v>
      </c>
      <c r="ED16" s="122">
        <f ca="1">RANDBETWEEN(1065,1115)/1000*((ED$5)/(4*ED$10*ED$12)*1000)</f>
        <v>51.63793033369916</v>
      </c>
      <c r="EE16" s="122">
        <f ca="1">RANDBETWEEN(1065,1115)/1000*((EE$5)/(4*EE$10*EE$12)*1000)</f>
        <v>2.1066297510346659</v>
      </c>
      <c r="EF16" s="122">
        <f ca="1">RANDBETWEEN(850,900)/1000*((EF$5)/(4*EF$10*EF$12)*1000)</f>
        <v>42.434520668211199</v>
      </c>
      <c r="EG16" s="122">
        <f ca="1">RANDBETWEEN(850,900)/1000*((EG$5)/(4*EG$10*EG$12)*1000)</f>
        <v>2.4168501689177075</v>
      </c>
      <c r="EH16" s="122">
        <f ca="1">RANDBETWEEN(700,750)/1000*((EH$5)/(4*EH$10*EH$12)*1000)</f>
        <v>35.224883063041091</v>
      </c>
      <c r="EI16" s="122">
        <f ca="1">RANDBETWEEN(700,750)/1000*((EI$5)/(4*EI$10*EI$12)*1000)</f>
        <v>2.0154165799962223</v>
      </c>
      <c r="EJ16" s="122">
        <f ca="1">RANDBETWEEN(1350,1400)/1000*((EJ$5)/(4*EJ$10*EJ$12)*1000)</f>
        <v>106.28127129403158</v>
      </c>
      <c r="EK16" s="122">
        <f ca="1">RANDBETWEEN(1350,1400)/1000*((EK$5)/(4*EK$10*EK$12)*1000)</f>
        <v>9.6625308726099881</v>
      </c>
      <c r="EL16" s="122">
        <f ca="1">RANDBETWEEN(400,450)/1000*((EL$5)/(4*EL$10*EL$12)*1000)</f>
        <v>36.611223021582738</v>
      </c>
      <c r="EM16" s="122">
        <f ca="1">RANDBETWEEN(400,450)/1000*((EM$5)/(4*EM$10*EM$12)*1000)</f>
        <v>2.2829623216680894</v>
      </c>
      <c r="EN16" s="122">
        <f ca="1">RANDBETWEEN(200,250)/1000*((EN$5)/(4*EN$10*EN$12)*1000)</f>
        <v>19.121800757798546</v>
      </c>
      <c r="EO16" s="122">
        <f ca="1">RANDBETWEEN(200,250)/1000*((EO$5)/(4*EO$10*EO$12)*1000)</f>
        <v>1.4398456285818801</v>
      </c>
    </row>
    <row r="17" spans="1:145" ht="29.25" customHeight="1" x14ac:dyDescent="0.25">
      <c r="A17" s="18" t="s">
        <v>50</v>
      </c>
      <c r="B17" s="8">
        <f t="shared" ref="B17:BM17" si="13">B5*B10*(1000/B7)/2</f>
        <v>36.672187499999993</v>
      </c>
      <c r="C17" s="8">
        <f t="shared" si="13"/>
        <v>3.3224374999999995</v>
      </c>
      <c r="D17" s="8">
        <f t="shared" si="13"/>
        <v>35.919937499999996</v>
      </c>
      <c r="E17" s="8">
        <f t="shared" si="13"/>
        <v>2.9776562499999999</v>
      </c>
      <c r="F17" s="8">
        <f t="shared" si="13"/>
        <v>35.825906249999996</v>
      </c>
      <c r="G17" s="8">
        <f t="shared" si="13"/>
        <v>3.8866249999999996</v>
      </c>
      <c r="H17" s="8">
        <f t="shared" si="13"/>
        <v>37.894593749999999</v>
      </c>
      <c r="I17" s="8">
        <f t="shared" si="13"/>
        <v>2.9463124999999994</v>
      </c>
      <c r="J17" s="8">
        <f t="shared" si="13"/>
        <v>38.113999999999997</v>
      </c>
      <c r="K17" s="8">
        <f t="shared" si="13"/>
        <v>2.3821249999999998</v>
      </c>
      <c r="L17" s="8">
        <f t="shared" si="13"/>
        <v>38.239374999999995</v>
      </c>
      <c r="M17" s="8">
        <f t="shared" si="13"/>
        <v>3.3851249999999999</v>
      </c>
      <c r="N17" s="8">
        <f t="shared" si="13"/>
        <v>41.969281249999995</v>
      </c>
      <c r="O17" s="8">
        <f t="shared" si="13"/>
        <v>2.8836249999999994</v>
      </c>
      <c r="P17" s="8">
        <f t="shared" si="13"/>
        <v>41.906593749999992</v>
      </c>
      <c r="Q17" s="8">
        <f t="shared" si="13"/>
        <v>3.1970624999999995</v>
      </c>
      <c r="R17" s="8">
        <f t="shared" si="13"/>
        <v>41.467781250000002</v>
      </c>
      <c r="S17" s="8">
        <f t="shared" si="13"/>
        <v>3.0089999999999995</v>
      </c>
      <c r="T17" s="8">
        <f t="shared" si="13"/>
        <v>9.2150624999999984</v>
      </c>
      <c r="U17" s="8">
        <f t="shared" si="13"/>
        <v>0.72090624999999986</v>
      </c>
      <c r="V17" s="8">
        <f t="shared" si="13"/>
        <v>9.0896874999999984</v>
      </c>
      <c r="W17" s="8">
        <f t="shared" si="13"/>
        <v>0.53284374999999995</v>
      </c>
      <c r="X17" s="8">
        <f t="shared" si="13"/>
        <v>9.1837187499999988</v>
      </c>
      <c r="Y17" s="8">
        <f t="shared" si="13"/>
        <v>0.43881249999999988</v>
      </c>
      <c r="Z17" s="8">
        <f t="shared" si="13"/>
        <v>24.937087499999997</v>
      </c>
      <c r="AA17" s="8">
        <f t="shared" si="13"/>
        <v>1.5044999999999997</v>
      </c>
      <c r="AB17" s="8">
        <f t="shared" si="13"/>
        <v>24.425557499999996</v>
      </c>
      <c r="AC17" s="8">
        <f t="shared" si="13"/>
        <v>1.7865937499999998</v>
      </c>
      <c r="AD17" s="8">
        <f t="shared" si="13"/>
        <v>24.361616250000001</v>
      </c>
      <c r="AE17" s="8">
        <f t="shared" si="13"/>
        <v>1.8806249999999998</v>
      </c>
      <c r="AF17" s="8">
        <f t="shared" ca="1" si="13"/>
        <v>39.789323437499995</v>
      </c>
      <c r="AG17" s="8">
        <f t="shared" ca="1" si="13"/>
        <v>3.1083596874999997</v>
      </c>
      <c r="AH17" s="8">
        <f t="shared" ca="1" si="13"/>
        <v>40.781979999999997</v>
      </c>
      <c r="AI17" s="8">
        <f t="shared" ca="1" si="13"/>
        <v>2.5321988749999997</v>
      </c>
      <c r="AJ17" s="8">
        <f t="shared" ca="1" si="13"/>
        <v>40.457258749999994</v>
      </c>
      <c r="AK17" s="8">
        <f t="shared" ca="1" si="13"/>
        <v>3.5645366249999997</v>
      </c>
      <c r="AL17" s="11">
        <f t="shared" si="13"/>
        <v>37.01696874999999</v>
      </c>
      <c r="AM17" s="12">
        <f t="shared" si="13"/>
        <v>3.7612499999999995</v>
      </c>
      <c r="AN17" s="11">
        <f t="shared" si="13"/>
        <v>35.700531249999997</v>
      </c>
      <c r="AO17" s="12">
        <f t="shared" si="13"/>
        <v>3.5731874999999995</v>
      </c>
      <c r="AP17" s="11">
        <f t="shared" si="13"/>
        <v>35.763218749999993</v>
      </c>
      <c r="AQ17" s="12">
        <f t="shared" si="13"/>
        <v>3.8866249999999996</v>
      </c>
      <c r="AR17" s="11">
        <f t="shared" si="13"/>
        <v>38.333406249999996</v>
      </c>
      <c r="AS17" s="12">
        <f t="shared" si="13"/>
        <v>3.0716874999999999</v>
      </c>
      <c r="AT17" s="11">
        <f t="shared" si="13"/>
        <v>38.208031249999998</v>
      </c>
      <c r="AU17" s="12">
        <f t="shared" si="13"/>
        <v>2.6642187499999999</v>
      </c>
      <c r="AV17" s="11">
        <f t="shared" si="13"/>
        <v>38.145343749999995</v>
      </c>
      <c r="AW17" s="12">
        <f t="shared" si="13"/>
        <v>3.1657187499999995</v>
      </c>
      <c r="AX17" s="11">
        <f t="shared" si="13"/>
        <v>41.373749999999994</v>
      </c>
      <c r="AY17" s="12">
        <f t="shared" si="13"/>
        <v>3.0716874999999999</v>
      </c>
      <c r="AZ17" s="11">
        <f t="shared" si="13"/>
        <v>41.499124999999999</v>
      </c>
      <c r="BA17" s="12">
        <f t="shared" si="13"/>
        <v>3.1657187499999995</v>
      </c>
      <c r="BB17" s="11">
        <f t="shared" si="13"/>
        <v>41.499124999999999</v>
      </c>
      <c r="BC17" s="12">
        <f t="shared" si="13"/>
        <v>3.2597499999999995</v>
      </c>
      <c r="BD17" s="11">
        <f t="shared" si="13"/>
        <v>9.2150624999999984</v>
      </c>
      <c r="BE17" s="12">
        <f t="shared" si="13"/>
        <v>0.53284374999999995</v>
      </c>
      <c r="BF17" s="11">
        <f t="shared" si="13"/>
        <v>9.1523749999999993</v>
      </c>
      <c r="BG17" s="12">
        <f t="shared" si="13"/>
        <v>0.37612499999999993</v>
      </c>
      <c r="BH17" s="11">
        <f t="shared" si="13"/>
        <v>9.9673125000000002</v>
      </c>
      <c r="BI17" s="12">
        <f t="shared" si="13"/>
        <v>1.3164375000000001</v>
      </c>
      <c r="BJ17" s="11">
        <f t="shared" si="13"/>
        <v>25.17153875</v>
      </c>
      <c r="BK17" s="12">
        <f t="shared" si="13"/>
        <v>1.7552499999999995</v>
      </c>
      <c r="BL17" s="11">
        <f t="shared" si="13"/>
        <v>24.276361250000001</v>
      </c>
      <c r="BM17" s="12">
        <f t="shared" si="13"/>
        <v>1.84928125</v>
      </c>
      <c r="BN17" s="11">
        <f t="shared" ref="BN17:DY17" si="14">BN5*BN10*(1000/BN7)/2</f>
        <v>24.318988749999999</v>
      </c>
      <c r="BO17" s="12">
        <f t="shared" si="14"/>
        <v>2.1313749999999998</v>
      </c>
      <c r="BP17" s="11">
        <f t="shared" ca="1" si="14"/>
        <v>40.71007743749999</v>
      </c>
      <c r="BQ17" s="12">
        <f t="shared" ca="1" si="14"/>
        <v>3.2682754999999997</v>
      </c>
      <c r="BR17" s="11">
        <f t="shared" ca="1" si="14"/>
        <v>40.653345250000001</v>
      </c>
      <c r="BS17" s="12">
        <f t="shared" ca="1" si="14"/>
        <v>2.8320645312499999</v>
      </c>
      <c r="BT17" s="11">
        <f t="shared" ca="1" si="14"/>
        <v>40.243337656249992</v>
      </c>
      <c r="BU17" s="12">
        <f t="shared" ca="1" si="14"/>
        <v>3.3366675624999997</v>
      </c>
      <c r="BV17" s="5">
        <f t="shared" si="14"/>
        <v>36.202031249999997</v>
      </c>
      <c r="BW17" s="6">
        <f t="shared" si="14"/>
        <v>3.6985625</v>
      </c>
      <c r="BX17" s="5">
        <f t="shared" si="14"/>
        <v>35.700531249999997</v>
      </c>
      <c r="BY17" s="6">
        <f t="shared" si="14"/>
        <v>3.2910937499999999</v>
      </c>
      <c r="BZ17" s="5">
        <f t="shared" si="14"/>
        <v>35.449781249999994</v>
      </c>
      <c r="CA17" s="6">
        <f t="shared" si="14"/>
        <v>3.8239374999999991</v>
      </c>
      <c r="CB17" s="5">
        <f t="shared" si="14"/>
        <v>38.458781249999994</v>
      </c>
      <c r="CC17" s="6">
        <f t="shared" si="14"/>
        <v>2.6642187499999999</v>
      </c>
      <c r="CD17" s="5">
        <f t="shared" si="14"/>
        <v>38.113999999999997</v>
      </c>
      <c r="CE17" s="6">
        <f t="shared" si="14"/>
        <v>2.4448124999999994</v>
      </c>
      <c r="CF17" s="5">
        <f t="shared" si="14"/>
        <v>38.082656249999999</v>
      </c>
      <c r="CG17" s="6">
        <f t="shared" si="14"/>
        <v>3.2910937499999999</v>
      </c>
      <c r="CH17" s="5">
        <f t="shared" si="14"/>
        <v>41.028968749999997</v>
      </c>
      <c r="CI17" s="6">
        <f t="shared" si="14"/>
        <v>3.0089999999999995</v>
      </c>
      <c r="CJ17" s="5">
        <f t="shared" si="14"/>
        <v>41.499124999999999</v>
      </c>
      <c r="CK17" s="6">
        <f t="shared" si="14"/>
        <v>3.4478124999999999</v>
      </c>
      <c r="CL17" s="5">
        <f t="shared" si="14"/>
        <v>40.59015625</v>
      </c>
      <c r="CM17" s="6">
        <f t="shared" si="14"/>
        <v>3.3224374999999995</v>
      </c>
      <c r="CN17" s="5">
        <f t="shared" si="14"/>
        <v>9.1210312499999997</v>
      </c>
      <c r="CO17" s="6">
        <f t="shared" si="14"/>
        <v>0.72090624999999986</v>
      </c>
      <c r="CP17" s="5">
        <f t="shared" si="14"/>
        <v>9.2464062499999997</v>
      </c>
      <c r="CQ17" s="6">
        <f t="shared" si="14"/>
        <v>0.62687499999999996</v>
      </c>
      <c r="CR17" s="5">
        <f t="shared" ca="1" si="14"/>
        <v>9.4888814999999997</v>
      </c>
      <c r="CS17" s="6">
        <f t="shared" ca="1" si="14"/>
        <v>1.2637799999999999</v>
      </c>
      <c r="CT17" s="5">
        <f t="shared" si="14"/>
        <v>24.617381250000001</v>
      </c>
      <c r="CU17" s="6">
        <f t="shared" si="14"/>
        <v>1.2537499999999999</v>
      </c>
      <c r="CV17" s="5">
        <f t="shared" si="14"/>
        <v>24.276361250000001</v>
      </c>
      <c r="CW17" s="6">
        <f t="shared" si="14"/>
        <v>1.4104687499999999</v>
      </c>
      <c r="CX17" s="5">
        <f t="shared" si="14"/>
        <v>24.105851250000001</v>
      </c>
      <c r="CY17" s="6">
        <f t="shared" si="14"/>
        <v>1.5671875</v>
      </c>
      <c r="CZ17" s="5">
        <f t="shared" ca="1" si="14"/>
        <v>40.958602031249995</v>
      </c>
      <c r="DA17" s="6">
        <f t="shared" ca="1" si="14"/>
        <v>2.8427214062499995</v>
      </c>
      <c r="DB17" s="5">
        <f t="shared" ca="1" si="14"/>
        <v>40.477067999999996</v>
      </c>
      <c r="DC17" s="6">
        <f t="shared" ca="1" si="14"/>
        <v>2.5670531249999993</v>
      </c>
      <c r="DD17" s="5">
        <f t="shared" ca="1" si="14"/>
        <v>40.710359531249992</v>
      </c>
      <c r="DE17" s="6">
        <f t="shared" ca="1" si="14"/>
        <v>3.4721039062499996</v>
      </c>
      <c r="DF17" s="9">
        <f t="shared" si="14"/>
        <v>36.734874999999995</v>
      </c>
      <c r="DG17" s="10">
        <f t="shared" si="14"/>
        <v>4.16871875</v>
      </c>
      <c r="DH17" s="9">
        <f t="shared" ca="1" si="14"/>
        <v>37.699760999999995</v>
      </c>
      <c r="DI17" s="10">
        <f t="shared" ca="1" si="14"/>
        <v>3.45893953125</v>
      </c>
      <c r="DJ17" s="9">
        <f t="shared" ca="1" si="14"/>
        <v>37.364069437499992</v>
      </c>
      <c r="DK17" s="10">
        <f t="shared" ca="1" si="14"/>
        <v>4.0457258749999987</v>
      </c>
      <c r="DL17" s="9">
        <f t="shared" si="14"/>
        <v>38.113999999999997</v>
      </c>
      <c r="DM17" s="10">
        <f t="shared" si="14"/>
        <v>3.5104999999999991</v>
      </c>
      <c r="DN17" s="9">
        <f t="shared" ca="1" si="14"/>
        <v>40.172155999999994</v>
      </c>
      <c r="DO17" s="10">
        <f t="shared" ca="1" si="14"/>
        <v>2.5768323749999995</v>
      </c>
      <c r="DP17" s="9">
        <f t="shared" ca="1" si="14"/>
        <v>40.329532968749994</v>
      </c>
      <c r="DQ17" s="10">
        <f t="shared" ca="1" si="14"/>
        <v>3.4622306249999997</v>
      </c>
      <c r="DR17" s="9">
        <f t="shared" ca="1" si="14"/>
        <v>43.367619968750006</v>
      </c>
      <c r="DS17" s="10">
        <f t="shared" ca="1" si="14"/>
        <v>3.1775039999999999</v>
      </c>
      <c r="DT17" s="9">
        <f t="shared" ca="1" si="14"/>
        <v>43.781576874999992</v>
      </c>
      <c r="DU17" s="10">
        <f t="shared" ca="1" si="14"/>
        <v>3.6477856249999996</v>
      </c>
      <c r="DV17" s="9">
        <f t="shared" ca="1" si="14"/>
        <v>42.863204999999994</v>
      </c>
      <c r="DW17" s="10">
        <f t="shared" ca="1" si="14"/>
        <v>3.4885593749999999</v>
      </c>
      <c r="DX17" s="9">
        <f t="shared" ca="1" si="14"/>
        <v>9.5770828124999987</v>
      </c>
      <c r="DY17" s="10">
        <f t="shared" ca="1" si="14"/>
        <v>0.76271881249999973</v>
      </c>
      <c r="DZ17" s="9">
        <f t="shared" ref="DZ17:EO17" ca="1" si="15">DZ5*DZ10*(1000/DZ7)/2</f>
        <v>9.7179729687499989</v>
      </c>
      <c r="EA17" s="10">
        <f t="shared" ca="1" si="15"/>
        <v>0.66072624999999996</v>
      </c>
      <c r="EB17" s="9">
        <f t="shared" ca="1" si="15"/>
        <v>10.0297477455</v>
      </c>
      <c r="EC17" s="10">
        <f t="shared" ca="1" si="15"/>
        <v>1.3307603399999999</v>
      </c>
      <c r="ED17" s="9">
        <f t="shared" si="15"/>
        <v>24.979715000000002</v>
      </c>
      <c r="EE17" s="10">
        <f t="shared" si="15"/>
        <v>1.0343437499999999</v>
      </c>
      <c r="EF17" s="9">
        <f t="shared" ca="1" si="15"/>
        <v>25.635837479999999</v>
      </c>
      <c r="EG17" s="10">
        <f t="shared" si="15"/>
        <v>1.4418124999999997</v>
      </c>
      <c r="EH17" s="9">
        <f t="shared" ca="1" si="15"/>
        <v>25.407567217499999</v>
      </c>
      <c r="EI17" s="10">
        <f t="shared" si="15"/>
        <v>1.4418124999999997</v>
      </c>
      <c r="EJ17" s="9">
        <f t="shared" ca="1" si="15"/>
        <v>40.591409999999996</v>
      </c>
      <c r="EK17" s="10">
        <f t="shared" ca="1" si="15"/>
        <v>3.6930459999999994</v>
      </c>
      <c r="EL17" s="9">
        <f t="shared" ca="1" si="15"/>
        <v>42.662829671999994</v>
      </c>
      <c r="EM17" s="10">
        <f t="shared" ca="1" si="15"/>
        <v>2.7520569764999996</v>
      </c>
      <c r="EN17" s="9">
        <f t="shared" ca="1" si="15"/>
        <v>42.668645880937497</v>
      </c>
      <c r="EO17" s="10">
        <f t="shared" ca="1" si="15"/>
        <v>3.7011245381249998</v>
      </c>
    </row>
    <row r="18" spans="1:145" ht="29.25" customHeight="1" x14ac:dyDescent="0.25">
      <c r="A18" s="18" t="s">
        <v>51</v>
      </c>
      <c r="B18" s="8">
        <f t="shared" ref="B18:BM18" si="16">B6*B11*(1000/B7)/2</f>
        <v>1.2631531250000001</v>
      </c>
      <c r="C18" s="8">
        <f t="shared" si="16"/>
        <v>4.2376749999999994</v>
      </c>
      <c r="D18" s="8">
        <f t="shared" si="16"/>
        <v>8.1086281249999974</v>
      </c>
      <c r="E18" s="8">
        <f t="shared" si="16"/>
        <v>6.7232343749999988</v>
      </c>
      <c r="F18" s="8">
        <f t="shared" si="16"/>
        <v>22.451528124999996</v>
      </c>
      <c r="G18" s="8">
        <f t="shared" si="16"/>
        <v>6.6417406249999997</v>
      </c>
      <c r="H18" s="8">
        <f t="shared" si="16"/>
        <v>3.6264718749999996</v>
      </c>
      <c r="I18" s="8">
        <f t="shared" si="16"/>
        <v>3.2597499999999995</v>
      </c>
      <c r="J18" s="8">
        <f t="shared" si="16"/>
        <v>4.0746874999999996</v>
      </c>
      <c r="K18" s="8">
        <f t="shared" si="16"/>
        <v>5.2155999999999993</v>
      </c>
      <c r="L18" s="8">
        <f t="shared" si="16"/>
        <v>15.443065624999996</v>
      </c>
      <c r="M18" s="8">
        <f t="shared" si="16"/>
        <v>5.3785874999999992</v>
      </c>
      <c r="N18" s="8">
        <f t="shared" si="16"/>
        <v>6.3565124999999991</v>
      </c>
      <c r="O18" s="8">
        <f t="shared" si="16"/>
        <v>2.9745218749999998</v>
      </c>
      <c r="P18" s="8">
        <f t="shared" si="16"/>
        <v>9.4940218749999996</v>
      </c>
      <c r="Q18" s="8">
        <f t="shared" si="16"/>
        <v>2.9337749999999998</v>
      </c>
      <c r="R18" s="8">
        <f t="shared" si="16"/>
        <v>8.6383374999999987</v>
      </c>
      <c r="S18" s="8">
        <f t="shared" si="16"/>
        <v>5.1341062499999985</v>
      </c>
      <c r="T18" s="8">
        <f t="shared" si="16"/>
        <v>0.32597499999999996</v>
      </c>
      <c r="U18" s="8">
        <f t="shared" si="16"/>
        <v>0.52970937499999993</v>
      </c>
      <c r="V18" s="8">
        <f t="shared" si="16"/>
        <v>1.1816593749999997</v>
      </c>
      <c r="W18" s="8">
        <f t="shared" si="16"/>
        <v>0.44821562499999995</v>
      </c>
      <c r="X18" s="8">
        <f t="shared" si="16"/>
        <v>3.5449781249999996</v>
      </c>
      <c r="Y18" s="8">
        <f t="shared" si="16"/>
        <v>1.38539375</v>
      </c>
      <c r="Z18" s="8">
        <f t="shared" si="16"/>
        <v>0.63157656250000005</v>
      </c>
      <c r="AA18" s="8">
        <f t="shared" si="16"/>
        <v>2.1188374999999997</v>
      </c>
      <c r="AB18" s="8">
        <f t="shared" si="16"/>
        <v>4.0543140624999987</v>
      </c>
      <c r="AC18" s="8">
        <f t="shared" si="16"/>
        <v>3.3616171874999994</v>
      </c>
      <c r="AD18" s="8">
        <f t="shared" si="16"/>
        <v>11.225764062499998</v>
      </c>
      <c r="AE18" s="8">
        <f t="shared" si="16"/>
        <v>3.3208703124999999</v>
      </c>
      <c r="AF18" s="8">
        <f t="shared" ca="1" si="16"/>
        <v>3.8186748843749996</v>
      </c>
      <c r="AG18" s="8">
        <f t="shared" ca="1" si="16"/>
        <v>3.4618544999999994</v>
      </c>
      <c r="AH18" s="8">
        <f t="shared" ca="1" si="16"/>
        <v>4.3191687499999993</v>
      </c>
      <c r="AI18" s="8">
        <f t="shared" ca="1" si="16"/>
        <v>5.5702607999999998</v>
      </c>
      <c r="AJ18" s="8">
        <f t="shared" ca="1" si="16"/>
        <v>16.415978759374998</v>
      </c>
      <c r="AK18" s="8">
        <f t="shared" ca="1" si="16"/>
        <v>5.7228170999999985</v>
      </c>
      <c r="AL18" s="11">
        <f t="shared" si="16"/>
        <v>1.100165625</v>
      </c>
      <c r="AM18" s="12">
        <f t="shared" si="16"/>
        <v>4.4821562499999992</v>
      </c>
      <c r="AN18" s="11">
        <f t="shared" si="16"/>
        <v>8.6790843749999986</v>
      </c>
      <c r="AO18" s="12">
        <f t="shared" si="16"/>
        <v>6.2342718749999992</v>
      </c>
      <c r="AP18" s="11">
        <f t="shared" si="16"/>
        <v>22.818249999999995</v>
      </c>
      <c r="AQ18" s="12">
        <f t="shared" si="16"/>
        <v>6.2750187500000001</v>
      </c>
      <c r="AR18" s="11">
        <f t="shared" si="16"/>
        <v>1.7928624999999998</v>
      </c>
      <c r="AS18" s="12">
        <f t="shared" si="16"/>
        <v>4.8081312499999997</v>
      </c>
      <c r="AT18" s="11">
        <f t="shared" si="16"/>
        <v>4.3599156249999993</v>
      </c>
      <c r="AU18" s="12">
        <f t="shared" si="16"/>
        <v>5.2155999999999993</v>
      </c>
      <c r="AV18" s="11">
        <f t="shared" si="16"/>
        <v>15.565306249999999</v>
      </c>
      <c r="AW18" s="12">
        <f t="shared" si="16"/>
        <v>5.2970937499999993</v>
      </c>
      <c r="AX18" s="11">
        <f t="shared" si="16"/>
        <v>6.3157656249999992</v>
      </c>
      <c r="AY18" s="12">
        <f t="shared" si="16"/>
        <v>2.7707875</v>
      </c>
      <c r="AZ18" s="11">
        <f t="shared" si="16"/>
        <v>7.9863874999999993</v>
      </c>
      <c r="BA18" s="12">
        <f t="shared" si="16"/>
        <v>2.6077999999999997</v>
      </c>
      <c r="BB18" s="11">
        <f t="shared" si="16"/>
        <v>10.797921874999998</v>
      </c>
      <c r="BC18" s="12">
        <f t="shared" si="16"/>
        <v>5.582321874999999</v>
      </c>
      <c r="BD18" s="11">
        <f t="shared" si="16"/>
        <v>0.61120312499999996</v>
      </c>
      <c r="BE18" s="12">
        <f t="shared" si="16"/>
        <v>0.40746874999999994</v>
      </c>
      <c r="BF18" s="11">
        <f t="shared" si="16"/>
        <v>1.7521156249999996</v>
      </c>
      <c r="BG18" s="12">
        <f t="shared" si="16"/>
        <v>0.32597499999999996</v>
      </c>
      <c r="BH18" s="11">
        <f t="shared" si="16"/>
        <v>4.8488781249999997</v>
      </c>
      <c r="BI18" s="12">
        <f t="shared" si="16"/>
        <v>2.0373437499999998</v>
      </c>
      <c r="BJ18" s="11">
        <f t="shared" si="16"/>
        <v>0.55008281250000002</v>
      </c>
      <c r="BK18" s="12">
        <f t="shared" si="16"/>
        <v>2.2410781249999996</v>
      </c>
      <c r="BL18" s="11">
        <f t="shared" si="16"/>
        <v>4.3395421874999993</v>
      </c>
      <c r="BM18" s="12">
        <f t="shared" si="16"/>
        <v>3.1171359374999996</v>
      </c>
      <c r="BN18" s="11">
        <f t="shared" ref="BN18:DY18" si="17">BN6*BN11*(1000/BN7)/2</f>
        <v>11.409124999999998</v>
      </c>
      <c r="BO18" s="12">
        <f t="shared" si="17"/>
        <v>3.137509375</v>
      </c>
      <c r="BP18" s="11">
        <f t="shared" ca="1" si="17"/>
        <v>1.9165700125000003</v>
      </c>
      <c r="BQ18" s="12">
        <f t="shared" ca="1" si="17"/>
        <v>5.1110435187499998</v>
      </c>
      <c r="BR18" s="11">
        <f t="shared" ca="1" si="17"/>
        <v>4.6127907312499987</v>
      </c>
      <c r="BS18" s="12">
        <f t="shared" ca="1" si="17"/>
        <v>5.5650451999999992</v>
      </c>
      <c r="BT18" s="11">
        <f t="shared" ca="1" si="17"/>
        <v>16.374702174999996</v>
      </c>
      <c r="BU18" s="12">
        <f t="shared" ca="1" si="17"/>
        <v>5.6308106562499995</v>
      </c>
      <c r="BV18" s="5">
        <f t="shared" si="17"/>
        <v>47.755337499999996</v>
      </c>
      <c r="BW18" s="6">
        <f t="shared" si="17"/>
        <v>5.419334375</v>
      </c>
      <c r="BX18" s="5">
        <f t="shared" si="17"/>
        <v>9.9014906249999992</v>
      </c>
      <c r="BY18" s="6">
        <f t="shared" si="17"/>
        <v>6.1120312499999994</v>
      </c>
      <c r="BZ18" s="5">
        <f t="shared" si="17"/>
        <v>21.025387500000001</v>
      </c>
      <c r="CA18" s="6">
        <f t="shared" si="17"/>
        <v>9.1680468749999982</v>
      </c>
      <c r="CB18" s="5">
        <f t="shared" si="17"/>
        <v>2.8930281249999994</v>
      </c>
      <c r="CC18" s="6">
        <f t="shared" si="17"/>
        <v>4.0746874999999996</v>
      </c>
      <c r="CD18" s="5">
        <f t="shared" si="17"/>
        <v>4.5636499999999991</v>
      </c>
      <c r="CE18" s="6">
        <f t="shared" si="17"/>
        <v>5.1748531249999994</v>
      </c>
      <c r="CF18" s="5">
        <f t="shared" si="17"/>
        <v>15.891281249999999</v>
      </c>
      <c r="CG18" s="6">
        <f t="shared" si="17"/>
        <v>5.1341062499999985</v>
      </c>
      <c r="CH18" s="5">
        <f t="shared" si="17"/>
        <v>3.7487124999999994</v>
      </c>
      <c r="CI18" s="6">
        <f t="shared" si="17"/>
        <v>4.8081312499999997</v>
      </c>
      <c r="CJ18" s="5">
        <f t="shared" si="17"/>
        <v>8.3938562499999989</v>
      </c>
      <c r="CK18" s="6">
        <f t="shared" si="17"/>
        <v>2.6485468749999996</v>
      </c>
      <c r="CL18" s="5">
        <f t="shared" si="17"/>
        <v>9.4532749999999979</v>
      </c>
      <c r="CM18" s="6">
        <f t="shared" si="17"/>
        <v>6.1527781249999993</v>
      </c>
      <c r="CN18" s="5">
        <f t="shared" si="17"/>
        <v>0.52970937499999993</v>
      </c>
      <c r="CO18" s="6">
        <f t="shared" si="17"/>
        <v>0.52970937499999993</v>
      </c>
      <c r="CP18" s="5">
        <f t="shared" si="17"/>
        <v>1.38539375</v>
      </c>
      <c r="CQ18" s="6">
        <f t="shared" si="17"/>
        <v>0.36672187499999997</v>
      </c>
      <c r="CR18" s="5">
        <f t="shared" ca="1" si="17"/>
        <v>4.6209808531249994</v>
      </c>
      <c r="CS18" s="6">
        <f t="shared" ca="1" si="17"/>
        <v>1.9456632812499999</v>
      </c>
      <c r="CT18" s="5">
        <f t="shared" si="17"/>
        <v>23.877668749999998</v>
      </c>
      <c r="CU18" s="6">
        <f t="shared" si="17"/>
        <v>2.7096671875</v>
      </c>
      <c r="CV18" s="5">
        <f t="shared" si="17"/>
        <v>4.9507453124999996</v>
      </c>
      <c r="CW18" s="6">
        <f t="shared" si="17"/>
        <v>3.0560156249999997</v>
      </c>
      <c r="CX18" s="5">
        <f t="shared" si="17"/>
        <v>10.51269375</v>
      </c>
      <c r="CY18" s="6">
        <f t="shared" si="17"/>
        <v>4.5840234374999991</v>
      </c>
      <c r="CZ18" s="5">
        <f t="shared" ca="1" si="17"/>
        <v>3.0405725593749993</v>
      </c>
      <c r="DA18" s="6">
        <f t="shared" ca="1" si="17"/>
        <v>4.3558409374999991</v>
      </c>
      <c r="DB18" s="5">
        <f t="shared" ca="1" si="17"/>
        <v>4.8420326499999984</v>
      </c>
      <c r="DC18" s="6">
        <f t="shared" ca="1" si="17"/>
        <v>5.4956940187499992</v>
      </c>
      <c r="DD18" s="5">
        <f t="shared" ca="1" si="17"/>
        <v>16.828866843749999</v>
      </c>
      <c r="DE18" s="6">
        <f t="shared" ca="1" si="17"/>
        <v>5.4113479874999992</v>
      </c>
      <c r="DF18" s="9">
        <f t="shared" si="17"/>
        <v>1.38539375</v>
      </c>
      <c r="DG18" s="10">
        <f t="shared" si="17"/>
        <v>5.0118656249999995</v>
      </c>
      <c r="DH18" s="9">
        <f t="shared" ca="1" si="17"/>
        <v>10.43617111875</v>
      </c>
      <c r="DI18" s="10">
        <f t="shared" ca="1" si="17"/>
        <v>6.4787531249999999</v>
      </c>
      <c r="DJ18" s="9">
        <f t="shared" ca="1" si="17"/>
        <v>22.139733037499994</v>
      </c>
      <c r="DK18" s="10">
        <f t="shared" ca="1" si="17"/>
        <v>9.6631214062499993</v>
      </c>
      <c r="DL18" s="9">
        <f t="shared" si="17"/>
        <v>1.6706218749999997</v>
      </c>
      <c r="DM18" s="10">
        <f t="shared" si="17"/>
        <v>4.7266374999999989</v>
      </c>
      <c r="DN18" s="9">
        <f t="shared" ca="1" si="17"/>
        <v>4.8374689999999996</v>
      </c>
      <c r="DO18" s="10">
        <f t="shared" ca="1" si="17"/>
        <v>5.4646448999999988</v>
      </c>
      <c r="DP18" s="9">
        <f t="shared" ca="1" si="17"/>
        <v>16.6858453125</v>
      </c>
      <c r="DQ18" s="10">
        <f t="shared" ca="1" si="17"/>
        <v>5.3959456687499996</v>
      </c>
      <c r="DR18" s="9">
        <f t="shared" ca="1" si="17"/>
        <v>3.9661378249999988</v>
      </c>
      <c r="DS18" s="10">
        <f t="shared" ca="1" si="17"/>
        <v>5.0629622062499999</v>
      </c>
      <c r="DT18" s="9">
        <f t="shared" ca="1" si="17"/>
        <v>8.8471244875000004</v>
      </c>
      <c r="DU18" s="10">
        <f t="shared" ca="1" si="17"/>
        <v>2.8074596874999997</v>
      </c>
      <c r="DV18" s="9">
        <f t="shared" ca="1" si="17"/>
        <v>9.9259387499999985</v>
      </c>
      <c r="DW18" s="10">
        <f t="shared" ca="1" si="17"/>
        <v>6.4727225874999998</v>
      </c>
      <c r="DX18" s="9">
        <f t="shared" ca="1" si="17"/>
        <v>0.55831368124999992</v>
      </c>
      <c r="DY18" s="10">
        <f t="shared" ca="1" si="17"/>
        <v>0.55884339062499988</v>
      </c>
      <c r="DZ18" s="9">
        <f t="shared" ref="DZ18:EO18" ca="1" si="18">DZ6*DZ11*(1000/DZ7)/2</f>
        <v>1.4546634374999998</v>
      </c>
      <c r="EA18" s="10">
        <f t="shared" ca="1" si="18"/>
        <v>0.38579141249999999</v>
      </c>
      <c r="EB18" s="9">
        <f t="shared" ca="1" si="18"/>
        <v>4.8982397043124992</v>
      </c>
      <c r="EC18" s="10">
        <f t="shared" ca="1" si="18"/>
        <v>2.054620425</v>
      </c>
      <c r="ED18" s="9">
        <f t="shared" si="18"/>
        <v>0.69269687499999999</v>
      </c>
      <c r="EE18" s="10">
        <f t="shared" si="18"/>
        <v>2.5059328124999998</v>
      </c>
      <c r="EF18" s="9">
        <f t="shared" ca="1" si="18"/>
        <v>5.218085559375</v>
      </c>
      <c r="EG18" s="10">
        <f t="shared" ca="1" si="18"/>
        <v>3.2393765624999999</v>
      </c>
      <c r="EH18" s="9">
        <f t="shared" ca="1" si="18"/>
        <v>11.069866518749997</v>
      </c>
      <c r="EI18" s="10">
        <f t="shared" ca="1" si="18"/>
        <v>4.8315607031249996</v>
      </c>
      <c r="EJ18" s="9">
        <f t="shared" ca="1" si="18"/>
        <v>1.7792122968749999</v>
      </c>
      <c r="EK18" s="10">
        <f t="shared" ca="1" si="18"/>
        <v>5.0527754874999982</v>
      </c>
      <c r="EL18" s="9">
        <f t="shared" ca="1" si="18"/>
        <v>5.0938548570000002</v>
      </c>
      <c r="EM18" s="10">
        <f t="shared" ca="1" si="18"/>
        <v>5.8034528837999986</v>
      </c>
      <c r="EN18" s="9">
        <f t="shared" ca="1" si="18"/>
        <v>17.5368234234375</v>
      </c>
      <c r="EO18" s="10">
        <f t="shared" ca="1" si="18"/>
        <v>5.6765348435249985</v>
      </c>
    </row>
    <row r="19" spans="1:145" ht="33.75" customHeight="1" x14ac:dyDescent="0.25">
      <c r="A19" s="14" t="s">
        <v>109</v>
      </c>
      <c r="B19" s="8">
        <f t="shared" ref="B19:BM19" si="19">B17*1000000/(B13*100)</f>
        <v>118.603452457956</v>
      </c>
      <c r="C19" s="8">
        <f t="shared" si="19"/>
        <v>10.745270051746441</v>
      </c>
      <c r="D19" s="8">
        <f t="shared" si="19"/>
        <v>116.17056112548509</v>
      </c>
      <c r="E19" s="8">
        <f t="shared" si="19"/>
        <v>9.6301948576972833</v>
      </c>
      <c r="F19" s="8">
        <f t="shared" si="19"/>
        <v>115.86644970892624</v>
      </c>
      <c r="G19" s="8">
        <f t="shared" si="19"/>
        <v>12.569938551099611</v>
      </c>
      <c r="H19" s="8">
        <f t="shared" si="19"/>
        <v>122.55690087322121</v>
      </c>
      <c r="I19" s="8">
        <f t="shared" si="19"/>
        <v>9.528824385510994</v>
      </c>
      <c r="J19" s="8">
        <f t="shared" si="19"/>
        <v>123.26649417852522</v>
      </c>
      <c r="K19" s="8">
        <f t="shared" si="19"/>
        <v>7.7041558861578263</v>
      </c>
      <c r="L19" s="8">
        <f t="shared" si="19"/>
        <v>123.67197606727035</v>
      </c>
      <c r="M19" s="8">
        <f t="shared" si="19"/>
        <v>10.948010996119017</v>
      </c>
      <c r="N19" s="8">
        <f t="shared" si="19"/>
        <v>135.73506225743853</v>
      </c>
      <c r="O19" s="8">
        <f t="shared" si="19"/>
        <v>9.3260834411384206</v>
      </c>
      <c r="P19" s="8">
        <f t="shared" si="19"/>
        <v>135.53232131306595</v>
      </c>
      <c r="Q19" s="8">
        <f t="shared" si="19"/>
        <v>10.339788163001293</v>
      </c>
      <c r="R19" s="8">
        <f t="shared" si="19"/>
        <v>134.11313470245796</v>
      </c>
      <c r="S19" s="8">
        <f t="shared" si="19"/>
        <v>9.7315653298835691</v>
      </c>
      <c r="T19" s="8">
        <f t="shared" si="19"/>
        <v>29.802918822768429</v>
      </c>
      <c r="U19" s="8">
        <f t="shared" si="19"/>
        <v>2.3315208602846051</v>
      </c>
      <c r="V19" s="8">
        <f t="shared" si="19"/>
        <v>29.397436934023279</v>
      </c>
      <c r="W19" s="8">
        <f t="shared" si="19"/>
        <v>1.7232980271668823</v>
      </c>
      <c r="X19" s="8">
        <f t="shared" si="19"/>
        <v>29.70154835058214</v>
      </c>
      <c r="Y19" s="8">
        <f t="shared" si="19"/>
        <v>1.4191866106080204</v>
      </c>
      <c r="Z19" s="8">
        <f t="shared" si="19"/>
        <v>80.650347671410074</v>
      </c>
      <c r="AA19" s="8">
        <f t="shared" si="19"/>
        <v>4.8657826649417846</v>
      </c>
      <c r="AB19" s="8">
        <f t="shared" si="19"/>
        <v>78.99598156532987</v>
      </c>
      <c r="AC19" s="8">
        <f t="shared" si="19"/>
        <v>5.7781169146183693</v>
      </c>
      <c r="AD19" s="8">
        <f t="shared" si="19"/>
        <v>78.789185802069852</v>
      </c>
      <c r="AE19" s="8">
        <f t="shared" si="19"/>
        <v>6.0822283311772312</v>
      </c>
      <c r="AF19" s="8">
        <f t="shared" ca="1" si="19"/>
        <v>128.68474591688226</v>
      </c>
      <c r="AG19" s="8">
        <f t="shared" ca="1" si="19"/>
        <v>10.0529097267141</v>
      </c>
      <c r="AH19" s="8">
        <f t="shared" ca="1" si="19"/>
        <v>131.89514877102198</v>
      </c>
      <c r="AI19" s="8">
        <f t="shared" ca="1" si="19"/>
        <v>8.1895177069857681</v>
      </c>
      <c r="AJ19" s="8">
        <f t="shared" ca="1" si="19"/>
        <v>130.84495067917203</v>
      </c>
      <c r="AK19" s="8">
        <f t="shared" ca="1" si="19"/>
        <v>11.528255578913324</v>
      </c>
      <c r="AL19" s="11">
        <f t="shared" si="19"/>
        <v>119.71852765200515</v>
      </c>
      <c r="AM19" s="12">
        <f t="shared" si="19"/>
        <v>12.164456662354462</v>
      </c>
      <c r="AN19" s="11">
        <f t="shared" si="19"/>
        <v>115.46096782018111</v>
      </c>
      <c r="AO19" s="12">
        <f t="shared" si="19"/>
        <v>11.556233829236739</v>
      </c>
      <c r="AP19" s="11">
        <f t="shared" si="19"/>
        <v>115.66370876455366</v>
      </c>
      <c r="AQ19" s="12">
        <f t="shared" si="19"/>
        <v>12.569938551099611</v>
      </c>
      <c r="AR19" s="11">
        <f t="shared" si="19"/>
        <v>123.97608748382922</v>
      </c>
      <c r="AS19" s="12">
        <f t="shared" si="19"/>
        <v>9.9343062742561443</v>
      </c>
      <c r="AT19" s="11">
        <f t="shared" si="19"/>
        <v>123.57060559508409</v>
      </c>
      <c r="AU19" s="12">
        <f t="shared" si="19"/>
        <v>8.616490135834411</v>
      </c>
      <c r="AV19" s="11">
        <f t="shared" si="19"/>
        <v>123.3678646507115</v>
      </c>
      <c r="AW19" s="12">
        <f t="shared" si="19"/>
        <v>10.238417690815005</v>
      </c>
      <c r="AX19" s="11">
        <f t="shared" si="19"/>
        <v>133.80902328589906</v>
      </c>
      <c r="AY19" s="12">
        <f t="shared" si="19"/>
        <v>9.9343062742561443</v>
      </c>
      <c r="AZ19" s="11">
        <f t="shared" si="19"/>
        <v>134.21450517464424</v>
      </c>
      <c r="BA19" s="12">
        <f t="shared" si="19"/>
        <v>10.238417690815005</v>
      </c>
      <c r="BB19" s="11">
        <f t="shared" si="19"/>
        <v>134.21450517464424</v>
      </c>
      <c r="BC19" s="12">
        <f t="shared" si="19"/>
        <v>10.542529107373866</v>
      </c>
      <c r="BD19" s="11">
        <f t="shared" si="19"/>
        <v>29.802918822768429</v>
      </c>
      <c r="BE19" s="12">
        <f t="shared" si="19"/>
        <v>1.7232980271668823</v>
      </c>
      <c r="BF19" s="11">
        <f t="shared" si="19"/>
        <v>29.600177878395861</v>
      </c>
      <c r="BG19" s="12">
        <f t="shared" si="19"/>
        <v>1.2164456662354461</v>
      </c>
      <c r="BH19" s="11">
        <f t="shared" si="19"/>
        <v>32.235810155239328</v>
      </c>
      <c r="BI19" s="12">
        <f t="shared" si="19"/>
        <v>4.2575598318240626</v>
      </c>
      <c r="BJ19" s="11">
        <f t="shared" si="19"/>
        <v>81.408598803363518</v>
      </c>
      <c r="BK19" s="12">
        <f t="shared" si="19"/>
        <v>5.6767464424320817</v>
      </c>
      <c r="BL19" s="11">
        <f t="shared" si="19"/>
        <v>78.513458117723161</v>
      </c>
      <c r="BM19" s="12">
        <f t="shared" si="19"/>
        <v>5.9808578589909445</v>
      </c>
      <c r="BN19" s="11">
        <f t="shared" ref="BN19:DY19" si="20">BN17*1000000/(BN13*100)</f>
        <v>78.651321959896507</v>
      </c>
      <c r="BO19" s="12">
        <f t="shared" si="20"/>
        <v>6.8931921086675292</v>
      </c>
      <c r="BP19" s="11">
        <f t="shared" ca="1" si="20"/>
        <v>131.66260490782662</v>
      </c>
      <c r="BQ19" s="12">
        <f t="shared" ca="1" si="20"/>
        <v>10.570101875808536</v>
      </c>
      <c r="BR19" s="11">
        <f t="shared" ca="1" si="20"/>
        <v>131.47912435316948</v>
      </c>
      <c r="BS19" s="12">
        <f t="shared" ca="1" si="20"/>
        <v>9.1593290143919788</v>
      </c>
      <c r="BT19" s="11">
        <f t="shared" ca="1" si="20"/>
        <v>130.15309720650063</v>
      </c>
      <c r="BU19" s="12">
        <f t="shared" ca="1" si="20"/>
        <v>10.791292246119015</v>
      </c>
      <c r="BV19" s="5">
        <f t="shared" si="20"/>
        <v>117.08289537516171</v>
      </c>
      <c r="BW19" s="6">
        <f t="shared" si="20"/>
        <v>11.961715717981889</v>
      </c>
      <c r="BX19" s="5">
        <f t="shared" si="20"/>
        <v>115.46096782018111</v>
      </c>
      <c r="BY19" s="6">
        <f t="shared" si="20"/>
        <v>10.643899579560156</v>
      </c>
      <c r="BZ19" s="5">
        <f t="shared" si="20"/>
        <v>114.6500040426908</v>
      </c>
      <c r="CA19" s="6">
        <f t="shared" si="20"/>
        <v>12.367197606727034</v>
      </c>
      <c r="CB19" s="5">
        <f t="shared" si="20"/>
        <v>124.38156937257436</v>
      </c>
      <c r="CC19" s="6">
        <f t="shared" si="20"/>
        <v>8.616490135834411</v>
      </c>
      <c r="CD19" s="5">
        <f t="shared" si="20"/>
        <v>123.26649417852522</v>
      </c>
      <c r="CE19" s="6">
        <f t="shared" si="20"/>
        <v>7.9068968305303997</v>
      </c>
      <c r="CF19" s="5">
        <f t="shared" si="20"/>
        <v>123.16512370633895</v>
      </c>
      <c r="CG19" s="6">
        <f t="shared" si="20"/>
        <v>10.643899579560156</v>
      </c>
      <c r="CH19" s="5">
        <f t="shared" si="20"/>
        <v>132.69394809184993</v>
      </c>
      <c r="CI19" s="6">
        <f t="shared" si="20"/>
        <v>9.7315653298835691</v>
      </c>
      <c r="CJ19" s="5">
        <f t="shared" si="20"/>
        <v>134.21450517464424</v>
      </c>
      <c r="CK19" s="6">
        <f t="shared" si="20"/>
        <v>11.150751940491592</v>
      </c>
      <c r="CL19" s="5">
        <f t="shared" si="20"/>
        <v>131.27476148124191</v>
      </c>
      <c r="CM19" s="6">
        <f t="shared" si="20"/>
        <v>10.745270051746441</v>
      </c>
      <c r="CN19" s="5">
        <f t="shared" si="20"/>
        <v>29.498807406209572</v>
      </c>
      <c r="CO19" s="6">
        <f t="shared" si="20"/>
        <v>2.3315208602846051</v>
      </c>
      <c r="CP19" s="5">
        <f t="shared" si="20"/>
        <v>29.904289294954722</v>
      </c>
      <c r="CQ19" s="6">
        <f t="shared" si="20"/>
        <v>2.0274094437257437</v>
      </c>
      <c r="CR19" s="5">
        <f t="shared" ca="1" si="20"/>
        <v>30.688491267787839</v>
      </c>
      <c r="CS19" s="6">
        <f t="shared" ca="1" si="20"/>
        <v>4.0872574385510996</v>
      </c>
      <c r="CT19" s="5">
        <f t="shared" si="20"/>
        <v>79.616368855109968</v>
      </c>
      <c r="CU19" s="6">
        <f t="shared" si="20"/>
        <v>4.0548188874514874</v>
      </c>
      <c r="CV19" s="5">
        <f t="shared" si="20"/>
        <v>78.513458117723161</v>
      </c>
      <c r="CW19" s="6">
        <f t="shared" si="20"/>
        <v>4.5616712483829236</v>
      </c>
      <c r="CX19" s="5">
        <f t="shared" si="20"/>
        <v>77.96200274902975</v>
      </c>
      <c r="CY19" s="6">
        <f t="shared" si="20"/>
        <v>5.0685236093143597</v>
      </c>
      <c r="CZ19" s="5">
        <f t="shared" ca="1" si="20"/>
        <v>132.4663713817917</v>
      </c>
      <c r="DA19" s="6">
        <f t="shared" ca="1" si="20"/>
        <v>9.1937949749353152</v>
      </c>
      <c r="DB19" s="5">
        <f t="shared" ca="1" si="20"/>
        <v>130.90901681759377</v>
      </c>
      <c r="DC19" s="6">
        <f t="shared" ca="1" si="20"/>
        <v>8.3022416720569172</v>
      </c>
      <c r="DD19" s="5">
        <f t="shared" ca="1" si="20"/>
        <v>131.6635172420763</v>
      </c>
      <c r="DE19" s="6">
        <f t="shared" ca="1" si="20"/>
        <v>11.229314056435962</v>
      </c>
      <c r="DF19" s="9">
        <f t="shared" si="20"/>
        <v>118.80619340232856</v>
      </c>
      <c r="DG19" s="10">
        <f t="shared" si="20"/>
        <v>13.482272800776197</v>
      </c>
      <c r="DH19" s="9">
        <f t="shared" ca="1" si="20"/>
        <v>121.92678201811123</v>
      </c>
      <c r="DI19" s="10">
        <f t="shared" ca="1" si="20"/>
        <v>11.186738458117723</v>
      </c>
      <c r="DJ19" s="9">
        <f t="shared" ca="1" si="20"/>
        <v>120.84110426099609</v>
      </c>
      <c r="DK19" s="10">
        <f t="shared" ca="1" si="20"/>
        <v>13.084495067917201</v>
      </c>
      <c r="DL19" s="9">
        <f t="shared" si="20"/>
        <v>123.26649417852522</v>
      </c>
      <c r="DM19" s="10">
        <f t="shared" si="20"/>
        <v>11.353492884864163</v>
      </c>
      <c r="DN19" s="9">
        <f t="shared" ca="1" si="20"/>
        <v>129.92288486416555</v>
      </c>
      <c r="DO19" s="10">
        <f t="shared" ca="1" si="20"/>
        <v>8.3338692593790409</v>
      </c>
      <c r="DP19" s="9">
        <f t="shared" ca="1" si="20"/>
        <v>130.43186600501292</v>
      </c>
      <c r="DQ19" s="10">
        <f t="shared" ca="1" si="20"/>
        <v>11.197382357697283</v>
      </c>
      <c r="DR19" s="9">
        <f t="shared" ca="1" si="20"/>
        <v>140.25750313308541</v>
      </c>
      <c r="DS19" s="10">
        <f t="shared" ca="1" si="20"/>
        <v>10.276532988357051</v>
      </c>
      <c r="DT19" s="9">
        <f t="shared" ca="1" si="20"/>
        <v>141.59630295924964</v>
      </c>
      <c r="DU19" s="10">
        <f t="shared" ca="1" si="20"/>
        <v>11.797495553040102</v>
      </c>
      <c r="DV19" s="9">
        <f t="shared" ca="1" si="20"/>
        <v>138.62614812419145</v>
      </c>
      <c r="DW19" s="10">
        <f t="shared" ca="1" si="20"/>
        <v>11.282533554333764</v>
      </c>
      <c r="DX19" s="9">
        <f t="shared" ca="1" si="20"/>
        <v>30.973747776520046</v>
      </c>
      <c r="DY19" s="10">
        <f t="shared" ca="1" si="20"/>
        <v>2.4667490701811117</v>
      </c>
      <c r="DZ19" s="9">
        <f t="shared" ref="DZ19:EO19" ca="1" si="21">DZ17*1000000/(DZ13*100)</f>
        <v>31.429408048997406</v>
      </c>
      <c r="EA19" s="10">
        <f t="shared" ca="1" si="21"/>
        <v>2.1368895536869341</v>
      </c>
      <c r="EB19" s="9">
        <f t="shared" ca="1" si="21"/>
        <v>32.437735270051746</v>
      </c>
      <c r="EC19" s="10">
        <f t="shared" ca="1" si="21"/>
        <v>4.3038820827943072</v>
      </c>
      <c r="ED19" s="9">
        <f t="shared" si="21"/>
        <v>80.788211513583448</v>
      </c>
      <c r="EE19" s="10">
        <f t="shared" si="21"/>
        <v>3.345225582147477</v>
      </c>
      <c r="EF19" s="9">
        <f t="shared" ca="1" si="21"/>
        <v>82.910211772315648</v>
      </c>
      <c r="EG19" s="10">
        <f t="shared" si="21"/>
        <v>4.6630417205692103</v>
      </c>
      <c r="EH19" s="9">
        <f t="shared" ca="1" si="21"/>
        <v>82.171950897477359</v>
      </c>
      <c r="EI19" s="10">
        <f t="shared" si="21"/>
        <v>4.6630417205692103</v>
      </c>
      <c r="EJ19" s="9">
        <f t="shared" ca="1" si="21"/>
        <v>131.27881630012934</v>
      </c>
      <c r="EK19" s="10">
        <f t="shared" ca="1" si="21"/>
        <v>11.9438745148771</v>
      </c>
      <c r="EL19" s="9">
        <f t="shared" ca="1" si="21"/>
        <v>137.97810372574384</v>
      </c>
      <c r="EM19" s="10">
        <f t="shared" ca="1" si="21"/>
        <v>8.9005723690168157</v>
      </c>
      <c r="EN19" s="9">
        <f t="shared" ca="1" si="21"/>
        <v>137.99691423330367</v>
      </c>
      <c r="EO19" s="10">
        <f t="shared" ca="1" si="21"/>
        <v>11.970001740378395</v>
      </c>
    </row>
    <row r="20" spans="1:145" x14ac:dyDescent="0.25">
      <c r="A20" s="14" t="s">
        <v>25</v>
      </c>
      <c r="B20" s="8">
        <f>0.5*B19</f>
        <v>59.301726228977998</v>
      </c>
      <c r="C20" s="8">
        <f>0.5*C19</f>
        <v>5.3726350258732207</v>
      </c>
      <c r="D20" s="8">
        <f t="shared" ref="D20:BO20" si="22">0.5*D19</f>
        <v>58.085280562742547</v>
      </c>
      <c r="E20" s="8">
        <f t="shared" si="22"/>
        <v>4.8150974288486417</v>
      </c>
      <c r="F20" s="8">
        <f t="shared" si="22"/>
        <v>57.93322485446312</v>
      </c>
      <c r="G20" s="8">
        <f t="shared" si="22"/>
        <v>6.2849692755498054</v>
      </c>
      <c r="H20" s="8">
        <f t="shared" si="22"/>
        <v>61.278450436610605</v>
      </c>
      <c r="I20" s="8">
        <f t="shared" si="22"/>
        <v>4.764412192755497</v>
      </c>
      <c r="J20" s="8">
        <f t="shared" si="22"/>
        <v>61.633247089262611</v>
      </c>
      <c r="K20" s="8">
        <f t="shared" si="22"/>
        <v>3.8520779430789132</v>
      </c>
      <c r="L20" s="8">
        <f t="shared" si="22"/>
        <v>61.835988033635175</v>
      </c>
      <c r="M20" s="8">
        <f t="shared" si="22"/>
        <v>5.4740054980595083</v>
      </c>
      <c r="N20" s="8">
        <f t="shared" si="22"/>
        <v>67.867531128719264</v>
      </c>
      <c r="O20" s="8">
        <f t="shared" si="22"/>
        <v>4.6630417205692103</v>
      </c>
      <c r="P20" s="8">
        <f t="shared" si="22"/>
        <v>67.766160656532975</v>
      </c>
      <c r="Q20" s="8">
        <f t="shared" si="22"/>
        <v>5.1698940815006464</v>
      </c>
      <c r="R20" s="8">
        <f t="shared" si="22"/>
        <v>67.056567351228978</v>
      </c>
      <c r="S20" s="8">
        <f t="shared" si="22"/>
        <v>4.8657826649417846</v>
      </c>
      <c r="T20" s="8">
        <f t="shared" si="22"/>
        <v>14.901459411384215</v>
      </c>
      <c r="U20" s="8">
        <f t="shared" si="22"/>
        <v>1.1657604301423026</v>
      </c>
      <c r="V20" s="8">
        <f t="shared" si="22"/>
        <v>14.69871846701164</v>
      </c>
      <c r="W20" s="8">
        <f t="shared" si="22"/>
        <v>0.86164901358344115</v>
      </c>
      <c r="X20" s="8">
        <f t="shared" si="22"/>
        <v>14.85077417529107</v>
      </c>
      <c r="Y20" s="8">
        <f t="shared" si="22"/>
        <v>0.70959330530401021</v>
      </c>
      <c r="Z20" s="8">
        <f t="shared" si="22"/>
        <v>40.325173835705037</v>
      </c>
      <c r="AA20" s="8">
        <f t="shared" si="22"/>
        <v>2.4328913324708923</v>
      </c>
      <c r="AB20" s="8">
        <f t="shared" si="22"/>
        <v>39.497990782664935</v>
      </c>
      <c r="AC20" s="8">
        <f t="shared" si="22"/>
        <v>2.8890584573091846</v>
      </c>
      <c r="AD20" s="8">
        <f t="shared" si="22"/>
        <v>39.394592901034926</v>
      </c>
      <c r="AE20" s="8">
        <f t="shared" si="22"/>
        <v>3.0411141655886156</v>
      </c>
      <c r="AF20" s="8">
        <f t="shared" ca="1" si="22"/>
        <v>64.342372958441132</v>
      </c>
      <c r="AG20" s="8">
        <f t="shared" ca="1" si="22"/>
        <v>5.0264548633570501</v>
      </c>
      <c r="AH20" s="8">
        <f t="shared" ca="1" si="22"/>
        <v>65.94757438551099</v>
      </c>
      <c r="AI20" s="8">
        <f t="shared" ca="1" si="22"/>
        <v>4.094758853492884</v>
      </c>
      <c r="AJ20" s="8">
        <f t="shared" ca="1" si="22"/>
        <v>65.422475339586015</v>
      </c>
      <c r="AK20" s="8">
        <f t="shared" ca="1" si="22"/>
        <v>5.764127789456662</v>
      </c>
      <c r="AL20" s="11">
        <f t="shared" si="22"/>
        <v>59.859263826002575</v>
      </c>
      <c r="AM20" s="12">
        <f t="shared" si="22"/>
        <v>6.0822283311772312</v>
      </c>
      <c r="AN20" s="11">
        <f t="shared" si="22"/>
        <v>57.730483910090555</v>
      </c>
      <c r="AO20" s="12">
        <f t="shared" si="22"/>
        <v>5.7781169146183693</v>
      </c>
      <c r="AP20" s="11">
        <f t="shared" si="22"/>
        <v>57.831854382276831</v>
      </c>
      <c r="AQ20" s="12">
        <f t="shared" si="22"/>
        <v>6.2849692755498054</v>
      </c>
      <c r="AR20" s="11">
        <f t="shared" si="22"/>
        <v>61.988043741914609</v>
      </c>
      <c r="AS20" s="12">
        <f t="shared" si="22"/>
        <v>4.9671531371280722</v>
      </c>
      <c r="AT20" s="11">
        <f t="shared" si="22"/>
        <v>61.785302797542045</v>
      </c>
      <c r="AU20" s="12">
        <f t="shared" si="22"/>
        <v>4.3082450679172055</v>
      </c>
      <c r="AV20" s="11">
        <f t="shared" si="22"/>
        <v>61.683932325355748</v>
      </c>
      <c r="AW20" s="12">
        <f t="shared" si="22"/>
        <v>5.1192088454075027</v>
      </c>
      <c r="AX20" s="11">
        <f t="shared" si="22"/>
        <v>66.904511642949529</v>
      </c>
      <c r="AY20" s="12">
        <f t="shared" si="22"/>
        <v>4.9671531371280722</v>
      </c>
      <c r="AZ20" s="11">
        <f t="shared" si="22"/>
        <v>67.107252587322122</v>
      </c>
      <c r="BA20" s="12">
        <f t="shared" si="22"/>
        <v>5.1192088454075027</v>
      </c>
      <c r="BB20" s="11">
        <f t="shared" si="22"/>
        <v>67.107252587322122</v>
      </c>
      <c r="BC20" s="12">
        <f t="shared" si="22"/>
        <v>5.2712645536869331</v>
      </c>
      <c r="BD20" s="11">
        <f t="shared" si="22"/>
        <v>14.901459411384215</v>
      </c>
      <c r="BE20" s="12">
        <f t="shared" si="22"/>
        <v>0.86164901358344115</v>
      </c>
      <c r="BF20" s="11">
        <f t="shared" si="22"/>
        <v>14.800088939197931</v>
      </c>
      <c r="BG20" s="12">
        <f t="shared" si="22"/>
        <v>0.60822283311772307</v>
      </c>
      <c r="BH20" s="11">
        <f t="shared" si="22"/>
        <v>16.117905077619664</v>
      </c>
      <c r="BI20" s="12">
        <f t="shared" si="22"/>
        <v>2.1287799159120313</v>
      </c>
      <c r="BJ20" s="11">
        <f t="shared" si="22"/>
        <v>40.704299401681759</v>
      </c>
      <c r="BK20" s="12">
        <f t="shared" si="22"/>
        <v>2.8383732212160409</v>
      </c>
      <c r="BL20" s="11">
        <f t="shared" si="22"/>
        <v>39.25672905886158</v>
      </c>
      <c r="BM20" s="12">
        <f t="shared" si="22"/>
        <v>2.9904289294954722</v>
      </c>
      <c r="BN20" s="11">
        <f t="shared" si="22"/>
        <v>39.325660979948253</v>
      </c>
      <c r="BO20" s="12">
        <f t="shared" si="22"/>
        <v>3.4465960543337646</v>
      </c>
      <c r="BP20" s="11">
        <f t="shared" ref="BP20:EA20" ca="1" si="23">0.5*BP19</f>
        <v>65.83130245391331</v>
      </c>
      <c r="BQ20" s="12">
        <f t="shared" ca="1" si="23"/>
        <v>5.2850509379042681</v>
      </c>
      <c r="BR20" s="11">
        <f t="shared" ca="1" si="23"/>
        <v>65.739562176584741</v>
      </c>
      <c r="BS20" s="12">
        <f t="shared" ca="1" si="23"/>
        <v>4.5796645071959894</v>
      </c>
      <c r="BT20" s="11">
        <f t="shared" ca="1" si="23"/>
        <v>65.076548603250316</v>
      </c>
      <c r="BU20" s="12">
        <f t="shared" ca="1" si="23"/>
        <v>5.3956461230595076</v>
      </c>
      <c r="BV20" s="5">
        <f t="shared" si="23"/>
        <v>58.541447687580856</v>
      </c>
      <c r="BW20" s="6">
        <f t="shared" si="23"/>
        <v>5.9808578589909445</v>
      </c>
      <c r="BX20" s="5">
        <f t="shared" si="23"/>
        <v>57.730483910090555</v>
      </c>
      <c r="BY20" s="6">
        <f t="shared" si="23"/>
        <v>5.3219497897800778</v>
      </c>
      <c r="BZ20" s="5">
        <f t="shared" si="23"/>
        <v>57.325002021345398</v>
      </c>
      <c r="CA20" s="6">
        <f t="shared" si="23"/>
        <v>6.183598803363517</v>
      </c>
      <c r="CB20" s="5">
        <f t="shared" si="23"/>
        <v>62.190784686287181</v>
      </c>
      <c r="CC20" s="6">
        <f t="shared" si="23"/>
        <v>4.3082450679172055</v>
      </c>
      <c r="CD20" s="5">
        <f t="shared" si="23"/>
        <v>61.633247089262611</v>
      </c>
      <c r="CE20" s="6">
        <f t="shared" si="23"/>
        <v>3.9534484152651999</v>
      </c>
      <c r="CF20" s="5">
        <f t="shared" si="23"/>
        <v>61.582561853169473</v>
      </c>
      <c r="CG20" s="6">
        <f t="shared" si="23"/>
        <v>5.3219497897800778</v>
      </c>
      <c r="CH20" s="5">
        <f t="shared" si="23"/>
        <v>66.346974045924966</v>
      </c>
      <c r="CI20" s="6">
        <f t="shared" si="23"/>
        <v>4.8657826649417846</v>
      </c>
      <c r="CJ20" s="5">
        <f t="shared" si="23"/>
        <v>67.107252587322122</v>
      </c>
      <c r="CK20" s="6">
        <f t="shared" si="23"/>
        <v>5.5753759702457959</v>
      </c>
      <c r="CL20" s="5">
        <f t="shared" si="23"/>
        <v>65.637380740620955</v>
      </c>
      <c r="CM20" s="6">
        <f t="shared" si="23"/>
        <v>5.3726350258732207</v>
      </c>
      <c r="CN20" s="5">
        <f t="shared" si="23"/>
        <v>14.749403703104786</v>
      </c>
      <c r="CO20" s="6">
        <f t="shared" si="23"/>
        <v>1.1657604301423026</v>
      </c>
      <c r="CP20" s="5">
        <f t="shared" si="23"/>
        <v>14.952144647477361</v>
      </c>
      <c r="CQ20" s="6">
        <f t="shared" si="23"/>
        <v>1.0137047218628719</v>
      </c>
      <c r="CR20" s="5">
        <f t="shared" ca="1" si="23"/>
        <v>15.344245633893919</v>
      </c>
      <c r="CS20" s="6">
        <f t="shared" ca="1" si="23"/>
        <v>2.0436287192755498</v>
      </c>
      <c r="CT20" s="5">
        <f t="shared" si="23"/>
        <v>39.808184427554984</v>
      </c>
      <c r="CU20" s="6">
        <f t="shared" si="23"/>
        <v>2.0274094437257437</v>
      </c>
      <c r="CV20" s="5">
        <f t="shared" si="23"/>
        <v>39.25672905886158</v>
      </c>
      <c r="CW20" s="6">
        <f t="shared" si="23"/>
        <v>2.2808356241914618</v>
      </c>
      <c r="CX20" s="5">
        <f t="shared" si="23"/>
        <v>38.981001374514875</v>
      </c>
      <c r="CY20" s="6">
        <f t="shared" si="23"/>
        <v>2.5342618046571799</v>
      </c>
      <c r="CZ20" s="5">
        <f t="shared" ca="1" si="23"/>
        <v>66.233185690895851</v>
      </c>
      <c r="DA20" s="6">
        <f t="shared" ca="1" si="23"/>
        <v>4.5968974874676576</v>
      </c>
      <c r="DB20" s="5">
        <f t="shared" ca="1" si="23"/>
        <v>65.454508408796883</v>
      </c>
      <c r="DC20" s="6">
        <f t="shared" ca="1" si="23"/>
        <v>4.1511208360284586</v>
      </c>
      <c r="DD20" s="5">
        <f t="shared" ca="1" si="23"/>
        <v>65.831758621038148</v>
      </c>
      <c r="DE20" s="6">
        <f t="shared" ca="1" si="23"/>
        <v>5.6146570282179811</v>
      </c>
      <c r="DF20" s="9">
        <f t="shared" si="23"/>
        <v>59.40309670116428</v>
      </c>
      <c r="DG20" s="10">
        <f t="shared" si="23"/>
        <v>6.7411364003880987</v>
      </c>
      <c r="DH20" s="9">
        <f t="shared" ca="1" si="23"/>
        <v>60.963391009055613</v>
      </c>
      <c r="DI20" s="10">
        <f t="shared" ca="1" si="23"/>
        <v>5.5933692290588617</v>
      </c>
      <c r="DJ20" s="9">
        <f t="shared" ca="1" si="23"/>
        <v>60.420552130498045</v>
      </c>
      <c r="DK20" s="10">
        <f t="shared" ca="1" si="23"/>
        <v>6.5422475339586006</v>
      </c>
      <c r="DL20" s="9">
        <f t="shared" si="23"/>
        <v>61.633247089262611</v>
      </c>
      <c r="DM20" s="10">
        <f t="shared" si="23"/>
        <v>5.6767464424320817</v>
      </c>
      <c r="DN20" s="9">
        <f t="shared" ca="1" si="23"/>
        <v>64.961442432082777</v>
      </c>
      <c r="DO20" s="10">
        <f t="shared" ca="1" si="23"/>
        <v>4.1669346296895204</v>
      </c>
      <c r="DP20" s="9">
        <f t="shared" ca="1" si="23"/>
        <v>65.215933002506461</v>
      </c>
      <c r="DQ20" s="10">
        <f t="shared" ca="1" si="23"/>
        <v>5.5986911788486413</v>
      </c>
      <c r="DR20" s="9">
        <f t="shared" ca="1" si="23"/>
        <v>70.128751566542704</v>
      </c>
      <c r="DS20" s="10">
        <f t="shared" ca="1" si="23"/>
        <v>5.1382664941785254</v>
      </c>
      <c r="DT20" s="9">
        <f t="shared" ca="1" si="23"/>
        <v>70.798151479624821</v>
      </c>
      <c r="DU20" s="10">
        <f t="shared" ca="1" si="23"/>
        <v>5.8987477765200511</v>
      </c>
      <c r="DV20" s="9">
        <f t="shared" ca="1" si="23"/>
        <v>69.313074062095723</v>
      </c>
      <c r="DW20" s="10">
        <f t="shared" ca="1" si="23"/>
        <v>5.6412667771668819</v>
      </c>
      <c r="DX20" s="9">
        <f t="shared" ca="1" si="23"/>
        <v>15.486873888260023</v>
      </c>
      <c r="DY20" s="10">
        <f t="shared" ca="1" si="23"/>
        <v>1.2333745350905558</v>
      </c>
      <c r="DZ20" s="9">
        <f t="shared" ca="1" si="23"/>
        <v>15.714704024498703</v>
      </c>
      <c r="EA20" s="10">
        <f t="shared" ca="1" si="23"/>
        <v>1.0684447768434671</v>
      </c>
      <c r="EB20" s="9">
        <f t="shared" ref="EB20:EO20" ca="1" si="24">0.5*EB19</f>
        <v>16.218867635025873</v>
      </c>
      <c r="EC20" s="10">
        <f t="shared" ca="1" si="24"/>
        <v>2.1519410413971536</v>
      </c>
      <c r="ED20" s="9">
        <f t="shared" si="24"/>
        <v>40.394105756791724</v>
      </c>
      <c r="EE20" s="10">
        <f t="shared" si="24"/>
        <v>1.6726127910737385</v>
      </c>
      <c r="EF20" s="9">
        <f t="shared" ca="1" si="24"/>
        <v>41.455105886157824</v>
      </c>
      <c r="EG20" s="10">
        <f t="shared" si="24"/>
        <v>2.3315208602846051</v>
      </c>
      <c r="EH20" s="9">
        <f t="shared" ca="1" si="24"/>
        <v>41.085975448738679</v>
      </c>
      <c r="EI20" s="10">
        <f t="shared" si="24"/>
        <v>2.3315208602846051</v>
      </c>
      <c r="EJ20" s="9">
        <f t="shared" ca="1" si="24"/>
        <v>65.639408150064668</v>
      </c>
      <c r="EK20" s="10">
        <f t="shared" ca="1" si="24"/>
        <v>5.9719372574385501</v>
      </c>
      <c r="EL20" s="9">
        <f t="shared" ca="1" si="24"/>
        <v>68.989051862871918</v>
      </c>
      <c r="EM20" s="10">
        <f t="shared" ca="1" si="24"/>
        <v>4.4502861845084078</v>
      </c>
      <c r="EN20" s="9">
        <f t="shared" ca="1" si="24"/>
        <v>68.998457116651835</v>
      </c>
      <c r="EO20" s="10">
        <f t="shared" ca="1" si="24"/>
        <v>5.9850008701891975</v>
      </c>
    </row>
    <row r="21" spans="1:145" x14ac:dyDescent="0.25">
      <c r="A21" s="16" t="s">
        <v>26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1"/>
      <c r="AM21" s="12"/>
      <c r="AN21" s="11"/>
      <c r="AO21" s="12"/>
      <c r="AP21" s="11"/>
      <c r="AQ21" s="12"/>
      <c r="AR21" s="11"/>
      <c r="AS21" s="12"/>
      <c r="AT21" s="11"/>
      <c r="AU21" s="12"/>
      <c r="AV21" s="11"/>
      <c r="AW21" s="12"/>
      <c r="AX21" s="11"/>
      <c r="AY21" s="12"/>
      <c r="AZ21" s="11"/>
      <c r="BA21" s="12"/>
      <c r="BB21" s="11"/>
      <c r="BC21" s="12"/>
      <c r="BD21" s="11"/>
      <c r="BE21" s="12"/>
      <c r="BF21" s="11"/>
      <c r="BG21" s="12"/>
      <c r="BH21" s="11"/>
      <c r="BI21" s="12"/>
      <c r="BJ21" s="11"/>
      <c r="BK21" s="12"/>
      <c r="BL21" s="11"/>
      <c r="BM21" s="12"/>
      <c r="BN21" s="11"/>
      <c r="BO21" s="12"/>
      <c r="BP21" s="11"/>
      <c r="BQ21" s="12"/>
      <c r="BR21" s="11"/>
      <c r="BS21" s="12"/>
      <c r="BT21" s="11"/>
      <c r="BU21" s="12"/>
      <c r="BV21" s="5"/>
      <c r="BW21" s="6"/>
      <c r="BX21" s="5"/>
      <c r="BY21" s="6"/>
      <c r="BZ21" s="5"/>
      <c r="CA21" s="6"/>
      <c r="CB21" s="5"/>
      <c r="CC21" s="6"/>
      <c r="CD21" s="5"/>
      <c r="CE21" s="6"/>
      <c r="CF21" s="5"/>
      <c r="CG21" s="6"/>
      <c r="CH21" s="5"/>
      <c r="CI21" s="6"/>
      <c r="CJ21" s="5"/>
      <c r="CK21" s="6"/>
      <c r="CL21" s="5"/>
      <c r="CM21" s="6"/>
      <c r="CN21" s="5"/>
      <c r="CO21" s="6"/>
      <c r="CP21" s="5"/>
      <c r="CQ21" s="6"/>
      <c r="CR21" s="5"/>
      <c r="CS21" s="6"/>
      <c r="CT21" s="5"/>
      <c r="CU21" s="6"/>
      <c r="CV21" s="5"/>
      <c r="CW21" s="6"/>
      <c r="CX21" s="5"/>
      <c r="CY21" s="6"/>
      <c r="CZ21" s="5"/>
      <c r="DA21" s="6"/>
      <c r="DB21" s="5"/>
      <c r="DC21" s="6"/>
      <c r="DD21" s="5"/>
      <c r="DE21" s="6"/>
      <c r="DF21" s="9"/>
      <c r="DG21" s="10"/>
      <c r="DH21" s="9"/>
      <c r="DI21" s="10"/>
      <c r="DJ21" s="9"/>
      <c r="DK21" s="10"/>
      <c r="DL21" s="9"/>
      <c r="DM21" s="10"/>
      <c r="DN21" s="9"/>
      <c r="DO21" s="10"/>
      <c r="DP21" s="9"/>
      <c r="DQ21" s="10"/>
      <c r="DR21" s="9"/>
      <c r="DS21" s="10"/>
      <c r="DT21" s="9"/>
      <c r="DU21" s="10"/>
      <c r="DV21" s="9"/>
      <c r="DW21" s="10"/>
      <c r="DX21" s="9"/>
      <c r="DY21" s="10"/>
      <c r="DZ21" s="9"/>
      <c r="EA21" s="10"/>
      <c r="EB21" s="9"/>
      <c r="EC21" s="10"/>
      <c r="ED21" s="9"/>
      <c r="EE21" s="10"/>
      <c r="EF21" s="9"/>
      <c r="EG21" s="10"/>
      <c r="EH21" s="9"/>
      <c r="EI21" s="10"/>
      <c r="EJ21" s="9"/>
      <c r="EK21" s="10"/>
      <c r="EL21" s="9"/>
      <c r="EM21" s="10"/>
      <c r="EN21" s="9"/>
      <c r="EO21" s="10"/>
    </row>
    <row r="22" spans="1:145" x14ac:dyDescent="0.25">
      <c r="A22" s="14" t="s">
        <v>27</v>
      </c>
      <c r="B22" s="8">
        <f>'типовая конструкция'!B22</f>
        <v>3</v>
      </c>
      <c r="C22" s="8"/>
      <c r="D22" s="8">
        <f>B22</f>
        <v>3</v>
      </c>
      <c r="E22" s="8"/>
      <c r="F22" s="8">
        <f>D22</f>
        <v>3</v>
      </c>
      <c r="G22" s="8"/>
      <c r="H22" s="8">
        <f>F22</f>
        <v>3</v>
      </c>
      <c r="I22" s="8"/>
      <c r="J22" s="8">
        <f>H22</f>
        <v>3</v>
      </c>
      <c r="K22" s="8"/>
      <c r="L22" s="8">
        <f>J22</f>
        <v>3</v>
      </c>
      <c r="M22" s="8"/>
      <c r="N22" s="8">
        <f>L22</f>
        <v>3</v>
      </c>
      <c r="O22" s="8"/>
      <c r="P22" s="8">
        <f>N22</f>
        <v>3</v>
      </c>
      <c r="Q22" s="8"/>
      <c r="R22" s="8">
        <f>P22</f>
        <v>3</v>
      </c>
      <c r="S22" s="8"/>
      <c r="T22" s="8">
        <f>R22</f>
        <v>3</v>
      </c>
      <c r="U22" s="8"/>
      <c r="V22" s="8">
        <f>T22</f>
        <v>3</v>
      </c>
      <c r="W22" s="8"/>
      <c r="X22" s="8">
        <f>V22</f>
        <v>3</v>
      </c>
      <c r="Y22" s="8"/>
      <c r="Z22" s="8">
        <f>X22</f>
        <v>3</v>
      </c>
      <c r="AA22" s="8"/>
      <c r="AB22" s="8">
        <f>Z22</f>
        <v>3</v>
      </c>
      <c r="AC22" s="8"/>
      <c r="AD22" s="8">
        <f>AB22</f>
        <v>3</v>
      </c>
      <c r="AE22" s="8"/>
      <c r="AF22" s="8">
        <f>AD22</f>
        <v>3</v>
      </c>
      <c r="AG22" s="8"/>
      <c r="AH22" s="8">
        <f>AF22</f>
        <v>3</v>
      </c>
      <c r="AI22" s="8"/>
      <c r="AJ22" s="8">
        <f>AH22</f>
        <v>3</v>
      </c>
      <c r="AK22" s="8"/>
      <c r="AL22" s="8">
        <f>AJ22</f>
        <v>3</v>
      </c>
      <c r="AM22" s="8"/>
      <c r="AN22" s="8">
        <f>AL22</f>
        <v>3</v>
      </c>
      <c r="AO22" s="8"/>
      <c r="AP22" s="8">
        <f>AN22</f>
        <v>3</v>
      </c>
      <c r="AQ22" s="8"/>
      <c r="AR22" s="8">
        <f>AP22</f>
        <v>3</v>
      </c>
      <c r="AS22" s="8"/>
      <c r="AT22" s="8">
        <f>AR22</f>
        <v>3</v>
      </c>
      <c r="AU22" s="8"/>
      <c r="AV22" s="8">
        <f>AT22</f>
        <v>3</v>
      </c>
      <c r="AW22" s="8"/>
      <c r="AX22" s="8">
        <f>AV22</f>
        <v>3</v>
      </c>
      <c r="AY22" s="8"/>
      <c r="AZ22" s="8">
        <f>AX22</f>
        <v>3</v>
      </c>
      <c r="BA22" s="8"/>
      <c r="BB22" s="8">
        <f>AZ22</f>
        <v>3</v>
      </c>
      <c r="BC22" s="8"/>
      <c r="BD22" s="8">
        <f>BB22</f>
        <v>3</v>
      </c>
      <c r="BE22" s="8"/>
      <c r="BF22" s="8">
        <f>BD22</f>
        <v>3</v>
      </c>
      <c r="BG22" s="8"/>
      <c r="BH22" s="8">
        <f>BF22</f>
        <v>3</v>
      </c>
      <c r="BI22" s="8"/>
      <c r="BJ22" s="8">
        <f>BH22</f>
        <v>3</v>
      </c>
      <c r="BK22" s="8"/>
      <c r="BL22" s="8">
        <f>BJ22</f>
        <v>3</v>
      </c>
      <c r="BM22" s="8"/>
      <c r="BN22" s="8">
        <f>BL22</f>
        <v>3</v>
      </c>
      <c r="BO22" s="8"/>
      <c r="BP22" s="8">
        <f>BN22</f>
        <v>3</v>
      </c>
      <c r="BQ22" s="8"/>
      <c r="BR22" s="8">
        <f>BP22</f>
        <v>3</v>
      </c>
      <c r="BS22" s="12"/>
      <c r="BT22" s="11">
        <f>BR22</f>
        <v>3</v>
      </c>
      <c r="BU22" s="12"/>
      <c r="BV22" s="8">
        <f>BT22</f>
        <v>3</v>
      </c>
      <c r="BW22" s="8"/>
      <c r="BX22" s="8">
        <f>BV22</f>
        <v>3</v>
      </c>
      <c r="BY22" s="8"/>
      <c r="BZ22" s="8">
        <f>BX22</f>
        <v>3</v>
      </c>
      <c r="CA22" s="8"/>
      <c r="CB22" s="8">
        <f>BZ22</f>
        <v>3</v>
      </c>
      <c r="CC22" s="8"/>
      <c r="CD22" s="8">
        <f>CB22</f>
        <v>3</v>
      </c>
      <c r="CE22" s="8"/>
      <c r="CF22" s="8">
        <f>CD22</f>
        <v>3</v>
      </c>
      <c r="CG22" s="8"/>
      <c r="CH22" s="8">
        <f>CF22</f>
        <v>3</v>
      </c>
      <c r="CI22" s="8"/>
      <c r="CJ22" s="8">
        <f>CH22</f>
        <v>3</v>
      </c>
      <c r="CK22" s="8"/>
      <c r="CL22" s="8">
        <f>CJ22</f>
        <v>3</v>
      </c>
      <c r="CM22" s="8"/>
      <c r="CN22" s="8">
        <f>CL22</f>
        <v>3</v>
      </c>
      <c r="CO22" s="8"/>
      <c r="CP22" s="8">
        <f>CN22</f>
        <v>3</v>
      </c>
      <c r="CQ22" s="8"/>
      <c r="CR22" s="8">
        <f>CP22</f>
        <v>3</v>
      </c>
      <c r="CS22" s="8"/>
      <c r="CT22" s="8">
        <f>CR22</f>
        <v>3</v>
      </c>
      <c r="CU22" s="8"/>
      <c r="CV22" s="8">
        <f>CT22</f>
        <v>3</v>
      </c>
      <c r="CW22" s="8"/>
      <c r="CX22" s="8">
        <f>CV22</f>
        <v>3</v>
      </c>
      <c r="CY22" s="8"/>
      <c r="CZ22" s="8">
        <f>CX22</f>
        <v>3</v>
      </c>
      <c r="DA22" s="8"/>
      <c r="DB22" s="8">
        <f>CZ22</f>
        <v>3</v>
      </c>
      <c r="DC22" s="12"/>
      <c r="DD22" s="11">
        <f>DB22</f>
        <v>3</v>
      </c>
      <c r="DE22" s="12"/>
      <c r="DF22" s="8">
        <f>DD22</f>
        <v>3</v>
      </c>
      <c r="DG22" s="8"/>
      <c r="DH22" s="8">
        <f>DF22</f>
        <v>3</v>
      </c>
      <c r="DI22" s="8"/>
      <c r="DJ22" s="8">
        <f>DH22</f>
        <v>3</v>
      </c>
      <c r="DK22" s="8"/>
      <c r="DL22" s="8">
        <f>DJ22</f>
        <v>3</v>
      </c>
      <c r="DM22" s="8"/>
      <c r="DN22" s="8">
        <f>DL22</f>
        <v>3</v>
      </c>
      <c r="DO22" s="8"/>
      <c r="DP22" s="8">
        <f>DN22</f>
        <v>3</v>
      </c>
      <c r="DQ22" s="8"/>
      <c r="DR22" s="8">
        <f>DP22</f>
        <v>3</v>
      </c>
      <c r="DS22" s="8"/>
      <c r="DT22" s="8">
        <f>DR22</f>
        <v>3</v>
      </c>
      <c r="DU22" s="8"/>
      <c r="DV22" s="8">
        <f>DT22</f>
        <v>3</v>
      </c>
      <c r="DW22" s="8"/>
      <c r="DX22" s="8">
        <f>DV22</f>
        <v>3</v>
      </c>
      <c r="DY22" s="8"/>
      <c r="DZ22" s="8">
        <f>DX22</f>
        <v>3</v>
      </c>
      <c r="EA22" s="8"/>
      <c r="EB22" s="8">
        <f>DZ22</f>
        <v>3</v>
      </c>
      <c r="EC22" s="8"/>
      <c r="ED22" s="8">
        <f>EB22</f>
        <v>3</v>
      </c>
      <c r="EE22" s="8"/>
      <c r="EF22" s="8">
        <f>ED22</f>
        <v>3</v>
      </c>
      <c r="EG22" s="8"/>
      <c r="EH22" s="8">
        <f>EF22</f>
        <v>3</v>
      </c>
      <c r="EI22" s="8"/>
      <c r="EJ22" s="8">
        <f>EH22</f>
        <v>3</v>
      </c>
      <c r="EK22" s="8"/>
      <c r="EL22" s="8">
        <f>EJ22</f>
        <v>3</v>
      </c>
      <c r="EM22" s="12"/>
      <c r="EN22" s="11">
        <f>EL22</f>
        <v>3</v>
      </c>
      <c r="EO22" s="12"/>
    </row>
    <row r="23" spans="1:145" x14ac:dyDescent="0.25">
      <c r="A23" s="14" t="s">
        <v>28</v>
      </c>
      <c r="B23" s="8">
        <f>'типовая конструкция'!B23</f>
        <v>2</v>
      </c>
      <c r="C23" s="8"/>
      <c r="D23" s="8">
        <f>B23</f>
        <v>2</v>
      </c>
      <c r="E23" s="8"/>
      <c r="F23" s="8">
        <f>D23</f>
        <v>2</v>
      </c>
      <c r="G23" s="8"/>
      <c r="H23" s="8">
        <f>F23</f>
        <v>2</v>
      </c>
      <c r="I23" s="8"/>
      <c r="J23" s="8">
        <f>H23</f>
        <v>2</v>
      </c>
      <c r="K23" s="8"/>
      <c r="L23" s="8">
        <f>J23</f>
        <v>2</v>
      </c>
      <c r="M23" s="8"/>
      <c r="N23" s="8">
        <f>L23</f>
        <v>2</v>
      </c>
      <c r="O23" s="8"/>
      <c r="P23" s="8">
        <f>N23</f>
        <v>2</v>
      </c>
      <c r="Q23" s="8"/>
      <c r="R23" s="8">
        <f>P23</f>
        <v>2</v>
      </c>
      <c r="S23" s="8"/>
      <c r="T23" s="8">
        <f>R23</f>
        <v>2</v>
      </c>
      <c r="U23" s="8"/>
      <c r="V23" s="8">
        <f>T23</f>
        <v>2</v>
      </c>
      <c r="W23" s="8"/>
      <c r="X23" s="8">
        <f>V23</f>
        <v>2</v>
      </c>
      <c r="Y23" s="8"/>
      <c r="Z23" s="8">
        <f>X23</f>
        <v>2</v>
      </c>
      <c r="AA23" s="8"/>
      <c r="AB23" s="8">
        <f>Z23</f>
        <v>2</v>
      </c>
      <c r="AC23" s="8"/>
      <c r="AD23" s="8">
        <f>AB23</f>
        <v>2</v>
      </c>
      <c r="AE23" s="8"/>
      <c r="AF23" s="8">
        <f>AD23</f>
        <v>2</v>
      </c>
      <c r="AG23" s="8"/>
      <c r="AH23" s="8">
        <f>AF23</f>
        <v>2</v>
      </c>
      <c r="AI23" s="8"/>
      <c r="AJ23" s="8">
        <f>AH23</f>
        <v>2</v>
      </c>
      <c r="AK23" s="8"/>
      <c r="AL23" s="8">
        <f>AJ23</f>
        <v>2</v>
      </c>
      <c r="AM23" s="8"/>
      <c r="AN23" s="8">
        <f>AL23</f>
        <v>2</v>
      </c>
      <c r="AO23" s="8"/>
      <c r="AP23" s="8">
        <f>AN23</f>
        <v>2</v>
      </c>
      <c r="AQ23" s="8"/>
      <c r="AR23" s="8">
        <f>AP23</f>
        <v>2</v>
      </c>
      <c r="AS23" s="8"/>
      <c r="AT23" s="8">
        <f>AR23</f>
        <v>2</v>
      </c>
      <c r="AU23" s="8"/>
      <c r="AV23" s="8">
        <f>AT23</f>
        <v>2</v>
      </c>
      <c r="AW23" s="8"/>
      <c r="AX23" s="8">
        <f>AV23</f>
        <v>2</v>
      </c>
      <c r="AY23" s="8"/>
      <c r="AZ23" s="8">
        <f>AX23</f>
        <v>2</v>
      </c>
      <c r="BA23" s="8"/>
      <c r="BB23" s="8">
        <f>AZ23</f>
        <v>2</v>
      </c>
      <c r="BC23" s="8"/>
      <c r="BD23" s="8">
        <f>BB23</f>
        <v>2</v>
      </c>
      <c r="BE23" s="8"/>
      <c r="BF23" s="8">
        <f>BD23</f>
        <v>2</v>
      </c>
      <c r="BG23" s="8"/>
      <c r="BH23" s="8">
        <f>BF23</f>
        <v>2</v>
      </c>
      <c r="BI23" s="8"/>
      <c r="BJ23" s="8">
        <f>BH23</f>
        <v>2</v>
      </c>
      <c r="BK23" s="8"/>
      <c r="BL23" s="8">
        <f>BJ23</f>
        <v>2</v>
      </c>
      <c r="BM23" s="8"/>
      <c r="BN23" s="8">
        <f>BL23</f>
        <v>2</v>
      </c>
      <c r="BO23" s="8"/>
      <c r="BP23" s="8">
        <f>BN23</f>
        <v>2</v>
      </c>
      <c r="BQ23" s="8"/>
      <c r="BR23" s="8">
        <f>BP23</f>
        <v>2</v>
      </c>
      <c r="BS23" s="12"/>
      <c r="BT23" s="11">
        <f>BR23</f>
        <v>2</v>
      </c>
      <c r="BU23" s="12"/>
      <c r="BV23" s="8">
        <f>BT23</f>
        <v>2</v>
      </c>
      <c r="BW23" s="8"/>
      <c r="BX23" s="8">
        <f>BV23</f>
        <v>2</v>
      </c>
      <c r="BY23" s="8"/>
      <c r="BZ23" s="8">
        <f>BX23</f>
        <v>2</v>
      </c>
      <c r="CA23" s="8"/>
      <c r="CB23" s="8">
        <f>BZ23</f>
        <v>2</v>
      </c>
      <c r="CC23" s="8"/>
      <c r="CD23" s="8">
        <f>CB23</f>
        <v>2</v>
      </c>
      <c r="CE23" s="8"/>
      <c r="CF23" s="8">
        <f>CD23</f>
        <v>2</v>
      </c>
      <c r="CG23" s="8"/>
      <c r="CH23" s="8">
        <f>CF23</f>
        <v>2</v>
      </c>
      <c r="CI23" s="8"/>
      <c r="CJ23" s="8">
        <f>CH23</f>
        <v>2</v>
      </c>
      <c r="CK23" s="8"/>
      <c r="CL23" s="8">
        <f>CJ23</f>
        <v>2</v>
      </c>
      <c r="CM23" s="8"/>
      <c r="CN23" s="8">
        <f>CL23</f>
        <v>2</v>
      </c>
      <c r="CO23" s="8"/>
      <c r="CP23" s="8">
        <f>CN23</f>
        <v>2</v>
      </c>
      <c r="CQ23" s="8"/>
      <c r="CR23" s="8">
        <f>CP23</f>
        <v>2</v>
      </c>
      <c r="CS23" s="8"/>
      <c r="CT23" s="8">
        <f>CR23</f>
        <v>2</v>
      </c>
      <c r="CU23" s="8"/>
      <c r="CV23" s="8">
        <f>CT23</f>
        <v>2</v>
      </c>
      <c r="CW23" s="8"/>
      <c r="CX23" s="8">
        <f>CV23</f>
        <v>2</v>
      </c>
      <c r="CY23" s="8"/>
      <c r="CZ23" s="8">
        <f>CX23</f>
        <v>2</v>
      </c>
      <c r="DA23" s="8"/>
      <c r="DB23" s="8">
        <f>CZ23</f>
        <v>2</v>
      </c>
      <c r="DC23" s="12"/>
      <c r="DD23" s="11">
        <f>DB23</f>
        <v>2</v>
      </c>
      <c r="DE23" s="12"/>
      <c r="DF23" s="8">
        <f>DD23</f>
        <v>2</v>
      </c>
      <c r="DG23" s="8"/>
      <c r="DH23" s="8">
        <f>DF23</f>
        <v>2</v>
      </c>
      <c r="DI23" s="8"/>
      <c r="DJ23" s="8">
        <f>DH23</f>
        <v>2</v>
      </c>
      <c r="DK23" s="8"/>
      <c r="DL23" s="8">
        <f>DJ23</f>
        <v>2</v>
      </c>
      <c r="DM23" s="8"/>
      <c r="DN23" s="8">
        <f>DL23</f>
        <v>2</v>
      </c>
      <c r="DO23" s="8"/>
      <c r="DP23" s="8">
        <f>DN23</f>
        <v>2</v>
      </c>
      <c r="DQ23" s="8"/>
      <c r="DR23" s="8">
        <f>DP23</f>
        <v>2</v>
      </c>
      <c r="DS23" s="8"/>
      <c r="DT23" s="8">
        <f>DR23</f>
        <v>2</v>
      </c>
      <c r="DU23" s="8"/>
      <c r="DV23" s="8">
        <f>DT23</f>
        <v>2</v>
      </c>
      <c r="DW23" s="8"/>
      <c r="DX23" s="8">
        <f>DV23</f>
        <v>2</v>
      </c>
      <c r="DY23" s="8"/>
      <c r="DZ23" s="8">
        <f>DX23</f>
        <v>2</v>
      </c>
      <c r="EA23" s="8"/>
      <c r="EB23" s="8">
        <f>DZ23</f>
        <v>2</v>
      </c>
      <c r="EC23" s="8"/>
      <c r="ED23" s="8">
        <f>EB23</f>
        <v>2</v>
      </c>
      <c r="EE23" s="8"/>
      <c r="EF23" s="8">
        <f>ED23</f>
        <v>2</v>
      </c>
      <c r="EG23" s="8"/>
      <c r="EH23" s="8">
        <f>EF23</f>
        <v>2</v>
      </c>
      <c r="EI23" s="8"/>
      <c r="EJ23" s="8">
        <f>EH23</f>
        <v>2</v>
      </c>
      <c r="EK23" s="8"/>
      <c r="EL23" s="8">
        <f>EJ23</f>
        <v>2</v>
      </c>
      <c r="EM23" s="12"/>
      <c r="EN23" s="11">
        <f>EL23</f>
        <v>2</v>
      </c>
      <c r="EO23" s="12"/>
    </row>
    <row r="24" spans="1:145" hidden="1" x14ac:dyDescent="0.25">
      <c r="A24" s="14" t="s">
        <v>29</v>
      </c>
      <c r="B24" s="8">
        <f ca="1">((((B15+B16)/2)^2+(C15^2+C16^2)/4)^(B22/2))+((((B15-B16)/2)^2+(C15^2-C16^2)/4)^(B23/2))</f>
        <v>521538.59358268091</v>
      </c>
      <c r="C24" s="8"/>
      <c r="D24" s="8">
        <f ca="1">((((D15+D16)/2)^2+(E15^2+E16^2)/4)^(D22/2))+((((D15-D16)/2)^2+(E15^2-E16^2)/4)^(D23/2))</f>
        <v>324263.06123852782</v>
      </c>
      <c r="E24" s="8"/>
      <c r="F24" s="8">
        <f ca="1">((((F15+F16)/2)^2+(G15^2+G16^2)/4)^(F22/2))+((((F15-F16)/2)^2+(G15^2-G16^2)/4)^(F23/2))</f>
        <v>324901.08403407421</v>
      </c>
      <c r="G24" s="8"/>
      <c r="H24" s="8">
        <f ca="1">((((H15+H16)/2)^2+(I15^2+I16^2)/4)^(H22/2))+((((H15-H16)/2)^2+(I15^2-I16^2)/4)^(H23/2))</f>
        <v>607257.11838103028</v>
      </c>
      <c r="I24" s="8"/>
      <c r="J24" s="8">
        <f ca="1">((((J15+J16)/2)^2+(K15^2+K16^2)/4)^(J22/2))+((((J15-J16)/2)^2+(K15^2-K16^2)/4)^(J23/2))</f>
        <v>375449.06402051263</v>
      </c>
      <c r="K24" s="8"/>
      <c r="L24" s="8">
        <f ca="1">((((L15+L16)/2)^2+(M15^2+M16^2)/4)^(L22/2))+((((L15-L16)/2)^2+(M15^2-M16^2)/4)^(L23/2))</f>
        <v>392910.00377759512</v>
      </c>
      <c r="M24" s="8"/>
      <c r="N24" s="8">
        <f ca="1">((((N15+N16)/2)^2+(O15^2+O16^2)/4)^(N22/2))+((((N15-N16)/2)^2+(O15^2-O16^2)/4)^(N23/2))</f>
        <v>853012.36509257206</v>
      </c>
      <c r="O24" s="8"/>
      <c r="P24" s="8">
        <f ca="1">((((P15+P16)/2)^2+(Q15^2+Q16^2)/4)^(P22/2))+((((P15-P16)/2)^2+(Q15^2-Q16^2)/4)^(P23/2))</f>
        <v>540895.38842392585</v>
      </c>
      <c r="Q24" s="8"/>
      <c r="R24" s="8">
        <f ca="1">((((R15+R16)/2)^2+(S15^2+S16^2)/4)^(R22/2))+((((R15-R16)/2)^2+(S15^2-S16^2)/4)^(R23/2))</f>
        <v>485560.71727974241</v>
      </c>
      <c r="S24" s="8"/>
      <c r="T24" s="8">
        <f ca="1">((((T15+T16)/2)^2+(U15^2+U16^2)/4)^(T22/2))+((((T15-T16)/2)^2+(U15^2-U16^2)/4)^(T23/2))</f>
        <v>8424.3410152234646</v>
      </c>
      <c r="U24" s="8"/>
      <c r="V24" s="8">
        <f ca="1">((((V15+V16)/2)^2+(W15^2+W16^2)/4)^(V22/2))+((((V15-V16)/2)^2+(W15^2-W16^2)/4)^(V23/2))</f>
        <v>5243.2256508685959</v>
      </c>
      <c r="W24" s="8"/>
      <c r="X24" s="8">
        <f ca="1">((((X15+X16)/2)^2+(Y15^2+Y16^2)/4)^(X22/2))+((((X15-X16)/2)^2+(Y15^2-Y16^2)/4)^(X23/2))</f>
        <v>5329.2015723184031</v>
      </c>
      <c r="Y24" s="8"/>
      <c r="Z24" s="8">
        <f ca="1">((((Z15+Z16)/2)^2+(AA15^2+AA16^2)/4)^(Z22/2))+((((Z15-Z16)/2)^2+(AA15^2-AA16^2)/4)^(Z23/2))</f>
        <v>144697.62665075428</v>
      </c>
      <c r="AA24" s="8"/>
      <c r="AB24" s="8">
        <f ca="1">((((AB15+AB16)/2)^2+(AC15^2+AC16^2)/4)^(AB22/2))+((((AB15-AB16)/2)^2+(AC15^2-AC16^2)/4)^(AB23/2))</f>
        <v>109460.3893459848</v>
      </c>
      <c r="AC24" s="8"/>
      <c r="AD24" s="8">
        <f ca="1">((((AD15+AD16)/2)^2+(AE15^2+AE16^2)/4)^(AD22/2))+((((AD15-AD16)/2)^2+(AE15^2-AE16^2)/4)^(AD23/2))</f>
        <v>97938.771723947342</v>
      </c>
      <c r="AE24" s="8"/>
      <c r="AF24" s="8">
        <f ca="1">((((AF15+AF16)/2)^2+(AG15^2+AG16^2)/4)^(AF22/2))+((((AF15-AF16)/2)^2+(AG15^2-AG16^2)/4)^(AF23/2))</f>
        <v>1124905.7376740684</v>
      </c>
      <c r="AG24" s="8"/>
      <c r="AH24" s="8">
        <f ca="1">((((AH15+AH16)/2)^2+(AI15^2+AI16^2)/4)^(AH22/2))+((((AH15-AH16)/2)^2+(AI15^2-AI16^2)/4)^(AH23/2))</f>
        <v>477130.33444974566</v>
      </c>
      <c r="AI24" s="8"/>
      <c r="AJ24" s="8">
        <f ca="1">((((AJ15+AJ16)/2)^2+(AK15^2+AK16^2)/4)^(AJ22/2))+((((AJ15-AJ16)/2)^2+(AK15^2-AK16^2)/4)^(AJ23/2))</f>
        <v>454105.64598561125</v>
      </c>
      <c r="AK24" s="8"/>
      <c r="AL24" s="11">
        <f ca="1">((((AL15+AL16)/2)^2+(AM15^2+AM16^2)/4)^(AL22/2))+((((AL15-AL16)/2)^2+(AM15^2-AM16^2)/4)^(AL23/2))</f>
        <v>556332.44242250884</v>
      </c>
      <c r="AM24" s="12"/>
      <c r="AN24" s="11">
        <f ca="1">((((AN15+AN16)/2)^2+(AO15^2+AO16^2)/4)^(AN22/2))+((((AN15-AN16)/2)^2+(AO15^2-AO16^2)/4)^(AN23/2))</f>
        <v>335513.35308842565</v>
      </c>
      <c r="AO24" s="12"/>
      <c r="AP24" s="11">
        <f ca="1">((((AP15+AP16)/2)^2+(AQ15^2+AQ16^2)/4)^(AP22/2))+((((AP15-AP16)/2)^2+(AQ15^2-AQ16^2)/4)^(AP23/2))</f>
        <v>340010.57886019041</v>
      </c>
      <c r="AQ24" s="12"/>
      <c r="AR24" s="11">
        <f ca="1">((((AR15+AR16)/2)^2+(AS15^2+AS16^2)/4)^(AR22/2))+((((AR15-AR16)/2)^2+(AS15^2-AS16^2)/4)^(AR23/2))</f>
        <v>643173.44234602887</v>
      </c>
      <c r="AS24" s="12"/>
      <c r="AT24" s="11">
        <f ca="1">((((AT15+AT16)/2)^2+(AU15^2+AU16^2)/4)^(AT22/2))+((((AT15-AT16)/2)^2+(AU15^2-AU16^2)/4)^(AT23/2))</f>
        <v>384300.18829233549</v>
      </c>
      <c r="AU24" s="12"/>
      <c r="AV24" s="11">
        <f ca="1">((((AV15+AV16)/2)^2+(AW15^2+AW16^2)/4)^(AV22/2))+((((AV15-AV16)/2)^2+(AW15^2-AW16^2)/4)^(AV23/2))</f>
        <v>381509.44235802442</v>
      </c>
      <c r="AW24" s="12"/>
      <c r="AX24" s="11">
        <f ca="1">((((AX15+AX16)/2)^2+(AY15^2+AY16^2)/4)^(AX22/2))+((((AX15-AX16)/2)^2+(AY15^2-AY16^2)/4)^(AX23/2))</f>
        <v>834102.89248354011</v>
      </c>
      <c r="AY24" s="12"/>
      <c r="AZ24" s="11">
        <f ca="1">((((AZ15+AZ16)/2)^2+(BA15^2+BA16^2)/4)^(AZ22/2))+((((AZ15-AZ16)/2)^2+(BA15^2-BA16^2)/4)^(AZ23/2))</f>
        <v>505552.01912042854</v>
      </c>
      <c r="BA24" s="12"/>
      <c r="BB24" s="11">
        <f ca="1">((((BB15+BB16)/2)^2+(BC15^2+BC16^2)/4)^(BB22/2))+((((BB15-BB16)/2)^2+(BC15^2-BC16^2)/4)^(BB23/2))</f>
        <v>529110.90142862941</v>
      </c>
      <c r="BC24" s="12"/>
      <c r="BD24" s="11">
        <f ca="1">((((BD15+BD16)/2)^2+(BE15^2+BE16^2)/4)^(BD22/2))+((((BD15-BD16)/2)^2+(BE15^2-BE16^2)/4)^(BD23/2))</f>
        <v>9144.8626737469913</v>
      </c>
      <c r="BE24" s="12"/>
      <c r="BF24" s="11">
        <f ca="1">((((BF15+BF16)/2)^2+(BG15^2+BG16^2)/4)^(BF22/2))+((((BF15-BF16)/2)^2+(BG15^2-BG16^2)/4)^(BF23/2))</f>
        <v>5581.0273471015371</v>
      </c>
      <c r="BG24" s="12"/>
      <c r="BH24" s="11">
        <f ca="1">((((BH15+BH16)/2)^2+(BI15^2+BI16^2)/4)^(BH22/2))+((((BH15-BH16)/2)^2+(BI15^2-BI16^2)/4)^(BH23/2))</f>
        <v>7495.0511201244772</v>
      </c>
      <c r="BI24" s="12"/>
      <c r="BJ24" s="11">
        <f ca="1">((((BJ15+BJ16)/2)^2+(BK15^2+BK16^2)/4)^(BJ22/2))+((((BJ15-BJ16)/2)^2+(BK15^2-BK16^2)/4)^(BJ23/2))</f>
        <v>149569.67034427807</v>
      </c>
      <c r="BK24" s="12"/>
      <c r="BL24" s="11">
        <f ca="1">((((BL15+BL16)/2)^2+(BM15^2+BM16^2)/4)^(BL22/2))+((((BL15-BL16)/2)^2+(BM15^2-BM16^2)/4)^(BL23/2))</f>
        <v>106726.9407556614</v>
      </c>
      <c r="BM24" s="12"/>
      <c r="BN24" s="11">
        <f ca="1">((((BN15+BN16)/2)^2+(BO15^2+BO16^2)/4)^(BN22/2))+((((BN15-BN16)/2)^2+(BO15^2-BO16^2)/4)^(BN23/2))</f>
        <v>96979.697171670588</v>
      </c>
      <c r="BO24" s="12"/>
      <c r="BP24" s="11">
        <f ca="1">((((BP15+BP16)/2)^2+(BQ15^2+BQ16^2)/4)^(BP22/2))+((((BP15-BP16)/2)^2+(BQ15^2-BQ16^2)/4)^(BP23/2))</f>
        <v>1169786.8444119717</v>
      </c>
      <c r="BQ24" s="12"/>
      <c r="BR24" s="11">
        <f ca="1">((((BR15+BR16)/2)^2+(BS15^2+BS16^2)/4)^(BR22/2))+((((BR15-BR16)/2)^2+(BS15^2-BS16^2)/4)^(BR23/2))</f>
        <v>490028.45648464694</v>
      </c>
      <c r="BS24" s="12"/>
      <c r="BT24" s="11">
        <f ca="1">((((BT15+BT16)/2)^2+(BU15^2+BU16^2)/4)^(BT22/2))+((((BT15-BT16)/2)^2+(BU15^2-BU16^2)/4)^(BT23/2))</f>
        <v>460386.96546136838</v>
      </c>
      <c r="BU24" s="12"/>
      <c r="BV24" s="5">
        <f ca="1">((((BV15+BV16)/2)^2+(BW15^2+BW16^2)/4)^(BV22/2))+((((BV15-BV16)/2)^2+(BW15^2-BW16^2)/4)^(BV23/2))</f>
        <v>604169.11179389863</v>
      </c>
      <c r="BW24" s="6"/>
      <c r="BX24" s="5">
        <f ca="1">((((BX15+BX16)/2)^2+(BY15^2+BY16^2)/4)^(BX22/2))+((((BX15-BX16)/2)^2+(BY15^2-BY16^2)/4)^(BX23/2))</f>
        <v>328477.22506580333</v>
      </c>
      <c r="BY24" s="6"/>
      <c r="BZ24" s="5">
        <f ca="1">((((BZ15+BZ16)/2)^2+(CA15^2+CA16^2)/4)^(BZ22/2))+((((BZ15-BZ16)/2)^2+(CA15^2-CA16^2)/4)^(BZ23/2))</f>
        <v>313892.38774163928</v>
      </c>
      <c r="CA24" s="6"/>
      <c r="CB24" s="5">
        <f ca="1">((((CB15+CB16)/2)^2+(CC15^2+CC16^2)/4)^(CB22/2))+((((CB15-CB16)/2)^2+(CC15^2-CC16^2)/4)^(CB23/2))</f>
        <v>714415.30178027682</v>
      </c>
      <c r="CC24" s="6"/>
      <c r="CD24" s="5">
        <f ca="1">((((CD15+CD16)/2)^2+(CE15^2+CE16^2)/4)^(CD22/2))+((((CD15-CD16)/2)^2+(CE15^2-CE16^2)/4)^(CD23/2))</f>
        <v>393960.77848127851</v>
      </c>
      <c r="CE24" s="6"/>
      <c r="CF24" s="5">
        <f ca="1">((((CF15+CF16)/2)^2+(CG15^2+CG16^2)/4)^(CF22/2))+((((CF15-CF16)/2)^2+(CG15^2-CG16^2)/4)^(CF23/2))</f>
        <v>383884.21129681071</v>
      </c>
      <c r="CG24" s="6"/>
      <c r="CH24" s="5">
        <f ca="1">((((CH15+CH16)/2)^2+(CI15^2+CI16^2)/4)^(CH22/2))+((((CH15-CH16)/2)^2+(CI15^2-CI16^2)/4)^(CH23/2))</f>
        <v>833868.06383653812</v>
      </c>
      <c r="CI24" s="6"/>
      <c r="CJ24" s="5">
        <f ca="1">((((CJ15+CJ16)/2)^2+(CK15^2+CK16^2)/4)^(CJ22/2))+((((CJ15-CJ16)/2)^2+(CK15^2-CK16^2)/4)^(CJ23/2))</f>
        <v>502166.56831948884</v>
      </c>
      <c r="CK24" s="6"/>
      <c r="CL24" s="5">
        <f ca="1">((((CL15+CL16)/2)^2+(CM15^2+CM16^2)/4)^(CL22/2))+((((CL15-CL16)/2)^2+(CM15^2-CM16^2)/4)^(CL23/2))</f>
        <v>469041.53114912997</v>
      </c>
      <c r="CM24" s="6"/>
      <c r="CN24" s="5">
        <f ca="1">((((CN15+CN16)/2)^2+(CO15^2+CO16^2)/4)^(CN22/2))+((((CN15-CN16)/2)^2+(CO15^2-CO16^2)/4)^(CN23/2))</f>
        <v>8899.2978787108786</v>
      </c>
      <c r="CO24" s="6"/>
      <c r="CP24" s="5">
        <f ca="1">((((CP15+CP16)/2)^2+(CQ15^2+CQ16^2)/4)^(CP22/2))+((((CP15-CP16)/2)^2+(CQ15^2-CQ16^2)/4)^(CP23/2))</f>
        <v>5679.4430922250767</v>
      </c>
      <c r="CQ24" s="6"/>
      <c r="CR24" s="5">
        <f ca="1">((((CR15+CR16)/2)^2+(CS15^2+CS16^2)/4)^(CR22/2))+((((CR15-CR16)/2)^2+(CS15^2-CS16^2)/4)^(CR23/2))</f>
        <v>5769.2459532515604</v>
      </c>
      <c r="CS24" s="6"/>
      <c r="CT24" s="5">
        <f ca="1">((((CT15+CT16)/2)^2+(CU15^2+CU16^2)/4)^(CT22/2))+((((CT15-CT16)/2)^2+(CU15^2-CU16^2)/4)^(CT23/2))</f>
        <v>129876.77576437857</v>
      </c>
      <c r="CU24" s="6"/>
      <c r="CV24" s="5">
        <f ca="1">((((CV15+CV16)/2)^2+(CW15^2+CW16^2)/4)^(CV22/2))+((((CV15-CV16)/2)^2+(CW15^2-CW16^2)/4)^(CV23/2))</f>
        <v>102854.13406979872</v>
      </c>
      <c r="CW24" s="6"/>
      <c r="CX24" s="5">
        <f ca="1">((((CX15+CX16)/2)^2+(CY15^2+CY16^2)/4)^(CX22/2))+((((CX15-CX16)/2)^2+(CY15^2-CY16^2)/4)^(CX23/2))</f>
        <v>95888.358544054747</v>
      </c>
      <c r="CY24" s="6"/>
      <c r="CZ24" s="5">
        <f ca="1">((((CZ15+CZ16)/2)^2+(DA15^2+DA16^2)/4)^(CZ22/2))+((((CZ15-CZ16)/2)^2+(DA15^2-DA16^2)/4)^(CZ23/2))</f>
        <v>1251312.5315605623</v>
      </c>
      <c r="DA24" s="6"/>
      <c r="DB24" s="5">
        <f ca="1">((((DB15+DB16)/2)^2+(DC15^2+DC16^2)/4)^(DB22/2))+((((DB15-DB16)/2)^2+(DC15^2-DC16^2)/4)^(DB23/2))</f>
        <v>489051.48832089588</v>
      </c>
      <c r="DC24" s="6"/>
      <c r="DD24" s="5">
        <f ca="1">((((DD15+DD16)/2)^2+(DE15^2+DE16^2)/4)^(DD22/2))+((((DD15-DD16)/2)^2+(DE15^2-DE16^2)/4)^(DD23/2))</f>
        <v>475638.95837321598</v>
      </c>
      <c r="DE24" s="6"/>
      <c r="DF24" s="9">
        <f ca="1">((((DF15+DF16)/2)^2+(DG15^2+DG16^2)/4)^(DF22/2))+((((DF15-DF16)/2)^2+(DG15^2-DG16^2)/4)^(DF23/2))</f>
        <v>575527.42816475627</v>
      </c>
      <c r="DG24" s="10"/>
      <c r="DH24" s="9">
        <f ca="1">((((DH15+DH16)/2)^2+(DI15^2+DI16^2)/4)^(DH22/2))+((((DH15-DH16)/2)^2+(DI15^2-DI16^2)/4)^(DH23/2))</f>
        <v>364891.8569025172</v>
      </c>
      <c r="DI24" s="10"/>
      <c r="DJ24" s="9">
        <f ca="1">((((DJ15+DJ16)/2)^2+(DK15^2+DK16^2)/4)^(DJ22/2))+((((DJ15-DJ16)/2)^2+(DK15^2-DK16^2)/4)^(DJ23/2))</f>
        <v>384920.87274537008</v>
      </c>
      <c r="DK24" s="10"/>
      <c r="DL24" s="9">
        <f ca="1">((((DL15+DL16)/2)^2+(DM15^2+DM16^2)/4)^(DL22/2))+((((DL15-DL16)/2)^2+(DM15^2-DM16^2)/4)^(DL23/2))</f>
        <v>639720.62823590543</v>
      </c>
      <c r="DM24" s="10"/>
      <c r="DN24" s="9">
        <f ca="1">((((DN15+DN16)/2)^2+(DO15^2+DO16^2)/4)^(DN22/2))+((((DN15-DN16)/2)^2+(DO15^2-DO16^2)/4)^(DN23/2))</f>
        <v>470209.72819499072</v>
      </c>
      <c r="DO24" s="10"/>
      <c r="DP24" s="9">
        <f ca="1">((((DP15+DP16)/2)^2+(DQ15^2+DQ16^2)/4)^(DP22/2))+((((DP15-DP16)/2)^2+(DQ15^2-DQ16^2)/4)^(DP23/2))</f>
        <v>459019.30325815076</v>
      </c>
      <c r="DQ24" s="10"/>
      <c r="DR24" s="9">
        <f ca="1">((((DR15+DR16)/2)^2+(DS15^2+DS16^2)/4)^(DR22/2))+((((DR15-DR16)/2)^2+(DS15^2-DS16^2)/4)^(DR23/2))</f>
        <v>896882.52146261267</v>
      </c>
      <c r="DS24" s="10"/>
      <c r="DT24" s="9">
        <f ca="1">((((DT15+DT16)/2)^2+(DU15^2+DU16^2)/4)^(DT22/2))+((((DT15-DT16)/2)^2+(DU15^2-DU16^2)/4)^(DT23/2))</f>
        <v>579984.97606976447</v>
      </c>
      <c r="DU24" s="10"/>
      <c r="DV24" s="9">
        <f ca="1">((((DV15+DV16)/2)^2+(DW15^2+DW16^2)/4)^(DV22/2))+((((DV15-DV16)/2)^2+(DW15^2-DW16^2)/4)^(DV23/2))</f>
        <v>542607.78710045782</v>
      </c>
      <c r="DW24" s="10"/>
      <c r="DX24" s="9">
        <f ca="1">((((DX15+DX16)/2)^2+(DY15^2+DY16^2)/4)^(DX22/2))+((((DX15-DX16)/2)^2+(DY15^2-DY16^2)/4)^(DX23/2))</f>
        <v>10080.878207401032</v>
      </c>
      <c r="DY24" s="10"/>
      <c r="DZ24" s="9">
        <f ca="1">((((DZ15+DZ16)/2)^2+(EA15^2+EA16^2)/4)^(DZ22/2))+((((DZ15-DZ16)/2)^2+(EA15^2-EA16^2)/4)^(DZ23/2))</f>
        <v>6648.7869314777781</v>
      </c>
      <c r="EA24" s="10"/>
      <c r="EB24" s="9">
        <f ca="1">((((EB15+EB16)/2)^2+(EC15^2+EC16^2)/4)^(EB22/2))+((((EB15-EB16)/2)^2+(EC15^2-EC16^2)/4)^(EB23/2))</f>
        <v>7575.5429335607714</v>
      </c>
      <c r="EC24" s="10"/>
      <c r="ED24" s="9">
        <f ca="1">((((ED15+ED16)/2)^2+(EE15^2+EE16^2)/4)^(ED22/2))+((((ED15-ED16)/2)^2+(EE15^2-EE16^2)/4)^(ED23/2))</f>
        <v>139978.35081991286</v>
      </c>
      <c r="EE24" s="10"/>
      <c r="EF24" s="9">
        <f ca="1">((((EF15+EF16)/2)^2+(EG15^2+EG16^2)/4)^(EF22/2))+((((EF15-EF16)/2)^2+(EG15^2-EG16^2)/4)^(EF23/2))</f>
        <v>121265.57258776629</v>
      </c>
      <c r="EG24" s="10"/>
      <c r="EH24" s="9">
        <f ca="1">((((EH15+EH16)/2)^2+(EI15^2+EI16^2)/4)^(EH22/2))+((((EH15-EH16)/2)^2+(EI15^2-EI16^2)/4)^(EH23/2))</f>
        <v>117156.25118707339</v>
      </c>
      <c r="EI24" s="10"/>
      <c r="EJ24" s="9">
        <f ca="1">((((EJ15+EJ16)/2)^2+(EK15^2+EK16^2)/4)^(EJ22/2))+((((EJ15-EJ16)/2)^2+(EK15^2-EK16^2)/4)^(EJ23/2))</f>
        <v>1197472.2153016541</v>
      </c>
      <c r="EK24" s="10"/>
      <c r="EL24" s="9">
        <f ca="1">((((EL15+EL16)/2)^2+(EM15^2+EM16^2)/4)^(EL22/2))+((((EL15-EL16)/2)^2+(EM15^2-EM16^2)/4)^(EL23/2))</f>
        <v>556745.21266985091</v>
      </c>
      <c r="EM24" s="10"/>
      <c r="EN24" s="9">
        <f ca="1">((((EN15+EN16)/2)^2+(EO15^2+EO16^2)/4)^(EN22/2))+((((EN15-EN16)/2)^2+(EO15^2-EO16^2)/4)^(EN23/2))</f>
        <v>559782.8986944356</v>
      </c>
      <c r="EO24" s="10"/>
    </row>
    <row r="25" spans="1:145" x14ac:dyDescent="0.25">
      <c r="A25" s="16" t="s">
        <v>31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1"/>
      <c r="AM25" s="12"/>
      <c r="AN25" s="11"/>
      <c r="AO25" s="12"/>
      <c r="AP25" s="11"/>
      <c r="AQ25" s="12"/>
      <c r="AR25" s="11"/>
      <c r="AS25" s="12"/>
      <c r="AT25" s="11"/>
      <c r="AU25" s="12"/>
      <c r="AV25" s="11"/>
      <c r="AW25" s="12"/>
      <c r="AX25" s="11"/>
      <c r="AY25" s="12"/>
      <c r="AZ25" s="11"/>
      <c r="BA25" s="12"/>
      <c r="BB25" s="11"/>
      <c r="BC25" s="12"/>
      <c r="BD25" s="11"/>
      <c r="BE25" s="12"/>
      <c r="BF25" s="11"/>
      <c r="BG25" s="12"/>
      <c r="BH25" s="11"/>
      <c r="BI25" s="12"/>
      <c r="BJ25" s="11"/>
      <c r="BK25" s="12"/>
      <c r="BL25" s="11"/>
      <c r="BM25" s="12"/>
      <c r="BN25" s="11"/>
      <c r="BO25" s="12"/>
      <c r="BP25" s="11"/>
      <c r="BQ25" s="12"/>
      <c r="BR25" s="11"/>
      <c r="BS25" s="12"/>
      <c r="BT25" s="11"/>
      <c r="BU25" s="12"/>
      <c r="BV25" s="5"/>
      <c r="BW25" s="6"/>
      <c r="BX25" s="5"/>
      <c r="BY25" s="6"/>
      <c r="BZ25" s="5"/>
      <c r="CA25" s="6"/>
      <c r="CB25" s="5"/>
      <c r="CC25" s="6"/>
      <c r="CD25" s="5"/>
      <c r="CE25" s="6"/>
      <c r="CF25" s="5"/>
      <c r="CG25" s="6"/>
      <c r="CH25" s="5"/>
      <c r="CI25" s="6"/>
      <c r="CJ25" s="5"/>
      <c r="CK25" s="6"/>
      <c r="CL25" s="5"/>
      <c r="CM25" s="6"/>
      <c r="CN25" s="5"/>
      <c r="CO25" s="6"/>
      <c r="CP25" s="5"/>
      <c r="CQ25" s="6"/>
      <c r="CR25" s="5"/>
      <c r="CS25" s="6"/>
      <c r="CT25" s="5"/>
      <c r="CU25" s="6"/>
      <c r="CV25" s="5"/>
      <c r="CW25" s="6"/>
      <c r="CX25" s="5"/>
      <c r="CY25" s="6"/>
      <c r="CZ25" s="5"/>
      <c r="DA25" s="6"/>
      <c r="DB25" s="5"/>
      <c r="DC25" s="6"/>
      <c r="DD25" s="5"/>
      <c r="DE25" s="6"/>
      <c r="DF25" s="9"/>
      <c r="DG25" s="10"/>
      <c r="DH25" s="9"/>
      <c r="DI25" s="10"/>
      <c r="DJ25" s="9"/>
      <c r="DK25" s="10"/>
      <c r="DL25" s="9"/>
      <c r="DM25" s="10"/>
      <c r="DN25" s="9"/>
      <c r="DO25" s="10"/>
      <c r="DP25" s="9"/>
      <c r="DQ25" s="10"/>
      <c r="DR25" s="9"/>
      <c r="DS25" s="10"/>
      <c r="DT25" s="9"/>
      <c r="DU25" s="10"/>
      <c r="DV25" s="9"/>
      <c r="DW25" s="10"/>
      <c r="DX25" s="9"/>
      <c r="DY25" s="10"/>
      <c r="DZ25" s="9"/>
      <c r="EA25" s="10"/>
      <c r="EB25" s="9"/>
      <c r="EC25" s="10"/>
      <c r="ED25" s="9"/>
      <c r="EE25" s="10"/>
      <c r="EF25" s="9"/>
      <c r="EG25" s="10"/>
      <c r="EH25" s="9"/>
      <c r="EI25" s="10"/>
      <c r="EJ25" s="9"/>
      <c r="EK25" s="10"/>
      <c r="EL25" s="9"/>
      <c r="EM25" s="10"/>
      <c r="EN25" s="9"/>
      <c r="EO25" s="10"/>
    </row>
    <row r="26" spans="1:145" x14ac:dyDescent="0.25">
      <c r="A26" s="14" t="s">
        <v>32</v>
      </c>
      <c r="B26" s="8">
        <f>'типовая конструкция'!B26</f>
        <v>6</v>
      </c>
      <c r="C26" s="8"/>
      <c r="D26" s="8">
        <f>B26</f>
        <v>6</v>
      </c>
      <c r="E26" s="8"/>
      <c r="F26" s="8">
        <f>D26</f>
        <v>6</v>
      </c>
      <c r="G26" s="8"/>
      <c r="H26" s="8">
        <f>F26</f>
        <v>6</v>
      </c>
      <c r="I26" s="8"/>
      <c r="J26" s="8">
        <f>H26</f>
        <v>6</v>
      </c>
      <c r="K26" s="8"/>
      <c r="L26" s="8">
        <f>J26</f>
        <v>6</v>
      </c>
      <c r="M26" s="8"/>
      <c r="N26" s="8">
        <f>L26</f>
        <v>6</v>
      </c>
      <c r="O26" s="8"/>
      <c r="P26" s="8">
        <f>N26</f>
        <v>6</v>
      </c>
      <c r="Q26" s="8"/>
      <c r="R26" s="8">
        <f>P26</f>
        <v>6</v>
      </c>
      <c r="S26" s="8"/>
      <c r="T26" s="8">
        <f>R26</f>
        <v>6</v>
      </c>
      <c r="U26" s="8"/>
      <c r="V26" s="8">
        <f>T26</f>
        <v>6</v>
      </c>
      <c r="W26" s="8"/>
      <c r="X26" s="8">
        <f>V26</f>
        <v>6</v>
      </c>
      <c r="Y26" s="8"/>
      <c r="Z26" s="8">
        <f>X26</f>
        <v>6</v>
      </c>
      <c r="AA26" s="8"/>
      <c r="AB26" s="8">
        <f>Z26</f>
        <v>6</v>
      </c>
      <c r="AC26" s="8"/>
      <c r="AD26" s="8">
        <f>AB26</f>
        <v>6</v>
      </c>
      <c r="AE26" s="8"/>
      <c r="AF26" s="8">
        <f>AD26</f>
        <v>6</v>
      </c>
      <c r="AG26" s="8"/>
      <c r="AH26" s="8">
        <f>AF26</f>
        <v>6</v>
      </c>
      <c r="AI26" s="8"/>
      <c r="AJ26" s="8">
        <f>AH26</f>
        <v>6</v>
      </c>
      <c r="AK26" s="8"/>
      <c r="AL26" s="8">
        <f>AJ26</f>
        <v>6</v>
      </c>
      <c r="AM26" s="8"/>
      <c r="AN26" s="8">
        <f>AL26</f>
        <v>6</v>
      </c>
      <c r="AO26" s="8"/>
      <c r="AP26" s="8">
        <f>AN26</f>
        <v>6</v>
      </c>
      <c r="AQ26" s="8"/>
      <c r="AR26" s="8">
        <f>AP26</f>
        <v>6</v>
      </c>
      <c r="AS26" s="8"/>
      <c r="AT26" s="8">
        <f>AR26</f>
        <v>6</v>
      </c>
      <c r="AU26" s="8"/>
      <c r="AV26" s="8">
        <f>AT26</f>
        <v>6</v>
      </c>
      <c r="AW26" s="8"/>
      <c r="AX26" s="8">
        <f>AV26</f>
        <v>6</v>
      </c>
      <c r="AY26" s="8"/>
      <c r="AZ26" s="8">
        <f>AX26</f>
        <v>6</v>
      </c>
      <c r="BA26" s="8"/>
      <c r="BB26" s="8">
        <f>AZ26</f>
        <v>6</v>
      </c>
      <c r="BC26" s="8"/>
      <c r="BD26" s="8">
        <f>BB26</f>
        <v>6</v>
      </c>
      <c r="BE26" s="8"/>
      <c r="BF26" s="8">
        <f>BD26</f>
        <v>6</v>
      </c>
      <c r="BG26" s="8"/>
      <c r="BH26" s="8">
        <f>BF26</f>
        <v>6</v>
      </c>
      <c r="BI26" s="8"/>
      <c r="BJ26" s="8">
        <f>BH26</f>
        <v>6</v>
      </c>
      <c r="BK26" s="8"/>
      <c r="BL26" s="8">
        <f>BJ26</f>
        <v>6</v>
      </c>
      <c r="BM26" s="8"/>
      <c r="BN26" s="8">
        <f>BL26</f>
        <v>6</v>
      </c>
      <c r="BO26" s="8"/>
      <c r="BP26" s="8">
        <f>BN26</f>
        <v>6</v>
      </c>
      <c r="BQ26" s="8"/>
      <c r="BR26" s="8">
        <f>BP26</f>
        <v>6</v>
      </c>
      <c r="BS26" s="12"/>
      <c r="BT26" s="11">
        <f>BR26</f>
        <v>6</v>
      </c>
      <c r="BU26" s="12"/>
      <c r="BV26" s="8">
        <f>BT26</f>
        <v>6</v>
      </c>
      <c r="BW26" s="8"/>
      <c r="BX26" s="8">
        <f>BV26</f>
        <v>6</v>
      </c>
      <c r="BY26" s="8"/>
      <c r="BZ26" s="8">
        <f>BX26</f>
        <v>6</v>
      </c>
      <c r="CA26" s="8"/>
      <c r="CB26" s="8">
        <f>BZ26</f>
        <v>6</v>
      </c>
      <c r="CC26" s="8"/>
      <c r="CD26" s="8">
        <f>CB26</f>
        <v>6</v>
      </c>
      <c r="CE26" s="8"/>
      <c r="CF26" s="8">
        <f>CD26</f>
        <v>6</v>
      </c>
      <c r="CG26" s="8"/>
      <c r="CH26" s="8">
        <f>CF26</f>
        <v>6</v>
      </c>
      <c r="CI26" s="8"/>
      <c r="CJ26" s="8">
        <f>CH26</f>
        <v>6</v>
      </c>
      <c r="CK26" s="8"/>
      <c r="CL26" s="8">
        <f>CJ26</f>
        <v>6</v>
      </c>
      <c r="CM26" s="8"/>
      <c r="CN26" s="8">
        <f>CL26</f>
        <v>6</v>
      </c>
      <c r="CO26" s="8"/>
      <c r="CP26" s="8">
        <f>CN26</f>
        <v>6</v>
      </c>
      <c r="CQ26" s="8"/>
      <c r="CR26" s="8">
        <f>CP26</f>
        <v>6</v>
      </c>
      <c r="CS26" s="8"/>
      <c r="CT26" s="8">
        <f>CR26</f>
        <v>6</v>
      </c>
      <c r="CU26" s="8"/>
      <c r="CV26" s="8">
        <f>CT26</f>
        <v>6</v>
      </c>
      <c r="CW26" s="8"/>
      <c r="CX26" s="8">
        <f>CV26</f>
        <v>6</v>
      </c>
      <c r="CY26" s="8"/>
      <c r="CZ26" s="8">
        <f>CX26</f>
        <v>6</v>
      </c>
      <c r="DA26" s="8"/>
      <c r="DB26" s="8">
        <f>CZ26</f>
        <v>6</v>
      </c>
      <c r="DC26" s="12"/>
      <c r="DD26" s="11">
        <f>DB26</f>
        <v>6</v>
      </c>
      <c r="DE26" s="12"/>
      <c r="DF26" s="8">
        <f>DD26</f>
        <v>6</v>
      </c>
      <c r="DG26" s="8"/>
      <c r="DH26" s="8">
        <f>DF26</f>
        <v>6</v>
      </c>
      <c r="DI26" s="8"/>
      <c r="DJ26" s="8">
        <f>DH26</f>
        <v>6</v>
      </c>
      <c r="DK26" s="8"/>
      <c r="DL26" s="8">
        <f>DJ26</f>
        <v>6</v>
      </c>
      <c r="DM26" s="8"/>
      <c r="DN26" s="8">
        <f>DL26</f>
        <v>6</v>
      </c>
      <c r="DO26" s="8"/>
      <c r="DP26" s="8">
        <f>DN26</f>
        <v>6</v>
      </c>
      <c r="DQ26" s="8"/>
      <c r="DR26" s="8">
        <f>DP26</f>
        <v>6</v>
      </c>
      <c r="DS26" s="8"/>
      <c r="DT26" s="8">
        <f>DR26</f>
        <v>6</v>
      </c>
      <c r="DU26" s="8"/>
      <c r="DV26" s="8">
        <f>DT26</f>
        <v>6</v>
      </c>
      <c r="DW26" s="8"/>
      <c r="DX26" s="8">
        <f>DV26</f>
        <v>6</v>
      </c>
      <c r="DY26" s="8"/>
      <c r="DZ26" s="8">
        <f>DX26</f>
        <v>6</v>
      </c>
      <c r="EA26" s="8"/>
      <c r="EB26" s="8">
        <f>DZ26</f>
        <v>6</v>
      </c>
      <c r="EC26" s="8"/>
      <c r="ED26" s="8">
        <f>EB26</f>
        <v>6</v>
      </c>
      <c r="EE26" s="8"/>
      <c r="EF26" s="8">
        <f>ED26</f>
        <v>6</v>
      </c>
      <c r="EG26" s="8"/>
      <c r="EH26" s="8">
        <f>EF26</f>
        <v>6</v>
      </c>
      <c r="EI26" s="8"/>
      <c r="EJ26" s="8">
        <f>EH26</f>
        <v>6</v>
      </c>
      <c r="EK26" s="8"/>
      <c r="EL26" s="8">
        <f>EJ26</f>
        <v>6</v>
      </c>
      <c r="EM26" s="12"/>
      <c r="EN26" s="11">
        <f>EL26</f>
        <v>6</v>
      </c>
      <c r="EO26" s="12"/>
    </row>
    <row r="27" spans="1:145" x14ac:dyDescent="0.25">
      <c r="A27" s="14" t="s">
        <v>33</v>
      </c>
      <c r="B27" s="8">
        <f>'типовая конструкция'!B27</f>
        <v>4</v>
      </c>
      <c r="C27" s="8"/>
      <c r="D27" s="8">
        <f>B27</f>
        <v>4</v>
      </c>
      <c r="E27" s="8"/>
      <c r="F27" s="8">
        <f>D27</f>
        <v>4</v>
      </c>
      <c r="G27" s="8"/>
      <c r="H27" s="8">
        <f>F27</f>
        <v>4</v>
      </c>
      <c r="I27" s="8"/>
      <c r="J27" s="8">
        <f>H27</f>
        <v>4</v>
      </c>
      <c r="K27" s="8"/>
      <c r="L27" s="8">
        <f>J27</f>
        <v>4</v>
      </c>
      <c r="M27" s="8"/>
      <c r="N27" s="8">
        <f>L27</f>
        <v>4</v>
      </c>
      <c r="O27" s="8"/>
      <c r="P27" s="8">
        <f>N27</f>
        <v>4</v>
      </c>
      <c r="Q27" s="8"/>
      <c r="R27" s="8">
        <f>P27</f>
        <v>4</v>
      </c>
      <c r="S27" s="8"/>
      <c r="T27" s="8">
        <f>R27</f>
        <v>4</v>
      </c>
      <c r="U27" s="8"/>
      <c r="V27" s="8">
        <f>T27</f>
        <v>4</v>
      </c>
      <c r="W27" s="8"/>
      <c r="X27" s="8">
        <f>V27</f>
        <v>4</v>
      </c>
      <c r="Y27" s="8"/>
      <c r="Z27" s="8">
        <f>X27</f>
        <v>4</v>
      </c>
      <c r="AA27" s="8"/>
      <c r="AB27" s="8">
        <f>Z27</f>
        <v>4</v>
      </c>
      <c r="AC27" s="8"/>
      <c r="AD27" s="8">
        <f>AB27</f>
        <v>4</v>
      </c>
      <c r="AE27" s="8"/>
      <c r="AF27" s="8">
        <f>AD27</f>
        <v>4</v>
      </c>
      <c r="AG27" s="8"/>
      <c r="AH27" s="8">
        <f>AF27</f>
        <v>4</v>
      </c>
      <c r="AI27" s="8"/>
      <c r="AJ27" s="8">
        <f>AH27</f>
        <v>4</v>
      </c>
      <c r="AK27" s="8"/>
      <c r="AL27" s="8">
        <f>AJ27</f>
        <v>4</v>
      </c>
      <c r="AM27" s="8"/>
      <c r="AN27" s="8">
        <f>AL27</f>
        <v>4</v>
      </c>
      <c r="AO27" s="8"/>
      <c r="AP27" s="8">
        <f>AN27</f>
        <v>4</v>
      </c>
      <c r="AQ27" s="8"/>
      <c r="AR27" s="8">
        <f>AP27</f>
        <v>4</v>
      </c>
      <c r="AS27" s="8"/>
      <c r="AT27" s="8">
        <f>AR27</f>
        <v>4</v>
      </c>
      <c r="AU27" s="8"/>
      <c r="AV27" s="8">
        <f>AT27</f>
        <v>4</v>
      </c>
      <c r="AW27" s="8"/>
      <c r="AX27" s="8">
        <f>AV27</f>
        <v>4</v>
      </c>
      <c r="AY27" s="8"/>
      <c r="AZ27" s="8">
        <f>AX27</f>
        <v>4</v>
      </c>
      <c r="BA27" s="8"/>
      <c r="BB27" s="8">
        <f>AZ27</f>
        <v>4</v>
      </c>
      <c r="BC27" s="8"/>
      <c r="BD27" s="8">
        <f>BB27</f>
        <v>4</v>
      </c>
      <c r="BE27" s="8"/>
      <c r="BF27" s="8">
        <f>BD27</f>
        <v>4</v>
      </c>
      <c r="BG27" s="8"/>
      <c r="BH27" s="8">
        <f>BF27</f>
        <v>4</v>
      </c>
      <c r="BI27" s="8"/>
      <c r="BJ27" s="8">
        <f>BH27</f>
        <v>4</v>
      </c>
      <c r="BK27" s="8"/>
      <c r="BL27" s="8">
        <f>BJ27</f>
        <v>4</v>
      </c>
      <c r="BM27" s="8"/>
      <c r="BN27" s="8">
        <f>BL27</f>
        <v>4</v>
      </c>
      <c r="BO27" s="8"/>
      <c r="BP27" s="8">
        <f>BN27</f>
        <v>4</v>
      </c>
      <c r="BQ27" s="8"/>
      <c r="BR27" s="8">
        <f>BP27</f>
        <v>4</v>
      </c>
      <c r="BS27" s="12"/>
      <c r="BT27" s="11">
        <f>BR27</f>
        <v>4</v>
      </c>
      <c r="BU27" s="12"/>
      <c r="BV27" s="8">
        <f>BT27</f>
        <v>4</v>
      </c>
      <c r="BW27" s="8"/>
      <c r="BX27" s="8">
        <f>BV27</f>
        <v>4</v>
      </c>
      <c r="BY27" s="8"/>
      <c r="BZ27" s="8">
        <f>BX27</f>
        <v>4</v>
      </c>
      <c r="CA27" s="8"/>
      <c r="CB27" s="8">
        <f>BZ27</f>
        <v>4</v>
      </c>
      <c r="CC27" s="8"/>
      <c r="CD27" s="8">
        <f>CB27</f>
        <v>4</v>
      </c>
      <c r="CE27" s="8"/>
      <c r="CF27" s="8">
        <f>CD27</f>
        <v>4</v>
      </c>
      <c r="CG27" s="8"/>
      <c r="CH27" s="8">
        <f>CF27</f>
        <v>4</v>
      </c>
      <c r="CI27" s="8"/>
      <c r="CJ27" s="8">
        <f>CH27</f>
        <v>4</v>
      </c>
      <c r="CK27" s="8"/>
      <c r="CL27" s="8">
        <f>CJ27</f>
        <v>4</v>
      </c>
      <c r="CM27" s="8"/>
      <c r="CN27" s="8">
        <f>CL27</f>
        <v>4</v>
      </c>
      <c r="CO27" s="8"/>
      <c r="CP27" s="8">
        <f>CN27</f>
        <v>4</v>
      </c>
      <c r="CQ27" s="8"/>
      <c r="CR27" s="8">
        <f>CP27</f>
        <v>4</v>
      </c>
      <c r="CS27" s="8"/>
      <c r="CT27" s="8">
        <f>CR27</f>
        <v>4</v>
      </c>
      <c r="CU27" s="8"/>
      <c r="CV27" s="8">
        <f>CT27</f>
        <v>4</v>
      </c>
      <c r="CW27" s="8"/>
      <c r="CX27" s="8">
        <f>CV27</f>
        <v>4</v>
      </c>
      <c r="CY27" s="8"/>
      <c r="CZ27" s="8">
        <f>CX27</f>
        <v>4</v>
      </c>
      <c r="DA27" s="8"/>
      <c r="DB27" s="8">
        <f>CZ27</f>
        <v>4</v>
      </c>
      <c r="DC27" s="12"/>
      <c r="DD27" s="11">
        <f>DB27</f>
        <v>4</v>
      </c>
      <c r="DE27" s="12"/>
      <c r="DF27" s="8">
        <f>DD27</f>
        <v>4</v>
      </c>
      <c r="DG27" s="8"/>
      <c r="DH27" s="8">
        <f>DF27</f>
        <v>4</v>
      </c>
      <c r="DI27" s="8"/>
      <c r="DJ27" s="8">
        <f>DH27</f>
        <v>4</v>
      </c>
      <c r="DK27" s="8"/>
      <c r="DL27" s="8">
        <f>DJ27</f>
        <v>4</v>
      </c>
      <c r="DM27" s="8"/>
      <c r="DN27" s="8">
        <f>DL27</f>
        <v>4</v>
      </c>
      <c r="DO27" s="8"/>
      <c r="DP27" s="8">
        <f>DN27</f>
        <v>4</v>
      </c>
      <c r="DQ27" s="8"/>
      <c r="DR27" s="8">
        <f>DP27</f>
        <v>4</v>
      </c>
      <c r="DS27" s="8"/>
      <c r="DT27" s="8">
        <f>DR27</f>
        <v>4</v>
      </c>
      <c r="DU27" s="8"/>
      <c r="DV27" s="8">
        <f>DT27</f>
        <v>4</v>
      </c>
      <c r="DW27" s="8"/>
      <c r="DX27" s="8">
        <f>DV27</f>
        <v>4</v>
      </c>
      <c r="DY27" s="8"/>
      <c r="DZ27" s="8">
        <f>DX27</f>
        <v>4</v>
      </c>
      <c r="EA27" s="8"/>
      <c r="EB27" s="8">
        <f>DZ27</f>
        <v>4</v>
      </c>
      <c r="EC27" s="8"/>
      <c r="ED27" s="8">
        <f>EB27</f>
        <v>4</v>
      </c>
      <c r="EE27" s="8"/>
      <c r="EF27" s="8">
        <f>ED27</f>
        <v>4</v>
      </c>
      <c r="EG27" s="8"/>
      <c r="EH27" s="8">
        <f>EF27</f>
        <v>4</v>
      </c>
      <c r="EI27" s="8"/>
      <c r="EJ27" s="8">
        <f>EH27</f>
        <v>4</v>
      </c>
      <c r="EK27" s="8"/>
      <c r="EL27" s="8">
        <f>EJ27</f>
        <v>4</v>
      </c>
      <c r="EM27" s="12"/>
      <c r="EN27" s="11">
        <f>EL27</f>
        <v>4</v>
      </c>
      <c r="EO27" s="12"/>
    </row>
    <row r="28" spans="1:145" hidden="1" x14ac:dyDescent="0.25">
      <c r="A28" s="14" t="s">
        <v>34</v>
      </c>
      <c r="B28" s="8">
        <f>(B17*B17+C17*C17)^(B26/2)+(B18*B18+C18*C18)^(B27/2)</f>
        <v>2492708231.3228941</v>
      </c>
      <c r="C28" s="8"/>
      <c r="D28" s="8">
        <f t="shared" ref="D28" si="25">(D17*D17+E17*E17)^(D26/2)+(D18*D18+E18*E18)^(D27/2)</f>
        <v>2192494728.2627892</v>
      </c>
      <c r="E28" s="8"/>
      <c r="F28" s="8">
        <f t="shared" ref="F28" si="26">(F17*F17+G17*G17)^(F26/2)+(F18*F18+G18*G18)^(F27/2)</f>
        <v>2190217292.8615952</v>
      </c>
      <c r="G28" s="8"/>
      <c r="H28" s="8">
        <f t="shared" ref="H28" si="27">(H17*H17+I17*I17)^(H26/2)+(H18*H18+I18*I18)^(H27/2)</f>
        <v>3015198846.611289</v>
      </c>
      <c r="I28" s="8"/>
      <c r="J28" s="8">
        <f t="shared" ref="J28" si="28">(J17*J17+K17*K17)^(J26/2)+(J18*J18+K18*K18)^(J27/2)</f>
        <v>3101608088.5215807</v>
      </c>
      <c r="K28" s="8"/>
      <c r="L28" s="8">
        <f t="shared" ref="L28" si="29">(L17*L17+M17*M17)^(L26/2)+(L18*L18+M18*M18)^(L27/2)</f>
        <v>3200698728.1772122</v>
      </c>
      <c r="M28" s="8"/>
      <c r="N28" s="8">
        <f t="shared" ref="N28" si="30">(N17*N17+O17*O17)^(N26/2)+(N18*N18+O18*O18)^(N27/2)</f>
        <v>5542753240.4486752</v>
      </c>
      <c r="O28" s="8"/>
      <c r="P28" s="8">
        <f t="shared" ref="P28" si="31">(P17*P17+Q17*Q17)^(P26/2)+(P18*P18+Q18*Q18)^(P27/2)</f>
        <v>5511324640.6186323</v>
      </c>
      <c r="Q28" s="8"/>
      <c r="R28" s="8">
        <f t="shared" ref="R28" si="32">(R17*R17+S17*S17)^(R26/2)+(R18*R18+S18*S18)^(R27/2)</f>
        <v>5165444747.4759789</v>
      </c>
      <c r="S28" s="8"/>
      <c r="T28" s="8">
        <f t="shared" ref="T28" si="33">(T17*T17+U17*U17)^(T26/2)+(T18*T18+U18*U18)^(T27/2)</f>
        <v>623647.71620996622</v>
      </c>
      <c r="U28" s="8"/>
      <c r="V28" s="8">
        <f t="shared" ref="V28" si="34">(V17*V17+W17*W17)^(V26/2)+(V18*V18+W18*W18)^(V27/2)</f>
        <v>569856.09033829253</v>
      </c>
      <c r="W28" s="8"/>
      <c r="X28" s="8">
        <f t="shared" ref="X28" si="35">(X17*X17+Y17*Y17)^(X26/2)+(X18*X18+Y18*Y18)^(X27/2)</f>
        <v>604273.41954999289</v>
      </c>
      <c r="Y28" s="8"/>
      <c r="Z28" s="8">
        <f t="shared" ref="Z28" si="36">(Z17*Z17+AA17*AA17)^(Z26/2)+(Z18*Z18+AA18*AA18)^(Z27/2)</f>
        <v>243113015.86669138</v>
      </c>
      <c r="AA28" s="8"/>
      <c r="AB28" s="8">
        <f t="shared" ref="AB28" si="37">(AB17*AB17+AC17*AC17)^(AB26/2)+(AB18*AB18+AC18*AC18)^(AB27/2)</f>
        <v>215784600.07236502</v>
      </c>
      <c r="AC28" s="8"/>
      <c r="AD28" s="8">
        <f t="shared" ref="AD28" si="38">(AD17*AD17+AE17*AE17)^(AD26/2)+(AD18*AD18+AE18*AE18)^(AD27/2)</f>
        <v>212821789.79512635</v>
      </c>
      <c r="AE28" s="8"/>
      <c r="AF28" s="8">
        <f t="shared" ref="AF28" ca="1" si="39">(AF17*AF17+AG17*AG17)^(AF26/2)+(AF18*AF18+AG18*AG18)^(AF27/2)</f>
        <v>4041350165.8130927</v>
      </c>
      <c r="AG28" s="8"/>
      <c r="AH28" s="8">
        <f t="shared" ref="AH28" ca="1" si="40">(AH17*AH17+AI17*AI17)^(AH26/2)+(AH18*AH18+AI18*AI18)^(AH27/2)</f>
        <v>4653968426.4001169</v>
      </c>
      <c r="AI28" s="8"/>
      <c r="AJ28" s="8">
        <f t="shared" ref="AJ28" ca="1" si="41">(AJ17*AJ17+AK17*AK17)^(AJ26/2)+(AJ18*AJ18+AK18*AK18)^(AJ27/2)</f>
        <v>4488098790.9371367</v>
      </c>
      <c r="AK28" s="8"/>
      <c r="AL28" s="11">
        <f t="shared" ref="AL28" si="42">(AL17*AL17+AM17*AM17)^(AL26/2)+(AL18*AL18+AM18*AM18)^(AL27/2)</f>
        <v>2653307886.1475806</v>
      </c>
      <c r="AM28" s="12"/>
      <c r="AN28" s="11">
        <f t="shared" ref="AN28" si="43">(AN17*AN17+AO17*AO17)^(AN26/2)+(AN18*AN18+AO18*AO18)^(AN27/2)</f>
        <v>2133229150.5876288</v>
      </c>
      <c r="AO28" s="12"/>
      <c r="AP28" s="11">
        <f t="shared" ref="AP28" si="44">(AP17*AP17+AQ17*AQ17)^(AP26/2)+(AP18*AP18+AQ18*AQ18)^(AP27/2)</f>
        <v>2167604884.0203252</v>
      </c>
      <c r="AQ28" s="12"/>
      <c r="AR28" s="11">
        <f t="shared" ref="AR28" si="45">(AR17*AR17+AS17*AS17)^(AR26/2)+(AR18*AR18+AS18*AS18)^(AR27/2)</f>
        <v>3234473284.6153193</v>
      </c>
      <c r="AS28" s="12"/>
      <c r="AT28" s="11">
        <f t="shared" ref="AT28" si="46">(AT17*AT17+AU17*AU17)^(AT26/2)+(AT18*AT18+AU18*AU18)^(AT27/2)</f>
        <v>3156804958.5285759</v>
      </c>
      <c r="AU28" s="12"/>
      <c r="AV28" s="11">
        <f t="shared" ref="AV28" si="47">(AV17*AV17+AW17*AW17)^(AV26/2)+(AV18*AV18+AW18*AW18)^(AV27/2)</f>
        <v>3144865945.5508971</v>
      </c>
      <c r="AW28" s="12"/>
      <c r="AX28" s="11">
        <f t="shared" ref="AX28" si="48">(AX17*AX17+AY17*AY17)^(AX26/2)+(AX18*AX18+AY18*AY18)^(AX27/2)</f>
        <v>5099307491.7146215</v>
      </c>
      <c r="AY28" s="12"/>
      <c r="AZ28" s="11">
        <f t="shared" ref="AZ28" si="49">(AZ17*AZ17+BA17*BA17)^(AZ26/2)+(AZ18*AZ18+BA18*BA18)^(AZ27/2)</f>
        <v>5197492609.6236</v>
      </c>
      <c r="BA28" s="12"/>
      <c r="BB28" s="11">
        <f t="shared" ref="BB28" si="50">(BB17*BB17+BC17*BC17)^(BB26/2)+(BB18*BB18+BC18*BC18)^(BB27/2)</f>
        <v>5202950042.3784237</v>
      </c>
      <c r="BC28" s="12"/>
      <c r="BD28" s="11">
        <f t="shared" ref="BD28" si="51">(BD17*BD17+BE17*BE17)^(BD26/2)+(BD18*BD18+BE18*BE18)^(BD27/2)</f>
        <v>618498.79550069803</v>
      </c>
      <c r="BE28" s="12"/>
      <c r="BF28" s="11">
        <f t="shared" ref="BF28" si="52">(BF17*BF17+BG17*BG17)^(BF26/2)+(BF18*BF18+BG18*BG18)^(BF27/2)</f>
        <v>590756.89720623032</v>
      </c>
      <c r="BG28" s="12"/>
      <c r="BH28" s="11">
        <f t="shared" ref="BH28" si="53">(BH17*BH17+BI17*BI17)^(BH26/2)+(BH18*BH18+BI18*BI18)^(BH27/2)</f>
        <v>1033526.3849062992</v>
      </c>
      <c r="BI28" s="12"/>
      <c r="BJ28" s="11">
        <f t="shared" ref="BJ28" si="54">(BJ17*BJ17+BK17*BK17)^(BJ26/2)+(BJ18*BJ18+BK18*BK18)^(BJ27/2)</f>
        <v>258094374.45856178</v>
      </c>
      <c r="BK28" s="12"/>
      <c r="BL28" s="11">
        <f t="shared" ref="BL28" si="55">(BL17*BL17+BM17*BM17)^(BL26/2)+(BL18*BL18+BM18*BM18)^(BL27/2)</f>
        <v>208277228.06658897</v>
      </c>
      <c r="BM28" s="12"/>
      <c r="BN28" s="11">
        <f t="shared" ref="BN28" si="56">(BN17*BN17+BO17*BO17)^(BN26/2)+(BN18*BN18+BO18*BO18)^(BN27/2)</f>
        <v>211681425.79613635</v>
      </c>
      <c r="BO28" s="12"/>
      <c r="BP28" s="11">
        <f t="shared" ref="BP28" ca="1" si="57">(BP17*BP17+BQ17*BQ17)^(BP26/2)+(BP18*BP18+BQ18*BQ18)^(BP27/2)</f>
        <v>4640683994.7330742</v>
      </c>
      <c r="BQ28" s="12"/>
      <c r="BR28" s="11">
        <f t="shared" ref="BR28" ca="1" si="58">(BR17*BR17+BS17*BS17)^(BR26/2)+(BR18*BR18+BS18*BS18)^(BR27/2)</f>
        <v>4580212613.3175936</v>
      </c>
      <c r="BS28" s="12"/>
      <c r="BT28" s="11">
        <f t="shared" ref="BT28" ca="1" si="59">(BT17*BT17+BU17*BU17)^(BT26/2)+(BT18*BT18+BU18*BU18)^(BT27/2)</f>
        <v>4336096313.3223305</v>
      </c>
      <c r="BU28" s="12"/>
      <c r="BV28" s="5">
        <f t="shared" ref="BV28" si="60">(BV17*BV17+BW17*BW17)^(BV26/2)+(BV18*BV18+BW18*BW18)^(BV27/2)</f>
        <v>2327677477.9097695</v>
      </c>
      <c r="BW28" s="6"/>
      <c r="BX28" s="5">
        <f t="shared" ref="BX28" si="61">(BX17*BX17+BY17*BY17)^(BX26/2)+(BX18*BX18+BY18*BY18)^(BX27/2)</f>
        <v>2123622461.4211946</v>
      </c>
      <c r="BY28" s="6"/>
      <c r="BZ28" s="5">
        <f t="shared" ref="BZ28" si="62">(BZ17*BZ17+CA17*CA17)^(BZ26/2)+(BZ18*BZ18+CA18*CA18)^(BZ27/2)</f>
        <v>2055002560.6011362</v>
      </c>
      <c r="CA28" s="6"/>
      <c r="CB28" s="5">
        <f t="shared" ref="CB28" si="63">(CB17*CB17+CC17*CC17)^(CB26/2)+(CB18*CB18+CC18*CC18)^(CB27/2)</f>
        <v>3282545393.8121438</v>
      </c>
      <c r="CC28" s="6"/>
      <c r="CD28" s="5">
        <f t="shared" ref="CD28" si="64">(CD17*CD17+CE17*CE17)^(CD26/2)+(CD18*CD18+CE18*CE18)^(CD27/2)</f>
        <v>3103539463.2651653</v>
      </c>
      <c r="CE28" s="6"/>
      <c r="CF28" s="5">
        <f t="shared" ref="CF28" si="65">(CF17*CF17+CG17*CG17)^(CF26/2)+(CF18*CF18+CG18*CG18)^(CF27/2)</f>
        <v>3119381485.1864285</v>
      </c>
      <c r="CG28" s="6"/>
      <c r="CH28" s="5">
        <f t="shared" ref="CH28" si="66">(CH17*CH17+CI17*CI17)^(CH26/2)+(CH18*CH18+CI18*CI18)^(CH27/2)</f>
        <v>4847664376.4757042</v>
      </c>
      <c r="CI28" s="6"/>
      <c r="CJ28" s="5">
        <f t="shared" ref="CJ28" si="67">(CJ17*CJ17+CK17*CK17)^(CJ26/2)+(CJ18*CJ18+CK18*CK18)^(CJ27/2)</f>
        <v>5214305321.993104</v>
      </c>
      <c r="CK28" s="6"/>
      <c r="CL28" s="5">
        <f t="shared" ref="CL28" si="68">(CL17*CL17+CM17*CM17)^(CL26/2)+(CL18*CL18+CM18*CM18)^(CL27/2)</f>
        <v>4562743268.0369558</v>
      </c>
      <c r="CM28" s="6"/>
      <c r="CN28" s="5">
        <f t="shared" ref="CN28" si="69">(CN17*CN17+CO17*CO17)^(CN26/2)+(CN18*CN18+CO18*CO18)^(CN27/2)</f>
        <v>586648.08489599579</v>
      </c>
      <c r="CO28" s="6"/>
      <c r="CP28" s="5">
        <f t="shared" ref="CP28" si="70">(CP17*CP17+CQ17*CQ17)^(CP26/2)+(CP18*CP18+CQ18*CQ18)^(CP27/2)</f>
        <v>633600.54537795612</v>
      </c>
      <c r="CQ28" s="6"/>
      <c r="CR28" s="5">
        <f t="shared" ref="CR28" ca="1" si="71">(CR17*CR17+CS17*CS17)^(CR26/2)+(CR18*CR18+CS18*CS18)^(CR27/2)</f>
        <v>770114.10802580824</v>
      </c>
      <c r="CS28" s="6"/>
      <c r="CT28" s="5">
        <f t="shared" ref="CT28" si="72">(CT17*CT17+CU17*CU17)^(CT26/2)+(CT18*CT18+CU18*CU18)^(CT27/2)</f>
        <v>224631884.8415288</v>
      </c>
      <c r="CU28" s="6"/>
      <c r="CV28" s="5">
        <f t="shared" ref="CV28" si="73">(CV17*CV17+CW17*CW17)^(CV26/2)+(CV18*CV18+CW18*CW18)^(CV27/2)</f>
        <v>206773391.46494472</v>
      </c>
      <c r="CW28" s="6"/>
      <c r="CX28" s="5">
        <f t="shared" ref="CX28" si="74">(CX17*CX17+CY17*CY17)^(CX26/2)+(CX18*CX18+CY18*CY18)^(CX27/2)</f>
        <v>198732034.24731591</v>
      </c>
      <c r="CY28" s="6"/>
      <c r="CZ28" s="5">
        <f t="shared" ref="CZ28" ca="1" si="75">(CZ17*CZ17+DA17*DA17)^(CZ26/2)+(CZ18*CZ18+DA18*DA18)^(CZ27/2)</f>
        <v>4789958713.7966805</v>
      </c>
      <c r="DA28" s="6"/>
      <c r="DB28" s="5">
        <f t="shared" ref="DB28" ca="1" si="76">(DB17*DB17+DC17*DC17)^(DB26/2)+(DB18*DB18+DC18*DC18)^(DB27/2)</f>
        <v>4451274338.140193</v>
      </c>
      <c r="DC28" s="6"/>
      <c r="DD28" s="5">
        <f t="shared" ref="DD28" ca="1" si="77">(DD17*DD17+DE17*DE17)^(DD26/2)+(DD18*DD18+DE18*DE18)^(DD27/2)</f>
        <v>4652449454.4212008</v>
      </c>
      <c r="DE28" s="6"/>
      <c r="DF28" s="9">
        <f t="shared" ref="DF28" si="78">(DF17*DF17+DG17*DG17)^(DF26/2)+(DF18*DF18+DG18*DG18)^(DF27/2)</f>
        <v>2553541518.4957314</v>
      </c>
      <c r="DG28" s="10"/>
      <c r="DH28" s="9">
        <f t="shared" ref="DH28" ca="1" si="79">(DH17*DH17+DI17*DI17)^(DH26/2)+(DH18*DH18+DI18*DI18)^(DH27/2)</f>
        <v>2944128105.998096</v>
      </c>
      <c r="DI28" s="10"/>
      <c r="DJ28" s="9">
        <f t="shared" ref="DJ28" ca="1" si="80">(DJ17*DJ17+DK17*DK17)^(DJ26/2)+(DJ18*DJ18+DK18*DK18)^(DJ27/2)</f>
        <v>2818149086.4196424</v>
      </c>
      <c r="DK28" s="10"/>
      <c r="DL28" s="9">
        <f t="shared" ref="DL28" si="81">(DL17*DL17+DM17*DM17)^(DL26/2)+(DL18*DL18+DM18*DM18)^(DL27/2)</f>
        <v>3144224160.0697527</v>
      </c>
      <c r="DM28" s="10"/>
      <c r="DN28" s="9">
        <f t="shared" ref="DN28" ca="1" si="82">(DN17*DN17+DO17*DO17)^(DN26/2)+(DN18*DN18+DO18*DO18)^(DN27/2)</f>
        <v>4255013180.7773657</v>
      </c>
      <c r="DO28" s="10"/>
      <c r="DP28" s="9">
        <f t="shared" ref="DP28" ca="1" si="83">(DP17*DP17+DQ17*DQ17)^(DP26/2)+(DP18*DP18+DQ18*DQ18)^(DP27/2)</f>
        <v>4398610359.8137512</v>
      </c>
      <c r="DQ28" s="10"/>
      <c r="DR28" s="9">
        <f t="shared" ref="DR28" ca="1" si="84">(DR17*DR17+DS17*DS17)^(DR26/2)+(DR18*DR18+DS18*DS18)^(DR27/2)</f>
        <v>6760351414.8493624</v>
      </c>
      <c r="DS28" s="10"/>
      <c r="DT28" s="9">
        <f t="shared" ref="DT28" ca="1" si="85">(DT17*DT17+DU17*DU17)^(DT26/2)+(DT18*DT18+DU18*DU18)^(DT27/2)</f>
        <v>7190548676.993432</v>
      </c>
      <c r="DU28" s="10"/>
      <c r="DV28" s="9">
        <f t="shared" ref="DV28" ca="1" si="86">(DV17*DV17+DW17*DW17)^(DV26/2)+(DV18*DV18+DW18*DW18)^(DV27/2)</f>
        <v>6325736474.5751772</v>
      </c>
      <c r="DW28" s="10"/>
      <c r="DX28" s="9">
        <f t="shared" ref="DX28" ca="1" si="87">(DX17*DX17+DY17*DY17)^(DX26/2)+(DX18*DX18+DY18*DY18)^(DX27/2)</f>
        <v>786388.4955197149</v>
      </c>
      <c r="DY28" s="10"/>
      <c r="DZ28" s="9">
        <f t="shared" ref="DZ28" ca="1" si="88">(DZ17*DZ17+EA17*EA17)^(DZ26/2)+(DZ18*DZ18+EA18*EA18)^(DZ27/2)</f>
        <v>854015.26863050601</v>
      </c>
      <c r="EA28" s="10"/>
      <c r="EB28" s="9">
        <f t="shared" ref="EB28" ca="1" si="89">(EB17*EB17+EC17*EC17)^(EB26/2)+(EB18*EB18+EC18*EC18)^(EB27/2)</f>
        <v>1073492.6572812775</v>
      </c>
      <c r="EC28" s="10"/>
      <c r="ED28" s="9">
        <f t="shared" ref="ED28" si="90">(ED17*ED17+EE17*EE17)^(ED26/2)+(ED18*ED18+EE18*EE18)^(ED27/2)</f>
        <v>244206334.94580367</v>
      </c>
      <c r="EE28" s="10"/>
      <c r="EF28" s="9">
        <f t="shared" ref="EF28" ca="1" si="91">(EF17*EF17+EG17*EG17)^(EF26/2)+(EF18*EF18+EG18*EG18)^(EF27/2)</f>
        <v>286551015.81324595</v>
      </c>
      <c r="EG28" s="10"/>
      <c r="EH28" s="9">
        <f t="shared" ref="EH28" ca="1" si="92">(EH17*EH17+EI17*EI17)^(EH26/2)+(EH18*EH18+EI18*EI18)^(EH27/2)</f>
        <v>271644810.95461583</v>
      </c>
      <c r="EI28" s="10"/>
      <c r="EJ28" s="9">
        <f t="shared" ref="EJ28" ca="1" si="93">(EJ17*EJ17+EK17*EK17)^(EJ26/2)+(EJ18*EJ18+EK18*EK18)^(EJ27/2)</f>
        <v>4585061641.2294683</v>
      </c>
      <c r="EK28" s="10"/>
      <c r="EL28" s="9">
        <f t="shared" ref="EL28" ca="1" si="94">(EL17*EL17+EM17*EM17)^(EL26/2)+(EL18*EL18+EM18*EM18)^(EL27/2)</f>
        <v>6105320511.7542057</v>
      </c>
      <c r="EM28" s="10"/>
      <c r="EN28" s="9">
        <f t="shared" ref="EN28" ca="1" si="95">(EN17*EN17+EO17*EO17)^(EN26/2)+(EN18*EN18+EO18*EO18)^(EN27/2)</f>
        <v>6172022577.0742493</v>
      </c>
      <c r="EO28" s="10"/>
    </row>
    <row r="29" spans="1:145" x14ac:dyDescent="0.25">
      <c r="A29" s="16" t="s">
        <v>30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1"/>
      <c r="AM29" s="12"/>
      <c r="AN29" s="11"/>
      <c r="AO29" s="12"/>
      <c r="AP29" s="11"/>
      <c r="AQ29" s="12"/>
      <c r="AR29" s="11"/>
      <c r="AS29" s="12"/>
      <c r="AT29" s="11"/>
      <c r="AU29" s="12"/>
      <c r="AV29" s="11"/>
      <c r="AW29" s="12"/>
      <c r="AX29" s="11"/>
      <c r="AY29" s="12"/>
      <c r="AZ29" s="11"/>
      <c r="BA29" s="12"/>
      <c r="BB29" s="11"/>
      <c r="BC29" s="12"/>
      <c r="BD29" s="11"/>
      <c r="BE29" s="12"/>
      <c r="BF29" s="11"/>
      <c r="BG29" s="12"/>
      <c r="BH29" s="11"/>
      <c r="BI29" s="12"/>
      <c r="BJ29" s="11"/>
      <c r="BK29" s="12"/>
      <c r="BL29" s="11"/>
      <c r="BM29" s="12"/>
      <c r="BN29" s="11"/>
      <c r="BO29" s="12"/>
      <c r="BP29" s="11"/>
      <c r="BQ29" s="12"/>
      <c r="BR29" s="11"/>
      <c r="BS29" s="12"/>
      <c r="BT29" s="11"/>
      <c r="BU29" s="12"/>
      <c r="BV29" s="5"/>
      <c r="BW29" s="6"/>
      <c r="BX29" s="5"/>
      <c r="BY29" s="6"/>
      <c r="BZ29" s="5"/>
      <c r="CA29" s="6"/>
      <c r="CB29" s="5"/>
      <c r="CC29" s="6"/>
      <c r="CD29" s="5"/>
      <c r="CE29" s="6"/>
      <c r="CF29" s="5"/>
      <c r="CG29" s="6"/>
      <c r="CH29" s="5"/>
      <c r="CI29" s="6"/>
      <c r="CJ29" s="5"/>
      <c r="CK29" s="6"/>
      <c r="CL29" s="5"/>
      <c r="CM29" s="6"/>
      <c r="CN29" s="5"/>
      <c r="CO29" s="6"/>
      <c r="CP29" s="5"/>
      <c r="CQ29" s="6"/>
      <c r="CR29" s="5"/>
      <c r="CS29" s="6"/>
      <c r="CT29" s="5"/>
      <c r="CU29" s="6"/>
      <c r="CV29" s="5"/>
      <c r="CW29" s="6"/>
      <c r="CX29" s="5"/>
      <c r="CY29" s="6"/>
      <c r="CZ29" s="5"/>
      <c r="DA29" s="6"/>
      <c r="DB29" s="5"/>
      <c r="DC29" s="6"/>
      <c r="DD29" s="5"/>
      <c r="DE29" s="6"/>
      <c r="DF29" s="9"/>
      <c r="DG29" s="10"/>
      <c r="DH29" s="9"/>
      <c r="DI29" s="10"/>
      <c r="DJ29" s="9"/>
      <c r="DK29" s="10"/>
      <c r="DL29" s="9"/>
      <c r="DM29" s="10"/>
      <c r="DN29" s="9"/>
      <c r="DO29" s="10"/>
      <c r="DP29" s="9"/>
      <c r="DQ29" s="10"/>
      <c r="DR29" s="9"/>
      <c r="DS29" s="10"/>
      <c r="DT29" s="9"/>
      <c r="DU29" s="10"/>
      <c r="DV29" s="9"/>
      <c r="DW29" s="10"/>
      <c r="DX29" s="9"/>
      <c r="DY29" s="10"/>
      <c r="DZ29" s="9"/>
      <c r="EA29" s="10"/>
      <c r="EB29" s="9"/>
      <c r="EC29" s="10"/>
      <c r="ED29" s="9"/>
      <c r="EE29" s="10"/>
      <c r="EF29" s="9"/>
      <c r="EG29" s="10"/>
      <c r="EH29" s="9"/>
      <c r="EI29" s="10"/>
      <c r="EJ29" s="9"/>
      <c r="EK29" s="10"/>
      <c r="EL29" s="9"/>
      <c r="EM29" s="10"/>
      <c r="EN29" s="9"/>
      <c r="EO29" s="10"/>
    </row>
    <row r="30" spans="1:145" x14ac:dyDescent="0.25">
      <c r="A30" s="14" t="s">
        <v>32</v>
      </c>
      <c r="B30" s="8">
        <f>'типовая конструкция'!B30</f>
        <v>6</v>
      </c>
      <c r="C30" s="8"/>
      <c r="D30" s="8">
        <f>B30</f>
        <v>6</v>
      </c>
      <c r="E30" s="8"/>
      <c r="F30" s="8">
        <f>D30</f>
        <v>6</v>
      </c>
      <c r="G30" s="8"/>
      <c r="H30" s="8">
        <f>F30</f>
        <v>6</v>
      </c>
      <c r="I30" s="8"/>
      <c r="J30" s="8">
        <f>H30</f>
        <v>6</v>
      </c>
      <c r="K30" s="8"/>
      <c r="L30" s="8">
        <f>J30</f>
        <v>6</v>
      </c>
      <c r="M30" s="8"/>
      <c r="N30" s="8">
        <f>L30</f>
        <v>6</v>
      </c>
      <c r="O30" s="8"/>
      <c r="P30" s="8">
        <f>N30</f>
        <v>6</v>
      </c>
      <c r="Q30" s="8"/>
      <c r="R30" s="8">
        <f>P30</f>
        <v>6</v>
      </c>
      <c r="S30" s="8"/>
      <c r="T30" s="8">
        <f>R30</f>
        <v>6</v>
      </c>
      <c r="U30" s="8"/>
      <c r="V30" s="8">
        <f>T30</f>
        <v>6</v>
      </c>
      <c r="W30" s="8"/>
      <c r="X30" s="8">
        <f>V30</f>
        <v>6</v>
      </c>
      <c r="Y30" s="8"/>
      <c r="Z30" s="8">
        <f>X30</f>
        <v>6</v>
      </c>
      <c r="AA30" s="8"/>
      <c r="AB30" s="8">
        <f>Z30</f>
        <v>6</v>
      </c>
      <c r="AC30" s="8"/>
      <c r="AD30" s="8">
        <f>AB30</f>
        <v>6</v>
      </c>
      <c r="AE30" s="8"/>
      <c r="AF30" s="8">
        <f>AD30</f>
        <v>6</v>
      </c>
      <c r="AG30" s="8"/>
      <c r="AH30" s="8">
        <f>AF30</f>
        <v>6</v>
      </c>
      <c r="AI30" s="8"/>
      <c r="AJ30" s="8">
        <f>AH30</f>
        <v>6</v>
      </c>
      <c r="AK30" s="8"/>
      <c r="AL30" s="8">
        <f>AJ30</f>
        <v>6</v>
      </c>
      <c r="AM30" s="8"/>
      <c r="AN30" s="8">
        <f>AL30</f>
        <v>6</v>
      </c>
      <c r="AO30" s="8"/>
      <c r="AP30" s="8">
        <f>AN30</f>
        <v>6</v>
      </c>
      <c r="AQ30" s="8"/>
      <c r="AR30" s="8">
        <f>AP30</f>
        <v>6</v>
      </c>
      <c r="AS30" s="8"/>
      <c r="AT30" s="8">
        <f>AR30</f>
        <v>6</v>
      </c>
      <c r="AU30" s="8"/>
      <c r="AV30" s="8">
        <f>AT30</f>
        <v>6</v>
      </c>
      <c r="AW30" s="8"/>
      <c r="AX30" s="8">
        <f>AV30</f>
        <v>6</v>
      </c>
      <c r="AY30" s="8"/>
      <c r="AZ30" s="8">
        <f>AX30</f>
        <v>6</v>
      </c>
      <c r="BA30" s="8"/>
      <c r="BB30" s="8">
        <f>AZ30</f>
        <v>6</v>
      </c>
      <c r="BC30" s="8"/>
      <c r="BD30" s="8">
        <f>BB30</f>
        <v>6</v>
      </c>
      <c r="BE30" s="8"/>
      <c r="BF30" s="8">
        <f>BD30</f>
        <v>6</v>
      </c>
      <c r="BG30" s="8"/>
      <c r="BH30" s="8">
        <f>BF30</f>
        <v>6</v>
      </c>
      <c r="BI30" s="8"/>
      <c r="BJ30" s="8">
        <f>BH30</f>
        <v>6</v>
      </c>
      <c r="BK30" s="8"/>
      <c r="BL30" s="8">
        <f>BJ30</f>
        <v>6</v>
      </c>
      <c r="BM30" s="8"/>
      <c r="BN30" s="8">
        <f>BL30</f>
        <v>6</v>
      </c>
      <c r="BO30" s="8"/>
      <c r="BP30" s="8">
        <f>BN30</f>
        <v>6</v>
      </c>
      <c r="BQ30" s="8"/>
      <c r="BR30" s="8">
        <f>BP30</f>
        <v>6</v>
      </c>
      <c r="BS30" s="12"/>
      <c r="BT30" s="11">
        <f>BR30</f>
        <v>6</v>
      </c>
      <c r="BU30" s="12"/>
      <c r="BV30" s="8">
        <f>BT30</f>
        <v>6</v>
      </c>
      <c r="BW30" s="8"/>
      <c r="BX30" s="8">
        <f>BV30</f>
        <v>6</v>
      </c>
      <c r="BY30" s="8"/>
      <c r="BZ30" s="8">
        <f>BX30</f>
        <v>6</v>
      </c>
      <c r="CA30" s="8"/>
      <c r="CB30" s="8">
        <f>BZ30</f>
        <v>6</v>
      </c>
      <c r="CC30" s="8"/>
      <c r="CD30" s="8">
        <f>CB30</f>
        <v>6</v>
      </c>
      <c r="CE30" s="8"/>
      <c r="CF30" s="8">
        <f>CD30</f>
        <v>6</v>
      </c>
      <c r="CG30" s="8"/>
      <c r="CH30" s="8">
        <f>CF30</f>
        <v>6</v>
      </c>
      <c r="CI30" s="8"/>
      <c r="CJ30" s="8">
        <f>CH30</f>
        <v>6</v>
      </c>
      <c r="CK30" s="8"/>
      <c r="CL30" s="8">
        <f>CJ30</f>
        <v>6</v>
      </c>
      <c r="CM30" s="8"/>
      <c r="CN30" s="8">
        <f>CL30</f>
        <v>6</v>
      </c>
      <c r="CO30" s="8"/>
      <c r="CP30" s="8">
        <f>CN30</f>
        <v>6</v>
      </c>
      <c r="CQ30" s="8"/>
      <c r="CR30" s="8">
        <f>CP30</f>
        <v>6</v>
      </c>
      <c r="CS30" s="8"/>
      <c r="CT30" s="8">
        <f>CR30</f>
        <v>6</v>
      </c>
      <c r="CU30" s="8"/>
      <c r="CV30" s="8">
        <f>CT30</f>
        <v>6</v>
      </c>
      <c r="CW30" s="8"/>
      <c r="CX30" s="8">
        <f>CV30</f>
        <v>6</v>
      </c>
      <c r="CY30" s="8"/>
      <c r="CZ30" s="8">
        <f>CX30</f>
        <v>6</v>
      </c>
      <c r="DA30" s="8"/>
      <c r="DB30" s="8">
        <f>CZ30</f>
        <v>6</v>
      </c>
      <c r="DC30" s="12"/>
      <c r="DD30" s="11">
        <f>DB30</f>
        <v>6</v>
      </c>
      <c r="DE30" s="12"/>
      <c r="DF30" s="8">
        <f>DD30</f>
        <v>6</v>
      </c>
      <c r="DG30" s="8"/>
      <c r="DH30" s="8">
        <f>DF30</f>
        <v>6</v>
      </c>
      <c r="DI30" s="8"/>
      <c r="DJ30" s="8">
        <f>DH30</f>
        <v>6</v>
      </c>
      <c r="DK30" s="8"/>
      <c r="DL30" s="8">
        <f>DJ30</f>
        <v>6</v>
      </c>
      <c r="DM30" s="8"/>
      <c r="DN30" s="8">
        <f>DL30</f>
        <v>6</v>
      </c>
      <c r="DO30" s="8"/>
      <c r="DP30" s="8">
        <f>DN30</f>
        <v>6</v>
      </c>
      <c r="DQ30" s="8"/>
      <c r="DR30" s="8">
        <f>DP30</f>
        <v>6</v>
      </c>
      <c r="DS30" s="8"/>
      <c r="DT30" s="8">
        <f>DR30</f>
        <v>6</v>
      </c>
      <c r="DU30" s="8"/>
      <c r="DV30" s="8">
        <f>DT30</f>
        <v>6</v>
      </c>
      <c r="DW30" s="8"/>
      <c r="DX30" s="8">
        <f>DV30</f>
        <v>6</v>
      </c>
      <c r="DY30" s="8"/>
      <c r="DZ30" s="8">
        <f>DX30</f>
        <v>6</v>
      </c>
      <c r="EA30" s="8"/>
      <c r="EB30" s="8">
        <f>DZ30</f>
        <v>6</v>
      </c>
      <c r="EC30" s="8"/>
      <c r="ED30" s="8">
        <f>EB30</f>
        <v>6</v>
      </c>
      <c r="EE30" s="8"/>
      <c r="EF30" s="8">
        <f>ED30</f>
        <v>6</v>
      </c>
      <c r="EG30" s="8"/>
      <c r="EH30" s="8">
        <f>EF30</f>
        <v>6</v>
      </c>
      <c r="EI30" s="8"/>
      <c r="EJ30" s="8">
        <f>EH30</f>
        <v>6</v>
      </c>
      <c r="EK30" s="8"/>
      <c r="EL30" s="8">
        <f>EJ30</f>
        <v>6</v>
      </c>
      <c r="EM30" s="12"/>
      <c r="EN30" s="11">
        <f>EL30</f>
        <v>6</v>
      </c>
      <c r="EO30" s="12"/>
    </row>
    <row r="31" spans="1:145" x14ac:dyDescent="0.25">
      <c r="A31" s="14" t="s">
        <v>33</v>
      </c>
      <c r="B31" s="8">
        <f>'типовая конструкция'!B31</f>
        <v>2</v>
      </c>
      <c r="C31" s="8"/>
      <c r="D31" s="8">
        <f>B31</f>
        <v>2</v>
      </c>
      <c r="E31" s="8"/>
      <c r="F31" s="8">
        <f>D31</f>
        <v>2</v>
      </c>
      <c r="G31" s="8"/>
      <c r="H31" s="8">
        <f>F31</f>
        <v>2</v>
      </c>
      <c r="I31" s="8"/>
      <c r="J31" s="8">
        <f>H31</f>
        <v>2</v>
      </c>
      <c r="K31" s="8"/>
      <c r="L31" s="8">
        <f>J31</f>
        <v>2</v>
      </c>
      <c r="M31" s="8"/>
      <c r="N31" s="8">
        <f>L31</f>
        <v>2</v>
      </c>
      <c r="O31" s="8"/>
      <c r="P31" s="8">
        <f>N31</f>
        <v>2</v>
      </c>
      <c r="Q31" s="8"/>
      <c r="R31" s="8">
        <f>P31</f>
        <v>2</v>
      </c>
      <c r="S31" s="8"/>
      <c r="T31" s="8">
        <f>R31</f>
        <v>2</v>
      </c>
      <c r="U31" s="8"/>
      <c r="V31" s="8">
        <f>T31</f>
        <v>2</v>
      </c>
      <c r="W31" s="8"/>
      <c r="X31" s="8">
        <f>V31</f>
        <v>2</v>
      </c>
      <c r="Y31" s="8"/>
      <c r="Z31" s="8">
        <f>X31</f>
        <v>2</v>
      </c>
      <c r="AA31" s="8"/>
      <c r="AB31" s="8">
        <f>Z31</f>
        <v>2</v>
      </c>
      <c r="AC31" s="8"/>
      <c r="AD31" s="8">
        <f>AB31</f>
        <v>2</v>
      </c>
      <c r="AE31" s="8"/>
      <c r="AF31" s="8">
        <f>AD31</f>
        <v>2</v>
      </c>
      <c r="AG31" s="8"/>
      <c r="AH31" s="8">
        <f>AF31</f>
        <v>2</v>
      </c>
      <c r="AI31" s="8"/>
      <c r="AJ31" s="8">
        <f>AH31</f>
        <v>2</v>
      </c>
      <c r="AK31" s="8"/>
      <c r="AL31" s="8">
        <f>AJ31</f>
        <v>2</v>
      </c>
      <c r="AM31" s="8"/>
      <c r="AN31" s="8">
        <f>AL31</f>
        <v>2</v>
      </c>
      <c r="AO31" s="8"/>
      <c r="AP31" s="8">
        <f>AN31</f>
        <v>2</v>
      </c>
      <c r="AQ31" s="8"/>
      <c r="AR31" s="8">
        <f>AP31</f>
        <v>2</v>
      </c>
      <c r="AS31" s="8"/>
      <c r="AT31" s="8">
        <f>AR31</f>
        <v>2</v>
      </c>
      <c r="AU31" s="8"/>
      <c r="AV31" s="8">
        <f>AT31</f>
        <v>2</v>
      </c>
      <c r="AW31" s="8"/>
      <c r="AX31" s="8">
        <f>AV31</f>
        <v>2</v>
      </c>
      <c r="AY31" s="8"/>
      <c r="AZ31" s="8">
        <f>AX31</f>
        <v>2</v>
      </c>
      <c r="BA31" s="8"/>
      <c r="BB31" s="8">
        <f>AZ31</f>
        <v>2</v>
      </c>
      <c r="BC31" s="8"/>
      <c r="BD31" s="8">
        <f>BB31</f>
        <v>2</v>
      </c>
      <c r="BE31" s="8"/>
      <c r="BF31" s="8">
        <f>BD31</f>
        <v>2</v>
      </c>
      <c r="BG31" s="8"/>
      <c r="BH31" s="8">
        <f>BF31</f>
        <v>2</v>
      </c>
      <c r="BI31" s="8"/>
      <c r="BJ31" s="8">
        <f>BH31</f>
        <v>2</v>
      </c>
      <c r="BK31" s="8"/>
      <c r="BL31" s="8">
        <f>BJ31</f>
        <v>2</v>
      </c>
      <c r="BM31" s="8"/>
      <c r="BN31" s="8">
        <f>BL31</f>
        <v>2</v>
      </c>
      <c r="BO31" s="8"/>
      <c r="BP31" s="8">
        <f>BN31</f>
        <v>2</v>
      </c>
      <c r="BQ31" s="8"/>
      <c r="BR31" s="8">
        <f>BP31</f>
        <v>2</v>
      </c>
      <c r="BS31" s="12"/>
      <c r="BT31" s="11">
        <f>BR31</f>
        <v>2</v>
      </c>
      <c r="BU31" s="12"/>
      <c r="BV31" s="8">
        <f>BT31</f>
        <v>2</v>
      </c>
      <c r="BW31" s="8"/>
      <c r="BX31" s="8">
        <f>BV31</f>
        <v>2</v>
      </c>
      <c r="BY31" s="8"/>
      <c r="BZ31" s="8">
        <f>BX31</f>
        <v>2</v>
      </c>
      <c r="CA31" s="8"/>
      <c r="CB31" s="8">
        <f>BZ31</f>
        <v>2</v>
      </c>
      <c r="CC31" s="8"/>
      <c r="CD31" s="8">
        <f>CB31</f>
        <v>2</v>
      </c>
      <c r="CE31" s="8"/>
      <c r="CF31" s="8">
        <f>CD31</f>
        <v>2</v>
      </c>
      <c r="CG31" s="8"/>
      <c r="CH31" s="8">
        <f>CF31</f>
        <v>2</v>
      </c>
      <c r="CI31" s="8"/>
      <c r="CJ31" s="8">
        <f>CH31</f>
        <v>2</v>
      </c>
      <c r="CK31" s="8"/>
      <c r="CL31" s="8">
        <f>CJ31</f>
        <v>2</v>
      </c>
      <c r="CM31" s="8"/>
      <c r="CN31" s="8">
        <f>CL31</f>
        <v>2</v>
      </c>
      <c r="CO31" s="8"/>
      <c r="CP31" s="8">
        <f>CN31</f>
        <v>2</v>
      </c>
      <c r="CQ31" s="8"/>
      <c r="CR31" s="8">
        <f>CP31</f>
        <v>2</v>
      </c>
      <c r="CS31" s="8"/>
      <c r="CT31" s="8">
        <f>CR31</f>
        <v>2</v>
      </c>
      <c r="CU31" s="8"/>
      <c r="CV31" s="8">
        <f>CT31</f>
        <v>2</v>
      </c>
      <c r="CW31" s="8"/>
      <c r="CX31" s="8">
        <f>CV31</f>
        <v>2</v>
      </c>
      <c r="CY31" s="8"/>
      <c r="CZ31" s="8">
        <f>CX31</f>
        <v>2</v>
      </c>
      <c r="DA31" s="8"/>
      <c r="DB31" s="8">
        <f>CZ31</f>
        <v>2</v>
      </c>
      <c r="DC31" s="12"/>
      <c r="DD31" s="11">
        <f>DB31</f>
        <v>2</v>
      </c>
      <c r="DE31" s="12"/>
      <c r="DF31" s="8">
        <f>DD31</f>
        <v>2</v>
      </c>
      <c r="DG31" s="8"/>
      <c r="DH31" s="8">
        <f>DF31</f>
        <v>2</v>
      </c>
      <c r="DI31" s="8"/>
      <c r="DJ31" s="8">
        <f>DH31</f>
        <v>2</v>
      </c>
      <c r="DK31" s="8"/>
      <c r="DL31" s="8">
        <f>DJ31</f>
        <v>2</v>
      </c>
      <c r="DM31" s="8"/>
      <c r="DN31" s="8">
        <f>DL31</f>
        <v>2</v>
      </c>
      <c r="DO31" s="8"/>
      <c r="DP31" s="8">
        <f>DN31</f>
        <v>2</v>
      </c>
      <c r="DQ31" s="8"/>
      <c r="DR31" s="8">
        <f>DP31</f>
        <v>2</v>
      </c>
      <c r="DS31" s="8"/>
      <c r="DT31" s="8">
        <f>DR31</f>
        <v>2</v>
      </c>
      <c r="DU31" s="8"/>
      <c r="DV31" s="8">
        <f>DT31</f>
        <v>2</v>
      </c>
      <c r="DW31" s="8"/>
      <c r="DX31" s="8">
        <f>DV31</f>
        <v>2</v>
      </c>
      <c r="DY31" s="8"/>
      <c r="DZ31" s="8">
        <f>DX31</f>
        <v>2</v>
      </c>
      <c r="EA31" s="8"/>
      <c r="EB31" s="8">
        <f>DZ31</f>
        <v>2</v>
      </c>
      <c r="EC31" s="8"/>
      <c r="ED31" s="8">
        <f>EB31</f>
        <v>2</v>
      </c>
      <c r="EE31" s="8"/>
      <c r="EF31" s="8">
        <f>ED31</f>
        <v>2</v>
      </c>
      <c r="EG31" s="8"/>
      <c r="EH31" s="8">
        <f>EF31</f>
        <v>2</v>
      </c>
      <c r="EI31" s="8"/>
      <c r="EJ31" s="8">
        <f>EH31</f>
        <v>2</v>
      </c>
      <c r="EK31" s="8"/>
      <c r="EL31" s="8">
        <f>EJ31</f>
        <v>2</v>
      </c>
      <c r="EM31" s="12"/>
      <c r="EN31" s="11">
        <f>EL31</f>
        <v>2</v>
      </c>
      <c r="EO31" s="12"/>
    </row>
    <row r="32" spans="1:145" hidden="1" x14ac:dyDescent="0.25">
      <c r="A32" s="14" t="s">
        <v>35</v>
      </c>
      <c r="B32" s="8">
        <f>(B17*B17+C17*C17)^(B30/2)+(B18*B18+C18*C18)^(B31/2)</f>
        <v>2492707868.5391192</v>
      </c>
      <c r="C32" s="8"/>
      <c r="D32" s="8">
        <f>(D17*D17+E17*E17)^(D30/2)+(D18*D18+E18*E18)^(D31/2)</f>
        <v>2192482528.9280124</v>
      </c>
      <c r="E32" s="8"/>
      <c r="F32" s="8">
        <f t="shared" ref="F32" si="96">(F17*F17+G17*G17)^(F30/2)+(F18*F18+G18*G18)^(F31/2)</f>
        <v>2189917335.5299234</v>
      </c>
      <c r="G32" s="8"/>
      <c r="H32" s="8">
        <f t="shared" ref="H32" si="97">(H17*H17+I17*I17)^(H30/2)+(H18*H18+I18*I18)^(H31/2)</f>
        <v>3015198305.0300684</v>
      </c>
      <c r="I32" s="8"/>
      <c r="J32" s="8">
        <f t="shared" ref="J32" si="98">(J17*J17+K17*K17)^(J30/2)+(J18*J18+K18*K18)^(J31/2)</f>
        <v>3101606213.3999166</v>
      </c>
      <c r="K32" s="8"/>
      <c r="L32" s="8">
        <f t="shared" ref="L32" si="99">(L17*L17+M17*M17)^(L30/2)+(L18*L18+M18*M18)^(L31/2)</f>
        <v>3200627483.4864068</v>
      </c>
      <c r="M32" s="8"/>
      <c r="N32" s="8">
        <f t="shared" ref="N32" si="100">(N17*N17+O17*O17)^(N30/2)+(N18*N18+O18*O18)^(N31/2)</f>
        <v>5542750863.8405905</v>
      </c>
      <c r="O32" s="8"/>
      <c r="P32" s="8">
        <f t="shared" ref="P32" si="101">(P17*P17+Q17*Q17)^(P30/2)+(P18*P18+Q18*Q18)^(P31/2)</f>
        <v>5511314989.0858727</v>
      </c>
      <c r="Q32" s="8"/>
      <c r="R32" s="8">
        <f t="shared" ref="R32" si="102">(R17*R17+S17*S17)^(R30/2)+(R18*R18+S18*S18)^(R31/2)</f>
        <v>5165434651.5113039</v>
      </c>
      <c r="S32" s="8"/>
      <c r="T32" s="8">
        <f t="shared" ref="T32" si="103">(T17*T17+U17*U17)^(T30/2)+(T18*T18+U18*U18)^(T31/2)</f>
        <v>623647.95340743358</v>
      </c>
      <c r="U32" s="8"/>
      <c r="V32" s="8">
        <f t="shared" ref="V32" si="104">(V17*V17+W17*W17)^(V30/2)+(V18*V18+W18*W18)^(V31/2)</f>
        <v>569855.13645506755</v>
      </c>
      <c r="W32" s="8"/>
      <c r="X32" s="8">
        <f t="shared" ref="X32" si="105">(X17*X17+Y17*Y17)^(X30/2)+(X18*X18+Y18*Y18)^(X31/2)</f>
        <v>604078.05615817988</v>
      </c>
      <c r="Y32" s="8"/>
      <c r="Z32" s="8">
        <f t="shared" ref="Z32" si="106">(Z17*Z17+AA17*AA17)^(Z30/2)+(Z18*Z18+AA18*AA18)^(Z31/2)</f>
        <v>243112996.85897642</v>
      </c>
      <c r="AA32" s="8"/>
      <c r="AB32" s="8">
        <f t="shared" ref="AB32" si="107">(AB17*AB17+AC17*AC17)^(AB30/2)+(AB18*AB18+AC18*AC18)^(AB31/2)</f>
        <v>215783858.41739091</v>
      </c>
      <c r="AC32" s="8"/>
      <c r="AD32" s="8">
        <f t="shared" ref="AD32" si="108">(AD17*AD17+AE17*AE17)^(AD30/2)+(AD18*AD18+AE18*AE18)^(AD31/2)</f>
        <v>212803145.2463657</v>
      </c>
      <c r="AE32" s="8"/>
      <c r="AF32" s="8">
        <f t="shared" ref="AF32" ca="1" si="109">(AF17*AF17+AG17*AG17)^(AF30/2)+(AF18*AF18+AG18*AG18)^(AF31/2)</f>
        <v>4041349486.5894904</v>
      </c>
      <c r="AG32" s="8"/>
      <c r="AH32" s="8">
        <f t="shared" ref="AH32" ca="1" si="110">(AH17*AH17+AI17*AI17)^(AH30/2)+(AH18*AH18+AI18*AI18)^(AH31/2)</f>
        <v>4653966007.6802607</v>
      </c>
      <c r="AI32" s="8"/>
      <c r="AJ32" s="8">
        <f t="shared" ref="AJ32" ca="1" si="111">(AJ17*AJ17+AK17*AK17)^(AJ30/2)+(AJ18*AJ18+AK18*AK18)^(AJ31/2)</f>
        <v>4488007747.180419</v>
      </c>
      <c r="AK32" s="8"/>
      <c r="AL32" s="11">
        <f t="shared" ref="AL32" si="112">(AL17*AL17+AM17*AM17)^(AL30/2)+(AL18*AL18+AM18*AM18)^(AL31/2)</f>
        <v>2653307453.7538757</v>
      </c>
      <c r="AM32" s="12"/>
      <c r="AN32" s="11">
        <f t="shared" ref="AN32" si="113">(AN17*AN17+AO17*AO17)^(AN30/2)+(AN18*AN18+AO18*AO18)^(AN31/2)</f>
        <v>2133216224.8186467</v>
      </c>
      <c r="AO32" s="12"/>
      <c r="AP32" s="11">
        <f t="shared" ref="AP32" si="114">(AP17*AP17+AQ17*AQ17)^(AP30/2)+(AP18*AP18+AQ18*AQ18)^(AP31/2)</f>
        <v>2167291789.8657961</v>
      </c>
      <c r="AQ32" s="12"/>
      <c r="AR32" s="11">
        <f t="shared" ref="AR32" si="115">(AR17*AR17+AS17*AS17)^(AR30/2)+(AR18*AR18+AS18*AS18)^(AR31/2)</f>
        <v>3234472617.5481896</v>
      </c>
      <c r="AS32" s="12"/>
      <c r="AT32" s="11">
        <f t="shared" ref="AT32" si="116">(AT17*AT17+AU17*AU17)^(AT30/2)+(AT18*AT18+AU18*AU18)^(AT31/2)</f>
        <v>3156802869.2512751</v>
      </c>
      <c r="AU32" s="12"/>
      <c r="AV32" s="11">
        <f t="shared" ref="AV32" si="117">(AV17*AV17+AW17*AW17)^(AV30/2)+(AV18*AV18+AW18*AW18)^(AV31/2)</f>
        <v>3144793133.2757797</v>
      </c>
      <c r="AW32" s="12"/>
      <c r="AX32" s="11">
        <f t="shared" ref="AX32" si="118">(AX17*AX17+AY17*AY17)^(AX30/2)+(AX18*AX18+AY18*AY18)^(AX31/2)</f>
        <v>5099305276.7413177</v>
      </c>
      <c r="AY32" s="12"/>
      <c r="AZ32" s="11">
        <f t="shared" ref="AZ32" si="119">(AZ17*AZ17+BA17*BA17)^(AZ30/2)+(AZ18*AZ18+BA18*BA18)^(AZ31/2)</f>
        <v>5197487698.2458506</v>
      </c>
      <c r="BA32" s="12"/>
      <c r="BB32" s="11">
        <f t="shared" ref="BB32" si="120">(BB17*BB17+BC17*BC17)^(BB30/2)+(BB18*BB18+BC18*BC18)^(BB31/2)</f>
        <v>5202928357.8764563</v>
      </c>
      <c r="BC32" s="12"/>
      <c r="BD32" s="11">
        <f t="shared" ref="BD32" si="121">(BD17*BD17+BE17*BE17)^(BD30/2)+(BD18*BD18+BE18*BE18)^(BD31/2)</f>
        <v>618499.04393253475</v>
      </c>
      <c r="BE32" s="12"/>
      <c r="BF32" s="11">
        <f t="shared" ref="BF32" si="122">(BF17*BF17+BG17*BG17)^(BF30/2)+(BF18*BF18+BG18*BG18)^(BF31/2)</f>
        <v>590749.9853264417</v>
      </c>
      <c r="BG32" s="12"/>
      <c r="BH32" s="11">
        <f t="shared" ref="BH32" si="123">(BH17*BH17+BI17*BI17)^(BH30/2)+(BH18*BH18+BI18*BI18)^(BH31/2)</f>
        <v>1032788.8395503876</v>
      </c>
      <c r="BI32" s="12"/>
      <c r="BJ32" s="11">
        <f t="shared" ref="BJ32" si="124">(BJ17*BJ17+BK17*BK17)^(BJ30/2)+(BJ18*BJ18+BK18*BK18)^(BJ31/2)</f>
        <v>258094351.42772192</v>
      </c>
      <c r="BK32" s="12"/>
      <c r="BL32" s="11">
        <f t="shared" ref="BL32" si="125">(BL17*BL17+BM17*BM17)^(BL30/2)+(BL18*BL18+BM18*BM18)^(BL31/2)</f>
        <v>208276441.61714971</v>
      </c>
      <c r="BM32" s="12"/>
      <c r="BN32" s="11">
        <f t="shared" ref="BN32" si="126">(BN17*BN17+BO17*BO17)^(BN30/2)+(BN18*BN18+BO18*BO18)^(BN31/2)</f>
        <v>211661962.42055205</v>
      </c>
      <c r="BO32" s="12"/>
      <c r="BP32" s="11">
        <f t="shared" ref="BP32" ca="1" si="127">(BP17*BP17+BQ17*BQ17)^(BP30/2)+(BP18*BP18+BQ18*BQ18)^(BP31/2)</f>
        <v>4640683136.7270794</v>
      </c>
      <c r="BQ32" s="12"/>
      <c r="BR32" s="11">
        <f t="shared" ref="BR32" ca="1" si="128">(BR17*BR17+BS17*BS17)^(BR30/2)+(BR18*BR18+BS18*BS18)^(BR31/2)</f>
        <v>4580209935.7569637</v>
      </c>
      <c r="BS32" s="12"/>
      <c r="BT32" s="11">
        <f t="shared" ref="BT32" ca="1" si="129">(BT17*BT17+BU17*BU17)^(BT30/2)+(BT18*BT18+BU18*BU18)^(BT31/2)</f>
        <v>4336006710.9926491</v>
      </c>
      <c r="BU32" s="12"/>
      <c r="BV32" s="5">
        <f t="shared" ref="BV32" si="130">(BV17*BV17+BW17*BW17)^(BV30/2)+(BV18*BV18+BW18*BW18)^(BV31/2)</f>
        <v>2322343958.3727775</v>
      </c>
      <c r="BW32" s="6"/>
      <c r="BX32" s="5">
        <f t="shared" ref="BX32" si="131">(BX17*BX17+BY17*BY17)^(BX30/2)+(BX18*BX18+BY18*BY18)^(BX31/2)</f>
        <v>2123604264.6209691</v>
      </c>
      <c r="BY32" s="6"/>
      <c r="BZ32" s="5">
        <f t="shared" ref="BZ32" si="132">(BZ17*BZ17+CA17*CA17)^(BZ30/2)+(BZ18*BZ18+CA18*CA18)^(BZ31/2)</f>
        <v>2054726284.4635537</v>
      </c>
      <c r="CA32" s="6"/>
      <c r="CB32" s="5">
        <f t="shared" ref="CB32" si="133">(CB17*CB17+CC17*CC17)^(CB30/2)+(CB18*CB18+CC18*CC18)^(CB31/2)</f>
        <v>3282544795.1495905</v>
      </c>
      <c r="CC32" s="6"/>
      <c r="CD32" s="5">
        <f t="shared" ref="CD32" si="134">(CD17*CD17+CE17*CE17)^(CD30/2)+(CD18*CD18+CE18*CE18)^(CD31/2)</f>
        <v>3103537244.5393462</v>
      </c>
      <c r="CE32" s="6"/>
      <c r="CF32" s="5">
        <f t="shared" ref="CF32" si="135">(CF17*CF17+CG17*CG17)^(CF30/2)+(CF18*CF18+CG18*CG18)^(CF31/2)</f>
        <v>3119303983.4049544</v>
      </c>
      <c r="CG32" s="6"/>
      <c r="CH32" s="5">
        <f t="shared" ref="CH32" si="136">(CH17*CH17+CI17*CI17)^(CH30/2)+(CH18*CH18+CI18*CI18)^(CH31/2)</f>
        <v>4847663031.9655523</v>
      </c>
      <c r="CI32" s="6"/>
      <c r="CJ32" s="5">
        <f t="shared" ref="CJ32" si="137">(CJ17*CJ17+CK17*CK17)^(CJ30/2)+(CJ18*CJ18+CK18*CK18)^(CJ31/2)</f>
        <v>5214299397.6123114</v>
      </c>
      <c r="CK32" s="6"/>
      <c r="CL32" s="5">
        <f t="shared" ref="CL32" si="138">(CL17*CL17+CM17*CM17)^(CL30/2)+(CL18*CL18+CM18*CM18)^(CL31/2)</f>
        <v>4562727210.0530949</v>
      </c>
      <c r="CM32" s="6"/>
      <c r="CN32" s="5">
        <f t="shared" ref="CN32" si="139">(CN17*CN17+CO17*CO17)^(CN30/2)+(CN18*CN18+CO18*CO18)^(CN31/2)</f>
        <v>586648.3311525085</v>
      </c>
      <c r="CO32" s="6"/>
      <c r="CP32" s="5">
        <f t="shared" ref="CP32" si="140">(CP17*CP17+CQ17*CQ17)^(CP30/2)+(CP18*CP18+CQ18*CQ18)^(CP31/2)</f>
        <v>633598.38108110416</v>
      </c>
      <c r="CQ32" s="6"/>
      <c r="CR32" s="5">
        <f t="shared" ref="CR32" ca="1" si="141">(CR17*CR17+CS17*CS17)^(CR30/2)+(CR18*CR18+CS18*CS18)^(CR31/2)</f>
        <v>769507.27427264233</v>
      </c>
      <c r="CS32" s="6"/>
      <c r="CT32" s="5">
        <f t="shared" ref="CT32" si="142">(CT17*CT17+CU17*CU17)^(CT30/2)+(CT18*CT18+CU18*CU18)^(CT31/2)</f>
        <v>224298972.98448768</v>
      </c>
      <c r="CU32" s="6"/>
      <c r="CV32" s="5">
        <f t="shared" ref="CV32" si="143">(CV17*CV17+CW17*CW17)^(CV30/2)+(CV18*CV18+CW18*CW18)^(CV31/2)</f>
        <v>206772279.55176362</v>
      </c>
      <c r="CW32" s="6"/>
      <c r="CX32" s="5">
        <f t="shared" ref="CX32" si="144">(CX17*CX17+CY17*CY17)^(CX30/2)+(CX18*CX18+CY18*CY18)^(CX31/2)</f>
        <v>198714865.63621756</v>
      </c>
      <c r="CY32" s="6"/>
      <c r="CZ32" s="5">
        <f t="shared" ref="CZ32" ca="1" si="145">(CZ17*CZ17+DA17*DA17)^(CZ30/2)+(CZ18*CZ18+DA18*DA18)^(CZ31/2)</f>
        <v>4789957945.7352209</v>
      </c>
      <c r="DA32" s="6"/>
      <c r="DB32" s="5">
        <f t="shared" ref="DB32" ca="1" si="146">(DB17*DB17+DC17*DC17)^(DB30/2)+(DB18*DB18+DC18*DC18)^(DB31/2)</f>
        <v>4451271513.687418</v>
      </c>
      <c r="DC32" s="6"/>
      <c r="DD32" s="5">
        <f t="shared" ref="DD32" ca="1" si="147">(DD17*DD17+DE17*DE17)^(DD30/2)+(DD18*DD18+DE18*DE18)^(DD31/2)</f>
        <v>4652352114.7606754</v>
      </c>
      <c r="DE32" s="6"/>
      <c r="DF32" s="9">
        <f t="shared" ref="DF32" si="148">(DF17*DF17+DG17*DG17)^(DF30/2)+(DF18*DF18+DG18*DG18)^(DF31/2)</f>
        <v>2553540814.4742961</v>
      </c>
      <c r="DG32" s="10"/>
      <c r="DH32" s="9">
        <f t="shared" ref="DH32" ca="1" si="149">(DH17*DH17+DI17*DI17)^(DH30/2)+(DH18*DH18+DI18*DI18)^(DH31/2)</f>
        <v>2944105489.72472</v>
      </c>
      <c r="DI32" s="10"/>
      <c r="DJ32" s="9">
        <f t="shared" ref="DJ32" ca="1" si="150">(DJ17*DJ17+DK17*DK17)^(DJ30/2)+(DJ18*DJ18+DK18*DK18)^(DJ31/2)</f>
        <v>2817809146.7201986</v>
      </c>
      <c r="DK32" s="10"/>
      <c r="DL32" s="9">
        <f t="shared" ref="DL32" si="151">(DL17*DL17+DM17*DM17)^(DL30/2)+(DL18*DL18+DM18*DM18)^(DL31/2)</f>
        <v>3144223553.5804119</v>
      </c>
      <c r="DM32" s="10"/>
      <c r="DN32" s="9">
        <f t="shared" ref="DN32" ca="1" si="152">(DN17*DN17+DO17*DO17)^(DN30/2)+(DN18*DN18+DO18*DO18)^(DN31/2)</f>
        <v>4255010397.0456877</v>
      </c>
      <c r="DO32" s="10"/>
      <c r="DP32" s="9">
        <f t="shared" ref="DP32" ca="1" si="153">(DP17*DP17+DQ17*DQ17)^(DP30/2)+(DP18*DP18+DQ18*DQ18)^(DP31/2)</f>
        <v>4398516090.3932581</v>
      </c>
      <c r="DQ32" s="10"/>
      <c r="DR32" s="9">
        <f t="shared" ref="DR32" ca="1" si="154">(DR17*DR17+DS17*DS17)^(DR30/2)+(DR18*DR18+DS18*DS18)^(DR31/2)</f>
        <v>6760349745.2463064</v>
      </c>
      <c r="DS32" s="10"/>
      <c r="DT32" s="9">
        <f t="shared" ref="DT32" ca="1" si="155">(DT17*DT17+DU17*DU17)^(DT30/2)+(DT18*DT18+DU18*DU18)^(DT31/2)</f>
        <v>7190541340.7313747</v>
      </c>
      <c r="DU32" s="10"/>
      <c r="DV32" s="9">
        <f t="shared" ref="DV32" ca="1" si="156">(DV17*DV17+DW17*DW17)^(DV30/2)+(DV18*DV18+DW18*DW18)^(DV31/2)</f>
        <v>6325716897.1074667</v>
      </c>
      <c r="DW32" s="10"/>
      <c r="DX32" s="9">
        <f t="shared" ref="DX32" ca="1" si="157">(DX17*DX17+DY17*DY17)^(DX30/2)+(DX18*DX18+DY18*DY18)^(DX31/2)</f>
        <v>786388.73013872933</v>
      </c>
      <c r="DY32" s="10"/>
      <c r="DZ32" s="9">
        <f t="shared" ref="DZ32" ca="1" si="158">(DZ17*DZ17+EA17*EA17)^(DZ30/2)+(DZ18*DZ18+EA18*EA18)^(DZ31/2)</f>
        <v>854012.40382651356</v>
      </c>
      <c r="EA32" s="10"/>
      <c r="EB32" s="9">
        <f t="shared" ref="EB32" ca="1" si="159">(EB17*EB17+EC17*EC17)^(EB30/2)+(EB18*EB18+EC18*EC18)^(EB31/2)</f>
        <v>1072724.8294411842</v>
      </c>
      <c r="EC32" s="10"/>
      <c r="ED32" s="9">
        <f t="shared" ref="ED32" si="160">(ED17*ED17+EE17*EE17)^(ED30/2)+(ED18*ED18+EE18*EE18)^(ED31/2)</f>
        <v>244206296.01411012</v>
      </c>
      <c r="EE32" s="10"/>
      <c r="EF32" s="9">
        <f t="shared" ref="EF32" ca="1" si="161">(EF17*EF17+EG17*EG17)^(EF30/2)+(EF18*EF18+EG18*EG18)^(EF31/2)</f>
        <v>286549630.58764297</v>
      </c>
      <c r="EG32" s="10"/>
      <c r="EH32" s="9">
        <f t="shared" ref="EH32" ca="1" si="162">(EH17*EH17+EI17*EI17)^(EH30/2)+(EH18*EH18+EI18*EI18)^(EH31/2)</f>
        <v>271623674.13784325</v>
      </c>
      <c r="EI32" s="10"/>
      <c r="EJ32" s="9">
        <f t="shared" ref="EJ32" ca="1" si="163">(EJ17*EJ17+EK17*EK17)^(EJ30/2)+(EJ18*EJ18+EK18*EK18)^(EJ31/2)</f>
        <v>4585060846.4573536</v>
      </c>
      <c r="EK32" s="10"/>
      <c r="EL32" s="9">
        <f t="shared" ref="EL32" ca="1" si="164">(EL17*EL17+EM17*EM17)^(EL30/2)+(EL18*EL18+EM18*EM18)^(EL31/2)</f>
        <v>6105317015.9520931</v>
      </c>
      <c r="EM32" s="10"/>
      <c r="EN32" s="9">
        <f t="shared" ref="EN32" ca="1" si="165">(EN17*EN17+EO17*EO17)^(EN30/2)+(EN18*EN18+EO18*EO18)^(EN31/2)</f>
        <v>6171907477.7893524</v>
      </c>
      <c r="EO32" s="10"/>
    </row>
    <row r="33" spans="1:145" x14ac:dyDescent="0.25">
      <c r="A33" s="17" t="s">
        <v>46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1"/>
      <c r="AM33" s="12"/>
      <c r="AN33" s="11"/>
      <c r="AO33" s="12"/>
      <c r="AP33" s="11"/>
      <c r="AQ33" s="12"/>
      <c r="AR33" s="11"/>
      <c r="AS33" s="12"/>
      <c r="AT33" s="11"/>
      <c r="AU33" s="12"/>
      <c r="AV33" s="11"/>
      <c r="AW33" s="12"/>
      <c r="AX33" s="11"/>
      <c r="AY33" s="12"/>
      <c r="AZ33" s="11"/>
      <c r="BA33" s="12"/>
      <c r="BB33" s="11"/>
      <c r="BC33" s="12"/>
      <c r="BD33" s="11"/>
      <c r="BE33" s="12"/>
      <c r="BF33" s="11"/>
      <c r="BG33" s="12"/>
      <c r="BH33" s="11"/>
      <c r="BI33" s="12"/>
      <c r="BJ33" s="11"/>
      <c r="BK33" s="12"/>
      <c r="BL33" s="11"/>
      <c r="BM33" s="12"/>
      <c r="BN33" s="11"/>
      <c r="BO33" s="12"/>
      <c r="BP33" s="11"/>
      <c r="BQ33" s="12"/>
      <c r="BR33" s="11"/>
      <c r="BS33" s="12"/>
      <c r="BT33" s="11"/>
      <c r="BU33" s="12"/>
      <c r="BV33" s="5"/>
      <c r="BW33" s="6"/>
      <c r="BX33" s="5"/>
      <c r="BY33" s="6"/>
      <c r="BZ33" s="5"/>
      <c r="CA33" s="6"/>
      <c r="CB33" s="5"/>
      <c r="CC33" s="6"/>
      <c r="CD33" s="5"/>
      <c r="CE33" s="6"/>
      <c r="CF33" s="5"/>
      <c r="CG33" s="6"/>
      <c r="CH33" s="5"/>
      <c r="CI33" s="6"/>
      <c r="CJ33" s="5"/>
      <c r="CK33" s="6"/>
      <c r="CL33" s="5"/>
      <c r="CM33" s="6"/>
      <c r="CN33" s="5"/>
      <c r="CO33" s="6"/>
      <c r="CP33" s="5"/>
      <c r="CQ33" s="6"/>
      <c r="CR33" s="5"/>
      <c r="CS33" s="6"/>
      <c r="CT33" s="5"/>
      <c r="CU33" s="6"/>
      <c r="CV33" s="5"/>
      <c r="CW33" s="6"/>
      <c r="CX33" s="5"/>
      <c r="CY33" s="6"/>
      <c r="CZ33" s="5"/>
      <c r="DA33" s="6"/>
      <c r="DB33" s="5"/>
      <c r="DC33" s="6"/>
      <c r="DD33" s="5"/>
      <c r="DE33" s="6"/>
      <c r="DF33" s="9"/>
      <c r="DG33" s="10"/>
      <c r="DH33" s="9"/>
      <c r="DI33" s="10"/>
      <c r="DJ33" s="9"/>
      <c r="DK33" s="10"/>
      <c r="DL33" s="9"/>
      <c r="DM33" s="10"/>
      <c r="DN33" s="9"/>
      <c r="DO33" s="10"/>
      <c r="DP33" s="9"/>
      <c r="DQ33" s="10"/>
      <c r="DR33" s="9"/>
      <c r="DS33" s="10"/>
      <c r="DT33" s="9"/>
      <c r="DU33" s="10"/>
      <c r="DV33" s="9"/>
      <c r="DW33" s="10"/>
      <c r="DX33" s="9"/>
      <c r="DY33" s="10"/>
      <c r="DZ33" s="9"/>
      <c r="EA33" s="10"/>
      <c r="EB33" s="9"/>
      <c r="EC33" s="10"/>
      <c r="ED33" s="9"/>
      <c r="EE33" s="10"/>
      <c r="EF33" s="9"/>
      <c r="EG33" s="10"/>
      <c r="EH33" s="9"/>
      <c r="EI33" s="10"/>
      <c r="EJ33" s="9"/>
      <c r="EK33" s="10"/>
      <c r="EL33" s="9"/>
      <c r="EM33" s="10"/>
      <c r="EN33" s="9"/>
      <c r="EO33" s="10"/>
    </row>
    <row r="34" spans="1:145" x14ac:dyDescent="0.25">
      <c r="A34" s="15" t="s">
        <v>113</v>
      </c>
      <c r="B34" s="8">
        <f>'типовая конструкция'!B34</f>
        <v>300</v>
      </c>
      <c r="C34" s="8"/>
      <c r="D34" s="8">
        <f>B34</f>
        <v>300</v>
      </c>
      <c r="E34" s="8"/>
      <c r="F34" s="8">
        <f>D34</f>
        <v>300</v>
      </c>
      <c r="G34" s="8"/>
      <c r="H34" s="8">
        <f>F34</f>
        <v>300</v>
      </c>
      <c r="I34" s="8"/>
      <c r="J34" s="8">
        <f>H34</f>
        <v>300</v>
      </c>
      <c r="K34" s="8"/>
      <c r="L34" s="8">
        <f>J34</f>
        <v>300</v>
      </c>
      <c r="M34" s="8"/>
      <c r="N34" s="8">
        <f>L34</f>
        <v>300</v>
      </c>
      <c r="O34" s="8"/>
      <c r="P34" s="8">
        <f>N34</f>
        <v>300</v>
      </c>
      <c r="Q34" s="8"/>
      <c r="R34" s="8">
        <f>P34</f>
        <v>300</v>
      </c>
      <c r="S34" s="8"/>
      <c r="T34" s="8">
        <f>R34</f>
        <v>300</v>
      </c>
      <c r="U34" s="8"/>
      <c r="V34" s="8">
        <f>T34</f>
        <v>300</v>
      </c>
      <c r="W34" s="8"/>
      <c r="X34" s="8">
        <f>V34</f>
        <v>300</v>
      </c>
      <c r="Y34" s="8"/>
      <c r="Z34" s="8">
        <f>X34</f>
        <v>300</v>
      </c>
      <c r="AA34" s="8"/>
      <c r="AB34" s="8">
        <f>Z34</f>
        <v>300</v>
      </c>
      <c r="AC34" s="8"/>
      <c r="AD34" s="8">
        <f>AB34</f>
        <v>300</v>
      </c>
      <c r="AE34" s="8"/>
      <c r="AF34" s="8">
        <f>AD34</f>
        <v>300</v>
      </c>
      <c r="AG34" s="8"/>
      <c r="AH34" s="8">
        <f>AF34</f>
        <v>300</v>
      </c>
      <c r="AI34" s="8"/>
      <c r="AJ34" s="8">
        <f>AH34</f>
        <v>300</v>
      </c>
      <c r="AK34" s="8"/>
      <c r="AL34" s="8">
        <f>AJ34</f>
        <v>300</v>
      </c>
      <c r="AM34" s="8"/>
      <c r="AN34" s="8">
        <f>AL34</f>
        <v>300</v>
      </c>
      <c r="AO34" s="8"/>
      <c r="AP34" s="8">
        <f>AN34</f>
        <v>300</v>
      </c>
      <c r="AQ34" s="8"/>
      <c r="AR34" s="8">
        <f>AP34</f>
        <v>300</v>
      </c>
      <c r="AS34" s="8"/>
      <c r="AT34" s="8">
        <f>AR34</f>
        <v>300</v>
      </c>
      <c r="AU34" s="8"/>
      <c r="AV34" s="8">
        <f>AT34</f>
        <v>300</v>
      </c>
      <c r="AW34" s="8"/>
      <c r="AX34" s="8">
        <f>AV34</f>
        <v>300</v>
      </c>
      <c r="AY34" s="8"/>
      <c r="AZ34" s="8">
        <f>AX34</f>
        <v>300</v>
      </c>
      <c r="BA34" s="8"/>
      <c r="BB34" s="8">
        <f>AZ34</f>
        <v>300</v>
      </c>
      <c r="BC34" s="8"/>
      <c r="BD34" s="8">
        <f>BB34</f>
        <v>300</v>
      </c>
      <c r="BE34" s="8"/>
      <c r="BF34" s="8">
        <f>BD34</f>
        <v>300</v>
      </c>
      <c r="BG34" s="8"/>
      <c r="BH34" s="8">
        <f>BF34</f>
        <v>300</v>
      </c>
      <c r="BI34" s="8"/>
      <c r="BJ34" s="8">
        <f>BH34</f>
        <v>300</v>
      </c>
      <c r="BK34" s="8"/>
      <c r="BL34" s="8">
        <f>BJ34</f>
        <v>300</v>
      </c>
      <c r="BM34" s="8"/>
      <c r="BN34" s="8">
        <f>BL34</f>
        <v>300</v>
      </c>
      <c r="BO34" s="8"/>
      <c r="BP34" s="8">
        <f>BN34</f>
        <v>300</v>
      </c>
      <c r="BQ34" s="8"/>
      <c r="BR34" s="8">
        <f>BP34</f>
        <v>300</v>
      </c>
      <c r="BS34" s="12"/>
      <c r="BT34" s="11">
        <f>BR34</f>
        <v>300</v>
      </c>
      <c r="BU34" s="12"/>
      <c r="BV34" s="8">
        <f>BT34</f>
        <v>300</v>
      </c>
      <c r="BW34" s="8"/>
      <c r="BX34" s="8">
        <f>BV34</f>
        <v>300</v>
      </c>
      <c r="BY34" s="8"/>
      <c r="BZ34" s="8">
        <f>BX34</f>
        <v>300</v>
      </c>
      <c r="CA34" s="8"/>
      <c r="CB34" s="8">
        <f>BZ34</f>
        <v>300</v>
      </c>
      <c r="CC34" s="8"/>
      <c r="CD34" s="8">
        <f>CB34</f>
        <v>300</v>
      </c>
      <c r="CE34" s="8"/>
      <c r="CF34" s="8">
        <f>CD34</f>
        <v>300</v>
      </c>
      <c r="CG34" s="8"/>
      <c r="CH34" s="8">
        <f>CF34</f>
        <v>300</v>
      </c>
      <c r="CI34" s="8"/>
      <c r="CJ34" s="8">
        <f>CH34</f>
        <v>300</v>
      </c>
      <c r="CK34" s="8"/>
      <c r="CL34" s="8">
        <f>CJ34</f>
        <v>300</v>
      </c>
      <c r="CM34" s="8"/>
      <c r="CN34" s="8">
        <f>CL34</f>
        <v>300</v>
      </c>
      <c r="CO34" s="8"/>
      <c r="CP34" s="8">
        <f>CN34</f>
        <v>300</v>
      </c>
      <c r="CQ34" s="8"/>
      <c r="CR34" s="8">
        <f>CP34</f>
        <v>300</v>
      </c>
      <c r="CS34" s="8"/>
      <c r="CT34" s="8">
        <f>CR34</f>
        <v>300</v>
      </c>
      <c r="CU34" s="8"/>
      <c r="CV34" s="8">
        <f>CT34</f>
        <v>300</v>
      </c>
      <c r="CW34" s="8"/>
      <c r="CX34" s="8">
        <f>CV34</f>
        <v>300</v>
      </c>
      <c r="CY34" s="8"/>
      <c r="CZ34" s="8">
        <f>CX34</f>
        <v>300</v>
      </c>
      <c r="DA34" s="8"/>
      <c r="DB34" s="8">
        <f>CZ34</f>
        <v>300</v>
      </c>
      <c r="DC34" s="12"/>
      <c r="DD34" s="11">
        <f>DB34</f>
        <v>300</v>
      </c>
      <c r="DE34" s="12"/>
      <c r="DF34" s="8">
        <f>DD34</f>
        <v>300</v>
      </c>
      <c r="DG34" s="8"/>
      <c r="DH34" s="8">
        <f>DF34</f>
        <v>300</v>
      </c>
      <c r="DI34" s="8"/>
      <c r="DJ34" s="8">
        <f>DH34</f>
        <v>300</v>
      </c>
      <c r="DK34" s="8"/>
      <c r="DL34" s="8">
        <f>DJ34</f>
        <v>300</v>
      </c>
      <c r="DM34" s="8"/>
      <c r="DN34" s="8">
        <f>DL34</f>
        <v>300</v>
      </c>
      <c r="DO34" s="8"/>
      <c r="DP34" s="8">
        <f>DN34</f>
        <v>300</v>
      </c>
      <c r="DQ34" s="8"/>
      <c r="DR34" s="8">
        <f>DP34</f>
        <v>300</v>
      </c>
      <c r="DS34" s="8"/>
      <c r="DT34" s="8">
        <f>DR34</f>
        <v>300</v>
      </c>
      <c r="DU34" s="8"/>
      <c r="DV34" s="8">
        <f>DT34</f>
        <v>300</v>
      </c>
      <c r="DW34" s="8"/>
      <c r="DX34" s="8">
        <f>DV34</f>
        <v>300</v>
      </c>
      <c r="DY34" s="8"/>
      <c r="DZ34" s="8">
        <f>DX34</f>
        <v>300</v>
      </c>
      <c r="EA34" s="8"/>
      <c r="EB34" s="8">
        <f>DZ34</f>
        <v>300</v>
      </c>
      <c r="EC34" s="8"/>
      <c r="ED34" s="8">
        <f>EB34</f>
        <v>300</v>
      </c>
      <c r="EE34" s="8"/>
      <c r="EF34" s="8">
        <f>ED34</f>
        <v>300</v>
      </c>
      <c r="EG34" s="8"/>
      <c r="EH34" s="8">
        <f>EF34</f>
        <v>300</v>
      </c>
      <c r="EI34" s="8"/>
      <c r="EJ34" s="8">
        <f>EH34</f>
        <v>300</v>
      </c>
      <c r="EK34" s="8"/>
      <c r="EL34" s="8">
        <f>EJ34</f>
        <v>300</v>
      </c>
      <c r="EM34" s="12"/>
      <c r="EN34" s="11">
        <f>EL34</f>
        <v>300</v>
      </c>
      <c r="EO34" s="12"/>
    </row>
    <row r="35" spans="1:145" hidden="1" x14ac:dyDescent="0.25">
      <c r="A35" s="15" t="s">
        <v>47</v>
      </c>
      <c r="B35" s="8">
        <f>'типовая конструкция'!B35</f>
        <v>34857.626604644371</v>
      </c>
      <c r="C35" s="8"/>
      <c r="D35" s="8">
        <f t="shared" ref="D35" si="166">((D19*D19+E19*E19))*EXP((D19+2.5*E19)/D34)</f>
        <v>21686.694029793896</v>
      </c>
      <c r="E35" s="8"/>
      <c r="F35" s="8">
        <f t="shared" ref="F35" si="167">((F19*F19+G19*G19))*EXP((F19+2.5*G19)/F34)</f>
        <v>22193.351461628936</v>
      </c>
      <c r="G35" s="8"/>
      <c r="H35" s="8">
        <f t="shared" ref="H35" si="168">((H19*H19+I19*I19))*EXP((H19+2.5*I19)/H34)</f>
        <v>24614.909296318732</v>
      </c>
      <c r="I35" s="8"/>
      <c r="J35" s="8">
        <f t="shared" ref="J35" si="169">((J19*J19+K19*K19))*EXP((J19+2.5*K19)/J34)</f>
        <v>24530.818778284949</v>
      </c>
      <c r="K35" s="8"/>
      <c r="L35" s="8">
        <f t="shared" ref="L35" si="170">((L19*L19+M19*M19))*EXP((L19+2.5*M19)/L34)</f>
        <v>25502.832768023236</v>
      </c>
      <c r="M35" s="8"/>
      <c r="N35" s="8">
        <f t="shared" ref="N35" si="171">((N19*N19+O19*O19))*EXP((N19+2.5*O19)/N34)</f>
        <v>31454.177332544165</v>
      </c>
      <c r="O35" s="8"/>
      <c r="P35" s="8">
        <f t="shared" ref="P35" si="172">((P19*P19+Q19*Q19))*EXP((P19+2.5*Q19)/P34)</f>
        <v>31639.541159011482</v>
      </c>
      <c r="Q35" s="8"/>
      <c r="R35" s="8">
        <f t="shared" ref="R35" si="173">((R19*R19+S19*S19))*EXP((R19+2.5*S19)/R34)</f>
        <v>30661.378364372118</v>
      </c>
      <c r="S35" s="8"/>
      <c r="T35" s="8">
        <f t="shared" ref="T35" si="174">((T19*T19+U19*U19))*EXP((T19+2.5*U19)/T34)</f>
        <v>1006.3513639151944</v>
      </c>
      <c r="U35" s="8"/>
      <c r="V35" s="8">
        <f t="shared" ref="V35" si="175">((V19*V19+W19*W19))*EXP((V19+2.5*W19)/V34)</f>
        <v>970.29267284894274</v>
      </c>
      <c r="W35" s="8"/>
      <c r="X35" s="8">
        <f t="shared" ref="X35" si="176">((X19*X19+Y19*Y19))*EXP((X19+2.5*Y19)/X34)</f>
        <v>987.82993004998661</v>
      </c>
      <c r="Y35" s="8"/>
      <c r="Z35" s="8">
        <f t="shared" ref="Z35" si="177">((Z19*Z19+AA19*AA19))*EXP((Z19+2.5*AA19)/Z34)</f>
        <v>8895.156842221415</v>
      </c>
      <c r="AA35" s="8"/>
      <c r="AB35" s="8">
        <f t="shared" ref="AB35" si="178">((AB19*AB19+AC19*AC19))*EXP((AB19+2.5*AC19)/AB34)</f>
        <v>8566.3818186700992</v>
      </c>
      <c r="AC35" s="8"/>
      <c r="AD35" s="8">
        <f t="shared" ref="AD35" si="179">((AD19*AD19+AE19*AE19))*EXP((AD19+2.5*AE19)/AD34)</f>
        <v>8542.4995431384723</v>
      </c>
      <c r="AE35" s="8"/>
      <c r="AF35" s="8">
        <f t="shared" ref="AF35" ca="1" si="180">((AF19*AF19+AG19*AG19))*EXP((AF19+2.5*AG19)/AF34)</f>
        <v>27820.788962474206</v>
      </c>
      <c r="AG35" s="8"/>
      <c r="AH35" s="8">
        <f t="shared" ref="AH35" ca="1" si="181">((AH19*AH19+AI19*AI19))*EXP((AH19+2.5*AI19)/AH34)</f>
        <v>29020.534088168555</v>
      </c>
      <c r="AI35" s="8"/>
      <c r="AJ35" s="8">
        <f t="shared" ref="AJ35" ca="1" si="182">((AJ19*AJ19+AK19*AK19))*EXP((AJ19+2.5*AK19)/AJ34)</f>
        <v>29377.297014660224</v>
      </c>
      <c r="AK35" s="8"/>
      <c r="AL35" s="11">
        <f t="shared" ref="AL35" si="183">((AL19*AL19+AM19*AM19))*EXP((AL19+2.5*AM19)/AL34)</f>
        <v>23884.629591655874</v>
      </c>
      <c r="AM35" s="12"/>
      <c r="AN35" s="11">
        <f t="shared" ref="AN35" si="184">((AN19*AN19+AO19*AO19))*EXP((AN19+2.5*AO19)/AN34)</f>
        <v>21785.603241402951</v>
      </c>
      <c r="AO35" s="12"/>
      <c r="AP35" s="11">
        <f t="shared" ref="AP35" si="185">((AP19*AP19+AQ19*AQ19))*EXP((AP19+2.5*AQ19)/AP34)</f>
        <v>22101.713597853653</v>
      </c>
      <c r="AQ35" s="12"/>
      <c r="AR35" s="11">
        <f t="shared" ref="AR35" si="186">((AR19*AR19+AS19*AS19))*EXP((AR19+2.5*AS19)/AR34)</f>
        <v>25402.867532415046</v>
      </c>
      <c r="AS35" s="12"/>
      <c r="AT35" s="11">
        <f t="shared" ref="AT35" si="187">((AT19*AT19+AU19*AU19))*EXP((AT19+2.5*AU19)/AT34)</f>
        <v>24889.016734827354</v>
      </c>
      <c r="AU35" s="12"/>
      <c r="AV35" s="11">
        <f t="shared" ref="AV35" si="188">((AV19*AV19+AW19*AW19))*EXP((AV19+2.5*AW19)/AV34)</f>
        <v>25178.64704935165</v>
      </c>
      <c r="AW35" s="12"/>
      <c r="AX35" s="11">
        <f t="shared" ref="AX35" si="189">((AX19*AX19+AY19*AY19))*EXP((AX19+2.5*AY19)/AX34)</f>
        <v>30550.610062630723</v>
      </c>
      <c r="AY35" s="12"/>
      <c r="AZ35" s="11">
        <f t="shared" ref="AZ35" si="190">((AZ19*AZ19+BA19*BA19))*EXP((AZ19+2.5*BA19)/AZ34)</f>
        <v>30865.144658416979</v>
      </c>
      <c r="BA35" s="12"/>
      <c r="BB35" s="11">
        <f t="shared" ref="BB35" si="191">((BB19*BB19+BC19*BC19))*EXP((BB19+2.5*BC19)/BB34)</f>
        <v>30954.257362935667</v>
      </c>
      <c r="BC35" s="12"/>
      <c r="BD35" s="11">
        <f t="shared" ref="BD35" si="192">((BD19*BD19+BE19*BE19))*EXP((BD19+2.5*BE19)/BD34)</f>
        <v>998.50033501236601</v>
      </c>
      <c r="BE35" s="12"/>
      <c r="BF35" s="11">
        <f t="shared" ref="BF35" si="193">((BF19*BF19+BG19*BG19))*EXP((BF19+2.5*BG19)/BF34)</f>
        <v>978.53102782601025</v>
      </c>
      <c r="BG35" s="12"/>
      <c r="BH35" s="11">
        <f t="shared" ref="BH35" si="194">((BH19*BH19+BI19*BI19))*EXP((BH19+2.5*BI19)/BH34)</f>
        <v>1219.7263382145172</v>
      </c>
      <c r="BI35" s="12"/>
      <c r="BJ35" s="11">
        <f t="shared" ref="BJ35" si="195">((BJ19*BJ19+BK19*BK19))*EXP((BJ19+2.5*BK19)/BJ34)</f>
        <v>9158.8941748009183</v>
      </c>
      <c r="BK35" s="12"/>
      <c r="BL35" s="11">
        <f t="shared" ref="BL35" si="196">((BL19*BL19+BM19*BM19))*EXP((BL19+2.5*BM19)/BL34)</f>
        <v>8466.548057068756</v>
      </c>
      <c r="BM35" s="12"/>
      <c r="BN35" s="11">
        <f t="shared" ref="BN35" si="197">((BN19*BN19+BO19*BO19))*EXP((BN19+2.5*BO19)/BN34)</f>
        <v>8581.0800043974177</v>
      </c>
      <c r="BO35" s="12"/>
      <c r="BP35" s="11">
        <f t="shared" ref="BP35" ca="1" si="198">((BP19*BP19+BQ19*BQ19))*EXP((BP19+2.5*BQ19)/BP34)</f>
        <v>29550.893553835591</v>
      </c>
      <c r="BQ35" s="12"/>
      <c r="BR35" s="11">
        <f t="shared" ref="BR35" ca="1" si="199">((BR19*BR19+BS19*BS19))*EXP((BR19+2.5*BS19)/BR34)</f>
        <v>29060.320545658487</v>
      </c>
      <c r="BS35" s="12"/>
      <c r="BT35" s="11">
        <f t="shared" ref="BT35" ca="1" si="200">((BT19*BT19+BU19*BU19))*EXP((BT19+2.5*BU19)/BT34)</f>
        <v>28797.529384018919</v>
      </c>
      <c r="BU35" s="12"/>
      <c r="BV35" s="5">
        <f t="shared" ref="BV35" si="201">((BV19*BV19+BW19*BW19))*EXP((BV19+2.5*BW19)/BV34)</f>
        <v>22609.04112504124</v>
      </c>
      <c r="BW35" s="6"/>
      <c r="BX35" s="5">
        <f t="shared" ref="BX35" si="202">((BX19*BX19+BY19*BY19))*EXP((BX19+2.5*BY19)/BX34)</f>
        <v>21588.077955890163</v>
      </c>
      <c r="BY35" s="6"/>
      <c r="BZ35" s="5">
        <f t="shared" ref="BZ35" si="203">((BZ19*BZ19+CA19*CA19))*EXP((BZ19+2.5*CA19)/BZ34)</f>
        <v>21602.478369594428</v>
      </c>
      <c r="CA35" s="6"/>
      <c r="CB35" s="5">
        <f t="shared" ref="CB35" si="204">((CB19*CB19+CC19*CC19))*EXP((CB19+2.5*CC19)/CB34)</f>
        <v>25283.43813723078</v>
      </c>
      <c r="CC35" s="6"/>
      <c r="CD35" s="5">
        <f t="shared" ref="CD35" si="205">((CD19*CD19+CE19*CE19))*EXP((CD19+2.5*CE19)/CD34)</f>
        <v>24577.397247122317</v>
      </c>
      <c r="CE35" s="6"/>
      <c r="CF35" s="5">
        <f t="shared" ref="CF35" si="206">((CF19*CF19+CG19*CG19))*EXP((CF19+2.5*CG19)/CF34)</f>
        <v>25178.407160237315</v>
      </c>
      <c r="CG35" s="6"/>
      <c r="CH35" s="5">
        <f t="shared" ref="CH35" si="207">((CH19*CH19+CI19*CI19))*EXP((CH19+2.5*CI19)/CH34)</f>
        <v>29877.60012542519</v>
      </c>
      <c r="CI35" s="6"/>
      <c r="CJ35" s="5">
        <f t="shared" ref="CJ35" si="208">((CJ19*CJ19+CK19*CK19))*EXP((CJ19+2.5*CK19)/CJ34)</f>
        <v>31134.19651741903</v>
      </c>
      <c r="CK35" s="6"/>
      <c r="CL35" s="5">
        <f t="shared" ref="CL35" si="209">((CL19*CL19+CM19*CM19))*EXP((CL19+2.5*CM19)/CL34)</f>
        <v>29389.39445150907</v>
      </c>
      <c r="CM35" s="6"/>
      <c r="CN35" s="5">
        <f t="shared" ref="CN35" si="210">((CN19*CN19+CO19*CO19))*EXP((CN19+2.5*CO19)/CN34)</f>
        <v>985.04360797008269</v>
      </c>
      <c r="CO35" s="6"/>
      <c r="CP35" s="5">
        <f t="shared" ref="CP35" si="211">((CP19*CP19+CQ19*CQ19))*EXP((CP19+2.5*CQ19)/CP34)</f>
        <v>1009.4548804879979</v>
      </c>
      <c r="CQ35" s="6"/>
      <c r="CR35" s="5">
        <f t="shared" ref="CR35" ca="1" si="212">((CR19*CR19+CS19*CS19))*EXP((CR19+2.5*CS19)/CR34)</f>
        <v>1098.5140838350137</v>
      </c>
      <c r="CS35" s="6"/>
      <c r="CT35" s="5">
        <f t="shared" ref="CT35" si="213">((CT19*CT19+CU19*CU19))*EXP((CT19+2.5*CU19)/CT34)</f>
        <v>8571.5848699929174</v>
      </c>
      <c r="CU35" s="6"/>
      <c r="CV35" s="5">
        <f t="shared" ref="CV35" si="214">((CV19*CV19+CW19*CW19))*EXP((CV19+2.5*CW19)/CV34)</f>
        <v>8346.8169345977367</v>
      </c>
      <c r="CW35" s="6"/>
      <c r="CX35" s="5">
        <f t="shared" ref="CX35" si="215">((CX19*CX19+CY19*CY19))*EXP((CX19+2.5*CY19)/CX34)</f>
        <v>8256.6310177206924</v>
      </c>
      <c r="CY35" s="6"/>
      <c r="CZ35" s="5">
        <f t="shared" ref="CZ35" ca="1" si="216">((CZ19*CZ19+DA19*DA19))*EXP((CZ19+2.5*DA19)/CZ34)</f>
        <v>29603.048006875273</v>
      </c>
      <c r="DA35" s="6"/>
      <c r="DB35" s="5">
        <f t="shared" ref="DB35" ca="1" si="217">((DB19*DB19+DC19*DC19))*EXP((DB19+2.5*DC19)/DB34)</f>
        <v>28525.904000773666</v>
      </c>
      <c r="DC35" s="6"/>
      <c r="DD35" s="5">
        <f t="shared" ref="DD35" ca="1" si="218">((DD19*DD19+DE19*DE19))*EXP((DD19+2.5*DE19)/DD34)</f>
        <v>29738.650132244537</v>
      </c>
      <c r="DE35" s="6"/>
      <c r="DF35" s="9">
        <f t="shared" ref="DF35" si="219">((DF19*DF19+DG19*DG19))*EXP((DF19+2.5*DG19)/DF34)</f>
        <v>23769.434468246607</v>
      </c>
      <c r="DG35" s="10"/>
      <c r="DH35" s="9">
        <f t="shared" ref="DH35" ca="1" si="220">((DH19*DH19+DI19*DI19))*EXP((DH19+2.5*DI19)/DH34)</f>
        <v>24707.685410091868</v>
      </c>
      <c r="DI35" s="10"/>
      <c r="DJ35" s="9">
        <f t="shared" ref="DJ35" ca="1" si="221">((DJ19*DJ19+DK19*DK19))*EXP((DJ19+2.5*DK19)/DJ34)</f>
        <v>24647.978528550459</v>
      </c>
      <c r="DK35" s="10"/>
      <c r="DL35" s="9">
        <f t="shared" ref="DL35" si="222">((DL19*DL19+DM19*DM19))*EXP((DL19+2.5*DM19)/DL34)</f>
        <v>25403.585753663723</v>
      </c>
      <c r="DM35" s="10"/>
      <c r="DN35" s="9">
        <f t="shared" ref="DN35" ca="1" si="223">((DN19*DN19+DO19*DO19))*EXP((DN19+2.5*DO19)/DN34)</f>
        <v>28015.507110465351</v>
      </c>
      <c r="DO35" s="10"/>
      <c r="DP35" s="9">
        <f t="shared" ref="DP35" ca="1" si="224">((DP19*DP19+DQ19*DQ19))*EXP((DP19+2.5*DQ19)/DP34)</f>
        <v>29060.331093318426</v>
      </c>
      <c r="DQ35" s="10"/>
      <c r="DR35" s="9">
        <f t="shared" ref="DR35" ca="1" si="225">((DR19*DR19+DS19*DS19))*EXP((DR19+2.5*DS19)/DR34)</f>
        <v>34388.478578567956</v>
      </c>
      <c r="DS35" s="10"/>
      <c r="DT35" s="9">
        <f t="shared" ref="DT35" ca="1" si="226">((DT19*DT19+DU19*DU19))*EXP((DT19+2.5*DU19)/DT34)</f>
        <v>35709.718545758369</v>
      </c>
      <c r="DU35" s="10"/>
      <c r="DV35" s="9">
        <f t="shared" ref="DV35" ca="1" si="227">((DV19*DV19+DW19*DW19))*EXP((DV19+2.5*DW19)/DV34)</f>
        <v>33734.351404574329</v>
      </c>
      <c r="DW35" s="10"/>
      <c r="DX35" s="9">
        <f t="shared" ref="DX35" ca="1" si="228">((DX19*DX19+DY19*DY19))*EXP((DX19+2.5*DY19)/DX34)</f>
        <v>1092.6973671920218</v>
      </c>
      <c r="DY35" s="10"/>
      <c r="DZ35" s="9">
        <f t="shared" ref="DZ35" ca="1" si="229">((DZ19*DZ19+EA19*EA19))*EXP((DZ19+2.5*EA19)/DZ34)</f>
        <v>1121.7801767444223</v>
      </c>
      <c r="EA35" s="10"/>
      <c r="EB35" s="9">
        <f t="shared" ref="EB35" ca="1" si="230">((EB19*EB19+EC19*EC19))*EXP((EB19+2.5*EC19)/EB34)</f>
        <v>1236.5585928169405</v>
      </c>
      <c r="EC35" s="10"/>
      <c r="ED35" s="9">
        <f t="shared" ref="ED35" si="231">((ED19*ED19+EE19*EE19))*EXP((ED19+2.5*EE19)/ED34)</f>
        <v>8800.3443822317113</v>
      </c>
      <c r="EE35" s="10"/>
      <c r="EF35" s="9">
        <f t="shared" ref="EF35" ca="1" si="232">((EF19*EF19+EG19*EG19))*EXP((EF19+2.5*EG19)/EF34)</f>
        <v>9451.2350414551111</v>
      </c>
      <c r="EG35" s="10"/>
      <c r="EH35" s="9">
        <f t="shared" ref="EH35" ca="1" si="233">((EH19*EH19+EI19*EI19))*EXP((EH19+2.5*EI19)/EH34)</f>
        <v>9261.3795986012865</v>
      </c>
      <c r="EI35" s="10"/>
      <c r="EJ35" s="9">
        <f t="shared" ref="EJ35" ca="1" si="234">((EJ19*EJ19+EK19*EK19))*EXP((EJ19+2.5*EK19)/EJ34)</f>
        <v>29733.173931969068</v>
      </c>
      <c r="EK35" s="10"/>
      <c r="EL35" s="9">
        <f t="shared" ref="EL35" ca="1" si="235">((EL19*EL19+EM19*EM19))*EXP((EL19+2.5*EM19)/EL34)</f>
        <v>32612.175968380299</v>
      </c>
      <c r="EM35" s="10"/>
      <c r="EN35" s="9">
        <f t="shared" ref="EN35" ca="1" si="236">((EN19*EN19+EO19*EO19))*EXP((EN19+2.5*EO19)/EN34)</f>
        <v>33580.41296052844</v>
      </c>
      <c r="EO35" s="10"/>
    </row>
    <row r="36" spans="1:145" hidden="1" x14ac:dyDescent="0.25">
      <c r="A36" s="17" t="s">
        <v>112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1"/>
      <c r="AM36" s="12"/>
      <c r="AN36" s="11"/>
      <c r="AO36" s="12"/>
      <c r="AP36" s="11"/>
      <c r="AQ36" s="12"/>
      <c r="AR36" s="11"/>
      <c r="AS36" s="12"/>
      <c r="AT36" s="11"/>
      <c r="AU36" s="12"/>
      <c r="AV36" s="11"/>
      <c r="AW36" s="12"/>
      <c r="AX36" s="11"/>
      <c r="AY36" s="12"/>
      <c r="AZ36" s="11"/>
      <c r="BA36" s="12"/>
      <c r="BB36" s="11"/>
      <c r="BC36" s="12"/>
      <c r="BD36" s="11"/>
      <c r="BE36" s="12"/>
      <c r="BF36" s="11"/>
      <c r="BG36" s="12"/>
      <c r="BH36" s="11"/>
      <c r="BI36" s="12"/>
      <c r="BJ36" s="11"/>
      <c r="BK36" s="12"/>
      <c r="BL36" s="11"/>
      <c r="BM36" s="12"/>
      <c r="BN36" s="11"/>
      <c r="BO36" s="12"/>
      <c r="BP36" s="11"/>
      <c r="BQ36" s="12"/>
      <c r="BR36" s="11"/>
      <c r="BS36" s="12"/>
      <c r="BT36" s="11"/>
      <c r="BU36" s="12"/>
      <c r="BV36" s="5"/>
      <c r="BW36" s="6"/>
      <c r="BX36" s="5"/>
      <c r="BY36" s="6"/>
      <c r="BZ36" s="5"/>
      <c r="CA36" s="6"/>
      <c r="CB36" s="5"/>
      <c r="CC36" s="6"/>
      <c r="CD36" s="5"/>
      <c r="CE36" s="6"/>
      <c r="CF36" s="5"/>
      <c r="CG36" s="6"/>
      <c r="CH36" s="5"/>
      <c r="CI36" s="6"/>
      <c r="CJ36" s="5"/>
      <c r="CK36" s="6"/>
      <c r="CL36" s="5"/>
      <c r="CM36" s="6"/>
      <c r="CN36" s="5"/>
      <c r="CO36" s="6"/>
      <c r="CP36" s="5"/>
      <c r="CQ36" s="6"/>
      <c r="CR36" s="5"/>
      <c r="CS36" s="6"/>
      <c r="CT36" s="5"/>
      <c r="CU36" s="6"/>
      <c r="CV36" s="5"/>
      <c r="CW36" s="6"/>
      <c r="CX36" s="5"/>
      <c r="CY36" s="6"/>
      <c r="CZ36" s="5"/>
      <c r="DA36" s="6"/>
      <c r="DB36" s="5"/>
      <c r="DC36" s="6"/>
      <c r="DD36" s="5"/>
      <c r="DE36" s="6"/>
      <c r="DF36" s="9"/>
      <c r="DG36" s="10"/>
      <c r="DH36" s="9"/>
      <c r="DI36" s="10"/>
      <c r="DJ36" s="9"/>
      <c r="DK36" s="10"/>
      <c r="DL36" s="9"/>
      <c r="DM36" s="10"/>
      <c r="DN36" s="9"/>
      <c r="DO36" s="10"/>
      <c r="DP36" s="9"/>
      <c r="DQ36" s="10"/>
      <c r="DR36" s="9"/>
      <c r="DS36" s="10"/>
      <c r="DT36" s="9"/>
      <c r="DU36" s="10"/>
      <c r="DV36" s="9"/>
      <c r="DW36" s="10"/>
      <c r="DX36" s="9"/>
      <c r="DY36" s="10"/>
      <c r="DZ36" s="9"/>
      <c r="EA36" s="10"/>
      <c r="EB36" s="9"/>
      <c r="EC36" s="10"/>
      <c r="ED36" s="9"/>
      <c r="EE36" s="10"/>
      <c r="EF36" s="9"/>
      <c r="EG36" s="10"/>
      <c r="EH36" s="9"/>
      <c r="EI36" s="10"/>
      <c r="EJ36" s="9"/>
      <c r="EK36" s="10"/>
      <c r="EL36" s="9"/>
      <c r="EM36" s="10"/>
      <c r="EN36" s="9"/>
      <c r="EO36" s="10"/>
    </row>
    <row r="37" spans="1:145" x14ac:dyDescent="0.25">
      <c r="A37" s="15" t="s">
        <v>110</v>
      </c>
      <c r="B37" s="8">
        <v>80</v>
      </c>
      <c r="C37" s="8"/>
      <c r="D37" s="8">
        <f>B37</f>
        <v>80</v>
      </c>
      <c r="E37" s="8"/>
      <c r="F37" s="8">
        <f>D37</f>
        <v>80</v>
      </c>
      <c r="G37" s="8"/>
      <c r="H37" s="8">
        <f>F37</f>
        <v>80</v>
      </c>
      <c r="I37" s="8"/>
      <c r="J37" s="8">
        <f>H37</f>
        <v>80</v>
      </c>
      <c r="K37" s="8"/>
      <c r="L37" s="8">
        <f>J37</f>
        <v>80</v>
      </c>
      <c r="M37" s="8"/>
      <c r="N37" s="8">
        <f>L37</f>
        <v>80</v>
      </c>
      <c r="O37" s="8"/>
      <c r="P37" s="8">
        <f>N37</f>
        <v>80</v>
      </c>
      <c r="Q37" s="8"/>
      <c r="R37" s="8">
        <f>P37</f>
        <v>80</v>
      </c>
      <c r="S37" s="8"/>
      <c r="T37" s="8">
        <f>R37</f>
        <v>80</v>
      </c>
      <c r="U37" s="8"/>
      <c r="V37" s="8">
        <f>T37</f>
        <v>80</v>
      </c>
      <c r="W37" s="8"/>
      <c r="X37" s="8">
        <f>V37</f>
        <v>80</v>
      </c>
      <c r="Y37" s="8"/>
      <c r="Z37" s="8">
        <f>X37</f>
        <v>80</v>
      </c>
      <c r="AA37" s="8"/>
      <c r="AB37" s="8">
        <f>Z37</f>
        <v>80</v>
      </c>
      <c r="AC37" s="8"/>
      <c r="AD37" s="8">
        <f>AB37</f>
        <v>80</v>
      </c>
      <c r="AE37" s="8"/>
      <c r="AF37" s="8">
        <f>AD37</f>
        <v>80</v>
      </c>
      <c r="AG37" s="8"/>
      <c r="AH37" s="8">
        <f>AF37</f>
        <v>80</v>
      </c>
      <c r="AI37" s="8"/>
      <c r="AJ37" s="8">
        <f>AH37</f>
        <v>80</v>
      </c>
      <c r="AK37" s="8"/>
      <c r="AL37" s="8">
        <f>AJ37</f>
        <v>80</v>
      </c>
      <c r="AM37" s="8"/>
      <c r="AN37" s="8">
        <f>AL37</f>
        <v>80</v>
      </c>
      <c r="AO37" s="8"/>
      <c r="AP37" s="8">
        <f>AN37</f>
        <v>80</v>
      </c>
      <c r="AQ37" s="8"/>
      <c r="AR37" s="8">
        <f>AP37</f>
        <v>80</v>
      </c>
      <c r="AS37" s="8"/>
      <c r="AT37" s="8">
        <f>AR37</f>
        <v>80</v>
      </c>
      <c r="AU37" s="8"/>
      <c r="AV37" s="8">
        <f>AT37</f>
        <v>80</v>
      </c>
      <c r="AW37" s="8"/>
      <c r="AX37" s="8">
        <f>AV37</f>
        <v>80</v>
      </c>
      <c r="AY37" s="8"/>
      <c r="AZ37" s="8">
        <f>AX37</f>
        <v>80</v>
      </c>
      <c r="BA37" s="8"/>
      <c r="BB37" s="8">
        <f>AZ37</f>
        <v>80</v>
      </c>
      <c r="BC37" s="8"/>
      <c r="BD37" s="8">
        <f>BB37</f>
        <v>80</v>
      </c>
      <c r="BE37" s="8"/>
      <c r="BF37" s="8">
        <f>BD37</f>
        <v>80</v>
      </c>
      <c r="BG37" s="8"/>
      <c r="BH37" s="8">
        <f>BF37</f>
        <v>80</v>
      </c>
      <c r="BI37" s="8"/>
      <c r="BJ37" s="8">
        <f>BH37</f>
        <v>80</v>
      </c>
      <c r="BK37" s="8"/>
      <c r="BL37" s="8">
        <f>BJ37</f>
        <v>80</v>
      </c>
      <c r="BM37" s="8"/>
      <c r="BN37" s="8">
        <f>BL37</f>
        <v>80</v>
      </c>
      <c r="BO37" s="8"/>
      <c r="BP37" s="8">
        <f>BN37</f>
        <v>80</v>
      </c>
      <c r="BQ37" s="8"/>
      <c r="BR37" s="8">
        <f>BP37</f>
        <v>80</v>
      </c>
      <c r="BS37" s="12"/>
      <c r="BT37" s="11">
        <f>BR37</f>
        <v>80</v>
      </c>
      <c r="BU37" s="12"/>
      <c r="BV37" s="8">
        <f>BT37</f>
        <v>80</v>
      </c>
      <c r="BW37" s="8"/>
      <c r="BX37" s="8">
        <f>BV37</f>
        <v>80</v>
      </c>
      <c r="BY37" s="8"/>
      <c r="BZ37" s="8">
        <f>BX37</f>
        <v>80</v>
      </c>
      <c r="CA37" s="8"/>
      <c r="CB37" s="8">
        <f>BZ37</f>
        <v>80</v>
      </c>
      <c r="CC37" s="8"/>
      <c r="CD37" s="8">
        <f>CB37</f>
        <v>80</v>
      </c>
      <c r="CE37" s="8"/>
      <c r="CF37" s="8">
        <f>CD37</f>
        <v>80</v>
      </c>
      <c r="CG37" s="8"/>
      <c r="CH37" s="8">
        <f>CF37</f>
        <v>80</v>
      </c>
      <c r="CI37" s="8"/>
      <c r="CJ37" s="8">
        <f>CH37</f>
        <v>80</v>
      </c>
      <c r="CK37" s="8"/>
      <c r="CL37" s="8">
        <f>CJ37</f>
        <v>80</v>
      </c>
      <c r="CM37" s="8"/>
      <c r="CN37" s="8">
        <f>CL37</f>
        <v>80</v>
      </c>
      <c r="CO37" s="8"/>
      <c r="CP37" s="8">
        <f>CN37</f>
        <v>80</v>
      </c>
      <c r="CQ37" s="8"/>
      <c r="CR37" s="8">
        <f>CP37</f>
        <v>80</v>
      </c>
      <c r="CS37" s="8"/>
      <c r="CT37" s="8">
        <f>CR37</f>
        <v>80</v>
      </c>
      <c r="CU37" s="8"/>
      <c r="CV37" s="8">
        <f>CT37</f>
        <v>80</v>
      </c>
      <c r="CW37" s="8"/>
      <c r="CX37" s="8">
        <f>CV37</f>
        <v>80</v>
      </c>
      <c r="CY37" s="8"/>
      <c r="CZ37" s="8">
        <f>CX37</f>
        <v>80</v>
      </c>
      <c r="DA37" s="8"/>
      <c r="DB37" s="8">
        <f>CZ37</f>
        <v>80</v>
      </c>
      <c r="DC37" s="12"/>
      <c r="DD37" s="11">
        <f>DB37</f>
        <v>80</v>
      </c>
      <c r="DE37" s="12"/>
      <c r="DF37" s="8">
        <f>DD37</f>
        <v>80</v>
      </c>
      <c r="DG37" s="8"/>
      <c r="DH37" s="8">
        <f>DF37</f>
        <v>80</v>
      </c>
      <c r="DI37" s="8"/>
      <c r="DJ37" s="8">
        <f>DH37</f>
        <v>80</v>
      </c>
      <c r="DK37" s="8"/>
      <c r="DL37" s="8">
        <f>DJ37</f>
        <v>80</v>
      </c>
      <c r="DM37" s="8"/>
      <c r="DN37" s="8">
        <f>DL37</f>
        <v>80</v>
      </c>
      <c r="DO37" s="8"/>
      <c r="DP37" s="8">
        <f>DN37</f>
        <v>80</v>
      </c>
      <c r="DQ37" s="8"/>
      <c r="DR37" s="8">
        <f>DP37</f>
        <v>80</v>
      </c>
      <c r="DS37" s="8"/>
      <c r="DT37" s="8">
        <f>DR37</f>
        <v>80</v>
      </c>
      <c r="DU37" s="8"/>
      <c r="DV37" s="8">
        <f>DT37</f>
        <v>80</v>
      </c>
      <c r="DW37" s="8"/>
      <c r="DX37" s="8">
        <f>DV37</f>
        <v>80</v>
      </c>
      <c r="DY37" s="8"/>
      <c r="DZ37" s="8">
        <f>DX37</f>
        <v>80</v>
      </c>
      <c r="EA37" s="8"/>
      <c r="EB37" s="8">
        <f>DZ37</f>
        <v>80</v>
      </c>
      <c r="EC37" s="8"/>
      <c r="ED37" s="8">
        <f>EB37</f>
        <v>80</v>
      </c>
      <c r="EE37" s="8"/>
      <c r="EF37" s="8">
        <f>ED37</f>
        <v>80</v>
      </c>
      <c r="EG37" s="8"/>
      <c r="EH37" s="8">
        <f>EF37</f>
        <v>80</v>
      </c>
      <c r="EI37" s="8"/>
      <c r="EJ37" s="8">
        <f>EH37</f>
        <v>80</v>
      </c>
      <c r="EK37" s="8"/>
      <c r="EL37" s="8">
        <f>EJ37</f>
        <v>80</v>
      </c>
      <c r="EM37" s="12"/>
      <c r="EN37" s="11">
        <f>EL37</f>
        <v>80</v>
      </c>
      <c r="EO37" s="12"/>
    </row>
    <row r="38" spans="1:145" ht="15" hidden="1" customHeight="1" x14ac:dyDescent="0.25">
      <c r="A38" s="15" t="s">
        <v>40</v>
      </c>
      <c r="B38" s="8">
        <f>(B20*B20+C20*C20)^EXP((B20+2.5*C20)/B37)</f>
        <v>647461757.35301542</v>
      </c>
      <c r="C38" s="8"/>
      <c r="D38" s="8">
        <f t="shared" ref="D38" si="237">(D20*D20+E20*E20)^EXP((D20+2.5*E20)/D37)</f>
        <v>304593185.91818249</v>
      </c>
      <c r="E38" s="8"/>
      <c r="F38" s="8">
        <f t="shared" ref="F38" si="238">(F20*F20+G20*G20)^EXP((F20+2.5*G20)/F37)</f>
        <v>733167322.83931482</v>
      </c>
      <c r="G38" s="8"/>
      <c r="H38" s="8">
        <f t="shared" ref="H38" si="239">(H20*H20+I20*I20)^EXP((H20+2.5*I20)/H37)</f>
        <v>851868381.33208823</v>
      </c>
      <c r="I38" s="8"/>
      <c r="J38" s="8">
        <f t="shared" ref="J38" si="240">(J20*J20+K20*K20)^EXP((J20+2.5*K20)/J37)</f>
        <v>534447620.40297115</v>
      </c>
      <c r="K38" s="8"/>
      <c r="L38" s="8">
        <f t="shared" ref="L38" si="241">(L20*L20+M20*M20)^EXP((L20+2.5*M20)/L37)</f>
        <v>1646931712.2054918</v>
      </c>
      <c r="M38" s="8"/>
      <c r="N38" s="8">
        <f t="shared" ref="N38" si="242">(N20*N20+O20*O20)^EXP((N20+2.5*O20)/N37)</f>
        <v>8026773352.6944532</v>
      </c>
      <c r="O38" s="8"/>
      <c r="P38" s="8">
        <f t="shared" ref="P38" si="243">(P20*P20+Q20*Q20)^EXP((P20+2.5*Q20)/P37)</f>
        <v>11160127366.217611</v>
      </c>
      <c r="Q38" s="8"/>
      <c r="R38" s="8">
        <f t="shared" ref="R38" si="244">(R20*R20+S20*S20)^EXP((R20+2.5*S20)/R37)</f>
        <v>6910142824.2062368</v>
      </c>
      <c r="S38" s="8"/>
      <c r="T38" s="8">
        <f t="shared" ref="T38" si="245">(T20*T20+U20*U20)^EXP((T20+2.5*U20)/T37)</f>
        <v>861.14650683157629</v>
      </c>
      <c r="U38" s="8"/>
      <c r="V38" s="8">
        <f t="shared" ref="V38" si="246">(V20*V20+W20*W20)^EXP((V20+2.5*W20)/V37)</f>
        <v>765.30811419580482</v>
      </c>
      <c r="W38" s="8"/>
      <c r="X38" s="8">
        <f t="shared" ref="X38" si="247">(X20*X20+Y20*Y20)^EXP((X20+2.5*Y20)/X37)</f>
        <v>769.15752422821447</v>
      </c>
      <c r="Y38" s="8"/>
      <c r="Z38" s="8">
        <f t="shared" ref="Z38" si="248">(Z20*Z20+AA20*AA20)^EXP((Z20+2.5*AA20)/Z37)</f>
        <v>547760.81599176012</v>
      </c>
      <c r="AA38" s="8"/>
      <c r="AB38" s="8">
        <f t="shared" ref="AB38" si="249">(AB20*AB20+AC20*AC20)^EXP((AB20+2.5*AC20)/AB37)</f>
        <v>537214.49081800878</v>
      </c>
      <c r="AC38" s="8"/>
      <c r="AD38" s="8">
        <f t="shared" ref="AD38" si="250">(AD20*AD20+AE20*AE20)^EXP((AD20+2.5*AE20)/AD37)</f>
        <v>557674.30229538714</v>
      </c>
      <c r="AE38" s="8"/>
      <c r="AF38" s="8">
        <f t="shared" ref="AF38" ca="1" si="251">(AF20*AF20+AG20*AG20)^EXP((AF20+2.5*AG20)/AF37)</f>
        <v>2925653964.9382553</v>
      </c>
      <c r="AG38" s="8"/>
      <c r="AH38" s="8">
        <f t="shared" ref="AH38" ca="1" si="252">(AH20*AH20+AI20*AI20)^EXP((AH20+2.5*AI20)/AH37)</f>
        <v>2715748026.7004809</v>
      </c>
      <c r="AI38" s="8"/>
      <c r="AJ38" s="8">
        <f t="shared" ref="AJ38" ca="1" si="253">(AJ20*AJ20+AK20*AK20)^EXP((AJ20+2.5*AK20)/AJ37)</f>
        <v>7241271410.5610294</v>
      </c>
      <c r="AK38" s="8"/>
      <c r="AL38" s="11">
        <f t="shared" ref="AL38" si="254">(AL20*AL20+AM20*AM20)^EXP((AL20+2.5*AM20)/AL37)</f>
        <v>1244190227.5953968</v>
      </c>
      <c r="AM38" s="12"/>
      <c r="AN38" s="11">
        <f t="shared" ref="AN38" si="255">(AN20*AN20+AO20*AO20)^EXP((AN20+2.5*AO20)/AN37)</f>
        <v>494817826.9191305</v>
      </c>
      <c r="AO38" s="12"/>
      <c r="AP38" s="11">
        <f t="shared" ref="AP38" si="256">(AP20*AP20+AQ20*AQ20)^EXP((AP20+2.5*AQ20)/AP37)</f>
        <v>708283108.64487243</v>
      </c>
      <c r="AQ38" s="12"/>
      <c r="AR38" s="11">
        <f t="shared" ref="AR38" si="257">(AR20*AR20+AS20*AS20)^EXP((AR20+2.5*AS20)/AR37)</f>
        <v>1238683911.7971575</v>
      </c>
      <c r="AS38" s="12"/>
      <c r="AT38" s="11">
        <f t="shared" ref="AT38" si="258">(AT20*AT20+AU20*AU20)^EXP((AT20+2.5*AU20)/AT37)</f>
        <v>752284874.98989904</v>
      </c>
      <c r="AU38" s="12"/>
      <c r="AV38" s="11">
        <f t="shared" ref="AV38" si="259">(AV20*AV20+AW20*AW20)^EXP((AV20+2.5*AW20)/AV37)</f>
        <v>1233896829.2167678</v>
      </c>
      <c r="AW38" s="12"/>
      <c r="AX38" s="11">
        <f t="shared" ref="AX38" si="260">(AX20*AX20+AY20*AY20)^EXP((AX20+2.5*AY20)/AX37)</f>
        <v>7029674876.9787312</v>
      </c>
      <c r="AY38" s="12"/>
      <c r="AZ38" s="11">
        <f t="shared" ref="AZ38" si="261">(AZ20*AZ20+BA20*BA20)^EXP((AZ20+2.5*BA20)/AZ37)</f>
        <v>8441854072.642271</v>
      </c>
      <c r="BA38" s="12"/>
      <c r="BB38" s="11">
        <f t="shared" ref="BB38" si="262">(BB20*BB20+BC20*BC20)^EXP((BB20+2.5*BC20)/BB37)</f>
        <v>9421740020.1630802</v>
      </c>
      <c r="BC38" s="12"/>
      <c r="BD38" s="11">
        <f t="shared" ref="BD38" si="263">(BD20*BD20+BE20*BE20)^EXP((BD20+2.5*BE20)/BD37)</f>
        <v>805.06385259231786</v>
      </c>
      <c r="BE38" s="12"/>
      <c r="BF38" s="11">
        <f t="shared" ref="BF38" si="264">(BF20*BF20+BG20*BG20)^EXP((BF20+2.5*BG20)/BF37)</f>
        <v>743.2036582684201</v>
      </c>
      <c r="BG38" s="12"/>
      <c r="BH38" s="11">
        <f t="shared" ref="BH38" si="265">(BH20*BH20+BI20*BI20)^EXP((BH20+2.5*BI20)/BH37)</f>
        <v>1467.4250926830787</v>
      </c>
      <c r="BI38" s="12"/>
      <c r="BJ38" s="11">
        <f t="shared" ref="BJ38" si="266">(BJ20*BJ20+BK20*BK20)^EXP((BJ20+2.5*BK20)/BJ37)</f>
        <v>716326.71634706762</v>
      </c>
      <c r="BK38" s="12"/>
      <c r="BL38" s="11">
        <f t="shared" ref="BL38" si="267">(BL20*BL20+BM20*BM20)^EXP((BL20+2.5*BM20)/BL37)</f>
        <v>527017.70429547247</v>
      </c>
      <c r="BM38" s="12"/>
      <c r="BN38" s="11">
        <f t="shared" ref="BN38" si="268">(BN20*BN20+BO20*BO20)^EXP((BN20+2.5*BO20)/BN37)</f>
        <v>650471.69512847904</v>
      </c>
      <c r="BO38" s="12"/>
      <c r="BP38" s="11">
        <f t="shared" ref="BP38" ca="1" si="269">(BP20*BP20+BQ20*BQ20)^EXP((BP20+2.5*BQ20)/BP37)</f>
        <v>5971376970.5041437</v>
      </c>
      <c r="BQ38" s="12"/>
      <c r="BR38" s="11">
        <f t="shared" ref="BR38" ca="1" si="270">(BR20*BR20+BS20*BS20)^EXP((BR20+2.5*BS20)/BR37)</f>
        <v>3523641114.4543486</v>
      </c>
      <c r="BS38" s="12"/>
      <c r="BT38" s="11">
        <f t="shared" ref="BT38" ca="1" si="271">(BT20*BT20+BU20*BU20)^EXP((BT20+2.5*BU20)/BT37)</f>
        <v>4915374681.9542265</v>
      </c>
      <c r="BU38" s="12"/>
      <c r="BV38" s="5">
        <f t="shared" ref="BV38" si="272">(BV20*BV20+BW20*BW20)^EXP((BV20+2.5*BW20)/BV37)</f>
        <v>740744451.85409617</v>
      </c>
      <c r="BW38" s="6"/>
      <c r="BX38" s="5">
        <f t="shared" ref="BX38" si="273">(BX20*BX20+BY20*BY20)^EXP((BX20+2.5*BY20)/BX37)</f>
        <v>371359533.26738381</v>
      </c>
      <c r="BY38" s="6"/>
      <c r="BZ38" s="5">
        <f t="shared" ref="BZ38" si="274">(BZ20*BZ20+CA20*CA20)^EXP((BZ20+2.5*CA20)/BZ37)</f>
        <v>558881255.81681716</v>
      </c>
      <c r="CA38" s="6"/>
      <c r="CB38" s="5">
        <f t="shared" ref="CB38" si="275">(CB20*CB20+CC20*CC20)^EXP((CB20+2.5*CC20)/CB37)</f>
        <v>862109472.2568053</v>
      </c>
      <c r="CC38" s="6"/>
      <c r="CD38" s="5">
        <f t="shared" ref="CD38" si="276">(CD20*CD20+CE20*CE20)^EXP((CD20+2.5*CE20)/CD37)</f>
        <v>569925069.77536178</v>
      </c>
      <c r="CE38" s="6"/>
      <c r="CF38" s="5">
        <f t="shared" ref="CF38" si="277">(CF20*CF20+CG20*CG20)^EXP((CF20+2.5*CG20)/CF37)</f>
        <v>1362921865.6023507</v>
      </c>
      <c r="CG38" s="6"/>
      <c r="CH38" s="5">
        <f t="shared" ref="CH38" si="278">(CH20*CH20+CI20*CI20)^EXP((CH20+2.5*CI20)/CH37)</f>
        <v>5346543242.9384336</v>
      </c>
      <c r="CI38" s="6"/>
      <c r="CJ38" s="5">
        <f t="shared" ref="CJ38" si="279">(CJ20*CJ20+CK20*CK20)^EXP((CJ20+2.5*CK20)/CJ37)</f>
        <v>11755532998.269438</v>
      </c>
      <c r="CK38" s="6"/>
      <c r="CL38" s="5">
        <f t="shared" ref="CL38" si="280">(CL20*CL20+CM20*CM20)^EXP((CL20+2.5*CM20)/CL37)</f>
        <v>5923048879.3943501</v>
      </c>
      <c r="CM38" s="6"/>
      <c r="CN38" s="5">
        <f t="shared" ref="CN38" si="281">(CN20*CN20+CO20*CO20)^EXP((CN20+2.5*CO20)/CN37)</f>
        <v>828.82370933811387</v>
      </c>
      <c r="CO38" s="6"/>
      <c r="CP38" s="5">
        <f t="shared" ref="CP38" si="282">(CP20*CP20+CQ20*CQ20)^EXP((CP20+2.5*CQ20)/CP37)</f>
        <v>843.07385507383128</v>
      </c>
      <c r="CQ38" s="6"/>
      <c r="CR38" s="5">
        <f t="shared" ref="CR38" ca="1" si="283">(CR20*CR20+CS20*CS20)^EXP((CR20+2.5*CS20)/CR37)</f>
        <v>1182.3219406353051</v>
      </c>
      <c r="CS38" s="6"/>
      <c r="CT38" s="5">
        <f t="shared" ref="CT38" si="284">(CT20*CT20+CU20*CU20)^EXP((CT20+2.5*CU20)/CT37)</f>
        <v>406818.59908597142</v>
      </c>
      <c r="CU38" s="6"/>
      <c r="CV38" s="5">
        <f t="shared" ref="CV38" si="285">(CV20*CV20+CW20*CW20)^EXP((CV20+2.5*CW20)/CV37)</f>
        <v>393097.93272218457</v>
      </c>
      <c r="CW38" s="6"/>
      <c r="CX38" s="5">
        <f t="shared" ref="CX38" si="286">(CX20*CX20+CY20*CY20)^EXP((CX20+2.5*CY20)/CX37)</f>
        <v>406857.30369628896</v>
      </c>
      <c r="CY38" s="6"/>
      <c r="CZ38" s="5">
        <f t="shared" ref="CZ38" ca="1" si="287">(CZ20*CZ20+DA20*DA20)^EXP((CZ20+2.5*DA20)/CZ37)</f>
        <v>4249935665.7893348</v>
      </c>
      <c r="DA38" s="6"/>
      <c r="DB38" s="5">
        <f t="shared" ref="DB38" ca="1" si="288">(DB20*DB20+DC20*DC20)^EXP((DB20+2.5*DC20)/DB37)</f>
        <v>2375850403.5026317</v>
      </c>
      <c r="DC38" s="6"/>
      <c r="DD38" s="5">
        <f t="shared" ref="DD38" ca="1" si="289">(DD20*DD20+DE20*DE20)^EXP((DD20+2.5*DE20)/DD37)</f>
        <v>7556717856.3021946</v>
      </c>
      <c r="DE38" s="6"/>
      <c r="DF38" s="9">
        <f t="shared" ref="DF38" si="290">(DF20*DF20+DG20*DG20)^EXP((DF20+2.5*DG20)/DF37)</f>
        <v>1647857124.563031</v>
      </c>
      <c r="DG38" s="10"/>
      <c r="DH38" s="9">
        <f t="shared" ref="DH38" ca="1" si="291">(DH20*DH20+DI20*DI20)^EXP((DH20+2.5*DI20)/DH37)</f>
        <v>1317949520.2865205</v>
      </c>
      <c r="DI38" s="10"/>
      <c r="DJ38" s="9">
        <f t="shared" ref="DJ38" ca="1" si="292">(DJ20*DJ20+DK20*DK20)^EXP((DJ20+2.5*DK20)/DJ37)</f>
        <v>2061928321.7865121</v>
      </c>
      <c r="DK38" s="10"/>
      <c r="DL38" s="9">
        <f t="shared" ref="DL38" si="293">(DL20*DL20+DM20*DM20)^EXP((DL20+2.5*DM20)/DL37)</f>
        <v>1758480938.2689707</v>
      </c>
      <c r="DM38" s="10"/>
      <c r="DN38" s="9">
        <f t="shared" ref="DN38" ca="1" si="294">(DN20*DN20+DO20*DO20)^EXP((DN20+2.5*DO20)/DN37)</f>
        <v>2023336531.2425404</v>
      </c>
      <c r="DO38" s="10"/>
      <c r="DP38" s="9">
        <f t="shared" ref="DP38" ca="1" si="295">(DP20*DP20+DQ20*DQ20)^EXP((DP20+2.5*DQ20)/DP37)</f>
        <v>5968042026.8485403</v>
      </c>
      <c r="DQ38" s="10"/>
      <c r="DR38" s="9">
        <f t="shared" ref="DR38" ca="1" si="296">(DR20*DR20+DS20*DS20)^EXP((DR20+2.5*DS20)/DR37)</f>
        <v>26425949069.821339</v>
      </c>
      <c r="DS38" s="10"/>
      <c r="DT38" s="9">
        <f t="shared" ref="DT38" ca="1" si="297">(DT20*DT20+DU20*DU20)^EXP((DT20+2.5*DU20)/DT37)</f>
        <v>61429102423.491768</v>
      </c>
      <c r="DU38" s="10"/>
      <c r="DV38" s="9">
        <f t="shared" ref="DV38" ca="1" si="298">(DV20*DV20+DW20*DW20)^EXP((DV20+2.5*DW20)/DV37)</f>
        <v>28343816566.706108</v>
      </c>
      <c r="DW38" s="10"/>
      <c r="DX38" s="9">
        <f t="shared" ref="DX38" ca="1" si="299">(DX20*DX20+DY20*DY20)^EXP((DX20+2.5*DY20)/DX37)</f>
        <v>1012.1005272966681</v>
      </c>
      <c r="DY38" s="10"/>
      <c r="DZ38" s="9">
        <f t="shared" ref="DZ38" ca="1" si="300">(DZ20*DZ20+EA20*EA20)^EXP((DZ20+2.5*EA20)/DZ37)</f>
        <v>1031.1661066843392</v>
      </c>
      <c r="EA38" s="10"/>
      <c r="EB38" s="9">
        <f t="shared" ref="EB38" ca="1" si="301">(EB20*EB20+EC20*EC20)^EXP((EB20+2.5*EC20)/EB37)</f>
        <v>1513.7182223972181</v>
      </c>
      <c r="EC38" s="10"/>
      <c r="ED38" s="9">
        <f t="shared" ref="ED38" si="302">(ED20*ED20+EE20*EE20)^EXP((ED20+2.5*EE20)/ED37)</f>
        <v>407212.39694637922</v>
      </c>
      <c r="EE38" s="10"/>
      <c r="EF38" s="9">
        <f t="shared" ref="EF38" ca="1" si="303">(EF20*EF20+EG20*EG20)^EXP((EF20+2.5*EG20)/EF37)</f>
        <v>699496.35373182548</v>
      </c>
      <c r="EG38" s="10"/>
      <c r="EH38" s="9">
        <f t="shared" ref="EH38" ca="1" si="304">(EH20*EH20+EI20*EI20)^EXP((EH20+2.5*EI20)/EH37)</f>
        <v>636734.47100130527</v>
      </c>
      <c r="EI38" s="10"/>
      <c r="EJ38" s="9">
        <f t="shared" ref="EJ38" ca="1" si="305">(EJ20*EJ20+EK20*EK20)^EXP((EJ20+2.5*EK20)/EJ37)</f>
        <v>9109186069.6160851</v>
      </c>
      <c r="EK38" s="10"/>
      <c r="EL38" s="9">
        <f t="shared" ref="EL38" ca="1" si="306">(EL20*EL20+EM20*EM20)^EXP((EL20+2.5*EM20)/EL37)</f>
        <v>10373041771.075422</v>
      </c>
      <c r="EM38" s="10"/>
      <c r="EN38" s="9">
        <f t="shared" ref="EN38" ca="1" si="307">(EN20*EN20+EO20*EO20)^EXP((EN20+2.5*EO20)/EN37)</f>
        <v>32635750702.005463</v>
      </c>
      <c r="EO38" s="10"/>
    </row>
    <row r="39" spans="1:145" x14ac:dyDescent="0.25">
      <c r="A39" s="17" t="s">
        <v>41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11"/>
      <c r="AM39" s="12"/>
      <c r="AN39" s="11"/>
      <c r="AO39" s="12"/>
      <c r="AP39" s="11"/>
      <c r="AQ39" s="12"/>
      <c r="AR39" s="11"/>
      <c r="AS39" s="12"/>
      <c r="AT39" s="11"/>
      <c r="AU39" s="12"/>
      <c r="AV39" s="11"/>
      <c r="AW39" s="12"/>
      <c r="AX39" s="11"/>
      <c r="AY39" s="12"/>
      <c r="AZ39" s="11"/>
      <c r="BA39" s="12"/>
      <c r="BB39" s="11"/>
      <c r="BC39" s="12"/>
      <c r="BD39" s="11"/>
      <c r="BE39" s="12"/>
      <c r="BF39" s="11"/>
      <c r="BG39" s="12"/>
      <c r="BH39" s="11"/>
      <c r="BI39" s="12"/>
      <c r="BJ39" s="11"/>
      <c r="BK39" s="12"/>
      <c r="BL39" s="11"/>
      <c r="BM39" s="12"/>
      <c r="BN39" s="11"/>
      <c r="BO39" s="12"/>
      <c r="BP39" s="11"/>
      <c r="BQ39" s="12"/>
      <c r="BR39" s="11"/>
      <c r="BS39" s="12"/>
      <c r="BT39" s="11"/>
      <c r="BU39" s="12"/>
      <c r="BV39" s="5"/>
      <c r="BW39" s="6"/>
      <c r="BX39" s="5"/>
      <c r="BY39" s="6"/>
      <c r="BZ39" s="5"/>
      <c r="CA39" s="6"/>
      <c r="CB39" s="5"/>
      <c r="CC39" s="6"/>
      <c r="CD39" s="5"/>
      <c r="CE39" s="6"/>
      <c r="CF39" s="5"/>
      <c r="CG39" s="6"/>
      <c r="CH39" s="5"/>
      <c r="CI39" s="6"/>
      <c r="CJ39" s="5"/>
      <c r="CK39" s="6"/>
      <c r="CL39" s="5"/>
      <c r="CM39" s="6"/>
      <c r="CN39" s="5"/>
      <c r="CO39" s="6"/>
      <c r="CP39" s="5"/>
      <c r="CQ39" s="6"/>
      <c r="CR39" s="5"/>
      <c r="CS39" s="6"/>
      <c r="CT39" s="5"/>
      <c r="CU39" s="6"/>
      <c r="CV39" s="5"/>
      <c r="CW39" s="6"/>
      <c r="CX39" s="5"/>
      <c r="CY39" s="6"/>
      <c r="CZ39" s="5"/>
      <c r="DA39" s="6"/>
      <c r="DB39" s="5"/>
      <c r="DC39" s="6"/>
      <c r="DD39" s="5"/>
      <c r="DE39" s="6"/>
      <c r="DF39" s="9"/>
      <c r="DG39" s="10"/>
      <c r="DH39" s="9"/>
      <c r="DI39" s="10"/>
      <c r="DJ39" s="9"/>
      <c r="DK39" s="10"/>
      <c r="DL39" s="9"/>
      <c r="DM39" s="10"/>
      <c r="DN39" s="9"/>
      <c r="DO39" s="10"/>
      <c r="DP39" s="9"/>
      <c r="DQ39" s="10"/>
      <c r="DR39" s="9"/>
      <c r="DS39" s="10"/>
      <c r="DT39" s="9"/>
      <c r="DU39" s="10"/>
      <c r="DV39" s="9"/>
      <c r="DW39" s="10"/>
      <c r="DX39" s="9"/>
      <c r="DY39" s="10"/>
      <c r="DZ39" s="9"/>
      <c r="EA39" s="10"/>
      <c r="EB39" s="9"/>
      <c r="EC39" s="10"/>
      <c r="ED39" s="9"/>
      <c r="EE39" s="10"/>
      <c r="EF39" s="9"/>
      <c r="EG39" s="10"/>
      <c r="EH39" s="9"/>
      <c r="EI39" s="10"/>
      <c r="EJ39" s="9"/>
      <c r="EK39" s="10"/>
      <c r="EL39" s="9"/>
      <c r="EM39" s="10"/>
      <c r="EN39" s="9"/>
      <c r="EO39" s="10"/>
    </row>
    <row r="40" spans="1:145" x14ac:dyDescent="0.25">
      <c r="A40" s="14" t="s">
        <v>32</v>
      </c>
      <c r="B40" s="8">
        <f>'типовая конструкция'!B40</f>
        <v>6</v>
      </c>
      <c r="C40" s="8"/>
      <c r="D40" s="8">
        <f>B40</f>
        <v>6</v>
      </c>
      <c r="E40" s="8"/>
      <c r="F40" s="8">
        <f>D40</f>
        <v>6</v>
      </c>
      <c r="G40" s="8"/>
      <c r="H40" s="8">
        <f>F40</f>
        <v>6</v>
      </c>
      <c r="I40" s="8"/>
      <c r="J40" s="8">
        <f>H40</f>
        <v>6</v>
      </c>
      <c r="K40" s="8"/>
      <c r="L40" s="8">
        <f>J40</f>
        <v>6</v>
      </c>
      <c r="M40" s="8"/>
      <c r="N40" s="8">
        <f>L40</f>
        <v>6</v>
      </c>
      <c r="O40" s="8"/>
      <c r="P40" s="8">
        <f>N40</f>
        <v>6</v>
      </c>
      <c r="Q40" s="8"/>
      <c r="R40" s="8">
        <f>P40</f>
        <v>6</v>
      </c>
      <c r="S40" s="8"/>
      <c r="T40" s="8">
        <f>R40</f>
        <v>6</v>
      </c>
      <c r="U40" s="8"/>
      <c r="V40" s="8">
        <f>T40</f>
        <v>6</v>
      </c>
      <c r="W40" s="8"/>
      <c r="X40" s="8">
        <f>V40</f>
        <v>6</v>
      </c>
      <c r="Y40" s="8"/>
      <c r="Z40" s="8">
        <f>X40</f>
        <v>6</v>
      </c>
      <c r="AA40" s="8"/>
      <c r="AB40" s="8">
        <f>Z40</f>
        <v>6</v>
      </c>
      <c r="AC40" s="8"/>
      <c r="AD40" s="8">
        <f>AB40</f>
        <v>6</v>
      </c>
      <c r="AE40" s="8"/>
      <c r="AF40" s="8">
        <f>AD40</f>
        <v>6</v>
      </c>
      <c r="AG40" s="8"/>
      <c r="AH40" s="8">
        <f>AF40</f>
        <v>6</v>
      </c>
      <c r="AI40" s="8"/>
      <c r="AJ40" s="8">
        <f>AH40</f>
        <v>6</v>
      </c>
      <c r="AK40" s="8"/>
      <c r="AL40" s="8">
        <f>AJ40</f>
        <v>6</v>
      </c>
      <c r="AM40" s="8"/>
      <c r="AN40" s="8">
        <f>AL40</f>
        <v>6</v>
      </c>
      <c r="AO40" s="8"/>
      <c r="AP40" s="8">
        <f>AN40</f>
        <v>6</v>
      </c>
      <c r="AQ40" s="8"/>
      <c r="AR40" s="8">
        <f>AP40</f>
        <v>6</v>
      </c>
      <c r="AS40" s="8"/>
      <c r="AT40" s="8">
        <f>AR40</f>
        <v>6</v>
      </c>
      <c r="AU40" s="8"/>
      <c r="AV40" s="8">
        <f>AT40</f>
        <v>6</v>
      </c>
      <c r="AW40" s="8"/>
      <c r="AX40" s="8">
        <f>AV40</f>
        <v>6</v>
      </c>
      <c r="AY40" s="8"/>
      <c r="AZ40" s="8">
        <f>AX40</f>
        <v>6</v>
      </c>
      <c r="BA40" s="8"/>
      <c r="BB40" s="8">
        <f>AZ40</f>
        <v>6</v>
      </c>
      <c r="BC40" s="8"/>
      <c r="BD40" s="8">
        <f>BB40</f>
        <v>6</v>
      </c>
      <c r="BE40" s="8"/>
      <c r="BF40" s="8">
        <f>BD40</f>
        <v>6</v>
      </c>
      <c r="BG40" s="8"/>
      <c r="BH40" s="8">
        <f>BF40</f>
        <v>6</v>
      </c>
      <c r="BI40" s="8"/>
      <c r="BJ40" s="8">
        <f>BH40</f>
        <v>6</v>
      </c>
      <c r="BK40" s="8"/>
      <c r="BL40" s="8">
        <f>BJ40</f>
        <v>6</v>
      </c>
      <c r="BM40" s="8"/>
      <c r="BN40" s="8">
        <f>BL40</f>
        <v>6</v>
      </c>
      <c r="BO40" s="8"/>
      <c r="BP40" s="8">
        <f>BN40</f>
        <v>6</v>
      </c>
      <c r="BQ40" s="8"/>
      <c r="BR40" s="8">
        <f>BP40</f>
        <v>6</v>
      </c>
      <c r="BS40" s="12"/>
      <c r="BT40" s="11">
        <f>BR40</f>
        <v>6</v>
      </c>
      <c r="BU40" s="12"/>
      <c r="BV40" s="8">
        <f>BT40</f>
        <v>6</v>
      </c>
      <c r="BW40" s="8"/>
      <c r="BX40" s="8">
        <f>BV40</f>
        <v>6</v>
      </c>
      <c r="BY40" s="8"/>
      <c r="BZ40" s="8">
        <f>BX40</f>
        <v>6</v>
      </c>
      <c r="CA40" s="8"/>
      <c r="CB40" s="8">
        <f>BZ40</f>
        <v>6</v>
      </c>
      <c r="CC40" s="8"/>
      <c r="CD40" s="8">
        <f>CB40</f>
        <v>6</v>
      </c>
      <c r="CE40" s="8"/>
      <c r="CF40" s="8">
        <f>CD40</f>
        <v>6</v>
      </c>
      <c r="CG40" s="8"/>
      <c r="CH40" s="8">
        <f>CF40</f>
        <v>6</v>
      </c>
      <c r="CI40" s="8"/>
      <c r="CJ40" s="8">
        <f>CH40</f>
        <v>6</v>
      </c>
      <c r="CK40" s="8"/>
      <c r="CL40" s="8">
        <f>CJ40</f>
        <v>6</v>
      </c>
      <c r="CM40" s="8"/>
      <c r="CN40" s="8">
        <f>CL40</f>
        <v>6</v>
      </c>
      <c r="CO40" s="8"/>
      <c r="CP40" s="8">
        <f>CN40</f>
        <v>6</v>
      </c>
      <c r="CQ40" s="8"/>
      <c r="CR40" s="8">
        <f>CP40</f>
        <v>6</v>
      </c>
      <c r="CS40" s="8"/>
      <c r="CT40" s="8">
        <f>CR40</f>
        <v>6</v>
      </c>
      <c r="CU40" s="8"/>
      <c r="CV40" s="8">
        <f>CT40</f>
        <v>6</v>
      </c>
      <c r="CW40" s="8"/>
      <c r="CX40" s="8">
        <f>CV40</f>
        <v>6</v>
      </c>
      <c r="CY40" s="8"/>
      <c r="CZ40" s="8">
        <f>CX40</f>
        <v>6</v>
      </c>
      <c r="DA40" s="8"/>
      <c r="DB40" s="8">
        <f>CZ40</f>
        <v>6</v>
      </c>
      <c r="DC40" s="12"/>
      <c r="DD40" s="11">
        <f>DB40</f>
        <v>6</v>
      </c>
      <c r="DE40" s="12"/>
      <c r="DF40" s="8">
        <f>DD40</f>
        <v>6</v>
      </c>
      <c r="DG40" s="8"/>
      <c r="DH40" s="8">
        <f>DF40</f>
        <v>6</v>
      </c>
      <c r="DI40" s="8"/>
      <c r="DJ40" s="8">
        <f>DH40</f>
        <v>6</v>
      </c>
      <c r="DK40" s="8"/>
      <c r="DL40" s="8">
        <f>DJ40</f>
        <v>6</v>
      </c>
      <c r="DM40" s="8"/>
      <c r="DN40" s="8">
        <f>DL40</f>
        <v>6</v>
      </c>
      <c r="DO40" s="8"/>
      <c r="DP40" s="8">
        <f>DN40</f>
        <v>6</v>
      </c>
      <c r="DQ40" s="8"/>
      <c r="DR40" s="8">
        <f>DP40</f>
        <v>6</v>
      </c>
      <c r="DS40" s="8"/>
      <c r="DT40" s="8">
        <f>DR40</f>
        <v>6</v>
      </c>
      <c r="DU40" s="8"/>
      <c r="DV40" s="8">
        <f>DT40</f>
        <v>6</v>
      </c>
      <c r="DW40" s="8"/>
      <c r="DX40" s="8">
        <f>DV40</f>
        <v>6</v>
      </c>
      <c r="DY40" s="8"/>
      <c r="DZ40" s="8">
        <f>DX40</f>
        <v>6</v>
      </c>
      <c r="EA40" s="8"/>
      <c r="EB40" s="8">
        <f>DZ40</f>
        <v>6</v>
      </c>
      <c r="EC40" s="8"/>
      <c r="ED40" s="8">
        <f>EB40</f>
        <v>6</v>
      </c>
      <c r="EE40" s="8"/>
      <c r="EF40" s="8">
        <f>ED40</f>
        <v>6</v>
      </c>
      <c r="EG40" s="8"/>
      <c r="EH40" s="8">
        <f>EF40</f>
        <v>6</v>
      </c>
      <c r="EI40" s="8"/>
      <c r="EJ40" s="8">
        <f>EH40</f>
        <v>6</v>
      </c>
      <c r="EK40" s="8"/>
      <c r="EL40" s="8">
        <f>EJ40</f>
        <v>6</v>
      </c>
      <c r="EM40" s="12"/>
      <c r="EN40" s="11">
        <f>EL40</f>
        <v>6</v>
      </c>
      <c r="EO40" s="12"/>
    </row>
    <row r="41" spans="1:145" x14ac:dyDescent="0.25">
      <c r="A41" s="14" t="s">
        <v>33</v>
      </c>
      <c r="B41" s="8">
        <f>'типовая конструкция'!B41</f>
        <v>4</v>
      </c>
      <c r="C41" s="8"/>
      <c r="D41" s="8">
        <f>B41</f>
        <v>4</v>
      </c>
      <c r="E41" s="8"/>
      <c r="F41" s="8">
        <f>D41</f>
        <v>4</v>
      </c>
      <c r="G41" s="8"/>
      <c r="H41" s="8">
        <f>F41</f>
        <v>4</v>
      </c>
      <c r="I41" s="8"/>
      <c r="J41" s="8">
        <f>H41</f>
        <v>4</v>
      </c>
      <c r="K41" s="8"/>
      <c r="L41" s="8">
        <f>J41</f>
        <v>4</v>
      </c>
      <c r="M41" s="8"/>
      <c r="N41" s="8">
        <f>L41</f>
        <v>4</v>
      </c>
      <c r="O41" s="8"/>
      <c r="P41" s="8">
        <f>N41</f>
        <v>4</v>
      </c>
      <c r="Q41" s="8"/>
      <c r="R41" s="8">
        <f>P41</f>
        <v>4</v>
      </c>
      <c r="S41" s="8"/>
      <c r="T41" s="8">
        <f>R41</f>
        <v>4</v>
      </c>
      <c r="U41" s="8"/>
      <c r="V41" s="8">
        <f>T41</f>
        <v>4</v>
      </c>
      <c r="W41" s="8"/>
      <c r="X41" s="8">
        <f>V41</f>
        <v>4</v>
      </c>
      <c r="Y41" s="8"/>
      <c r="Z41" s="8">
        <f>X41</f>
        <v>4</v>
      </c>
      <c r="AA41" s="8"/>
      <c r="AB41" s="8">
        <f>Z41</f>
        <v>4</v>
      </c>
      <c r="AC41" s="8"/>
      <c r="AD41" s="8">
        <f>AB41</f>
        <v>4</v>
      </c>
      <c r="AE41" s="8"/>
      <c r="AF41" s="8">
        <f>AD41</f>
        <v>4</v>
      </c>
      <c r="AG41" s="8"/>
      <c r="AH41" s="8">
        <f>AF41</f>
        <v>4</v>
      </c>
      <c r="AI41" s="8"/>
      <c r="AJ41" s="8">
        <f>AH41</f>
        <v>4</v>
      </c>
      <c r="AK41" s="8"/>
      <c r="AL41" s="8">
        <f>AJ41</f>
        <v>4</v>
      </c>
      <c r="AM41" s="8"/>
      <c r="AN41" s="8">
        <f>AL41</f>
        <v>4</v>
      </c>
      <c r="AO41" s="8"/>
      <c r="AP41" s="8">
        <f>AN41</f>
        <v>4</v>
      </c>
      <c r="AQ41" s="8"/>
      <c r="AR41" s="8">
        <f>AP41</f>
        <v>4</v>
      </c>
      <c r="AS41" s="8"/>
      <c r="AT41" s="8">
        <f>AR41</f>
        <v>4</v>
      </c>
      <c r="AU41" s="8"/>
      <c r="AV41" s="8">
        <f>AT41</f>
        <v>4</v>
      </c>
      <c r="AW41" s="8"/>
      <c r="AX41" s="8">
        <f>AV41</f>
        <v>4</v>
      </c>
      <c r="AY41" s="8"/>
      <c r="AZ41" s="8">
        <f>AX41</f>
        <v>4</v>
      </c>
      <c r="BA41" s="8"/>
      <c r="BB41" s="8">
        <f>AZ41</f>
        <v>4</v>
      </c>
      <c r="BC41" s="8"/>
      <c r="BD41" s="8">
        <f>BB41</f>
        <v>4</v>
      </c>
      <c r="BE41" s="8"/>
      <c r="BF41" s="8">
        <f>BD41</f>
        <v>4</v>
      </c>
      <c r="BG41" s="8"/>
      <c r="BH41" s="8">
        <f>BF41</f>
        <v>4</v>
      </c>
      <c r="BI41" s="8"/>
      <c r="BJ41" s="8">
        <f>BH41</f>
        <v>4</v>
      </c>
      <c r="BK41" s="8"/>
      <c r="BL41" s="8">
        <f>BJ41</f>
        <v>4</v>
      </c>
      <c r="BM41" s="8"/>
      <c r="BN41" s="8">
        <f>BL41</f>
        <v>4</v>
      </c>
      <c r="BO41" s="8"/>
      <c r="BP41" s="8">
        <f>BN41</f>
        <v>4</v>
      </c>
      <c r="BQ41" s="8"/>
      <c r="BR41" s="8">
        <f>BP41</f>
        <v>4</v>
      </c>
      <c r="BS41" s="12"/>
      <c r="BT41" s="11">
        <f>BR41</f>
        <v>4</v>
      </c>
      <c r="BU41" s="12"/>
      <c r="BV41" s="8">
        <f>BT41</f>
        <v>4</v>
      </c>
      <c r="BW41" s="8"/>
      <c r="BX41" s="8">
        <f>BV41</f>
        <v>4</v>
      </c>
      <c r="BY41" s="8"/>
      <c r="BZ41" s="8">
        <f>BX41</f>
        <v>4</v>
      </c>
      <c r="CA41" s="8"/>
      <c r="CB41" s="8">
        <f>BZ41</f>
        <v>4</v>
      </c>
      <c r="CC41" s="8"/>
      <c r="CD41" s="8">
        <f>CB41</f>
        <v>4</v>
      </c>
      <c r="CE41" s="8"/>
      <c r="CF41" s="8">
        <f>CD41</f>
        <v>4</v>
      </c>
      <c r="CG41" s="8"/>
      <c r="CH41" s="8">
        <f>CF41</f>
        <v>4</v>
      </c>
      <c r="CI41" s="8"/>
      <c r="CJ41" s="8">
        <f>CH41</f>
        <v>4</v>
      </c>
      <c r="CK41" s="8"/>
      <c r="CL41" s="8">
        <f>CJ41</f>
        <v>4</v>
      </c>
      <c r="CM41" s="8"/>
      <c r="CN41" s="8">
        <f>CL41</f>
        <v>4</v>
      </c>
      <c r="CO41" s="8"/>
      <c r="CP41" s="8">
        <f>CN41</f>
        <v>4</v>
      </c>
      <c r="CQ41" s="8"/>
      <c r="CR41" s="8">
        <f>CP41</f>
        <v>4</v>
      </c>
      <c r="CS41" s="8"/>
      <c r="CT41" s="8">
        <f>CR41</f>
        <v>4</v>
      </c>
      <c r="CU41" s="8"/>
      <c r="CV41" s="8">
        <f>CT41</f>
        <v>4</v>
      </c>
      <c r="CW41" s="8"/>
      <c r="CX41" s="8">
        <f>CV41</f>
        <v>4</v>
      </c>
      <c r="CY41" s="8"/>
      <c r="CZ41" s="8">
        <f>CX41</f>
        <v>4</v>
      </c>
      <c r="DA41" s="8"/>
      <c r="DB41" s="8">
        <f>CZ41</f>
        <v>4</v>
      </c>
      <c r="DC41" s="12"/>
      <c r="DD41" s="11">
        <f>DB41</f>
        <v>4</v>
      </c>
      <c r="DE41" s="12"/>
      <c r="DF41" s="8">
        <f>DD41</f>
        <v>4</v>
      </c>
      <c r="DG41" s="8"/>
      <c r="DH41" s="8">
        <f>DF41</f>
        <v>4</v>
      </c>
      <c r="DI41" s="8"/>
      <c r="DJ41" s="8">
        <f>DH41</f>
        <v>4</v>
      </c>
      <c r="DK41" s="8"/>
      <c r="DL41" s="8">
        <f>DJ41</f>
        <v>4</v>
      </c>
      <c r="DM41" s="8"/>
      <c r="DN41" s="8">
        <f>DL41</f>
        <v>4</v>
      </c>
      <c r="DO41" s="8"/>
      <c r="DP41" s="8">
        <f>DN41</f>
        <v>4</v>
      </c>
      <c r="DQ41" s="8"/>
      <c r="DR41" s="8">
        <f>DP41</f>
        <v>4</v>
      </c>
      <c r="DS41" s="8"/>
      <c r="DT41" s="8">
        <f>DR41</f>
        <v>4</v>
      </c>
      <c r="DU41" s="8"/>
      <c r="DV41" s="8">
        <f>DT41</f>
        <v>4</v>
      </c>
      <c r="DW41" s="8"/>
      <c r="DX41" s="8">
        <f>DV41</f>
        <v>4</v>
      </c>
      <c r="DY41" s="8"/>
      <c r="DZ41" s="8">
        <f>DX41</f>
        <v>4</v>
      </c>
      <c r="EA41" s="8"/>
      <c r="EB41" s="8">
        <f>DZ41</f>
        <v>4</v>
      </c>
      <c r="EC41" s="8"/>
      <c r="ED41" s="8">
        <f>EB41</f>
        <v>4</v>
      </c>
      <c r="EE41" s="8"/>
      <c r="EF41" s="8">
        <f>ED41</f>
        <v>4</v>
      </c>
      <c r="EG41" s="8"/>
      <c r="EH41" s="8">
        <f>EF41</f>
        <v>4</v>
      </c>
      <c r="EI41" s="8"/>
      <c r="EJ41" s="8">
        <f>EH41</f>
        <v>4</v>
      </c>
      <c r="EK41" s="8"/>
      <c r="EL41" s="8">
        <f>EJ41</f>
        <v>4</v>
      </c>
      <c r="EM41" s="12"/>
      <c r="EN41" s="11">
        <f>EL41</f>
        <v>4</v>
      </c>
      <c r="EO41" s="12"/>
    </row>
    <row r="42" spans="1:145" hidden="1" x14ac:dyDescent="0.25">
      <c r="A42" s="14" t="s">
        <v>42</v>
      </c>
      <c r="B42" s="8">
        <f>(B17*B17+C17*C17)^(B40/2)+(B18*B18+C18*C18)^(B41/2)</f>
        <v>2492708231.3228941</v>
      </c>
      <c r="C42" s="8"/>
      <c r="D42" s="8">
        <f t="shared" ref="D42" si="308">(D17*D17+E17*E17)^(D40/2)+(D18*D18+E18*E18)^(D41/2)</f>
        <v>2192494728.2627892</v>
      </c>
      <c r="E42" s="8"/>
      <c r="F42" s="8">
        <f t="shared" ref="F42" si="309">(F17*F17+G17*G17)^(F40/2)+(F18*F18+G18*G18)^(F41/2)</f>
        <v>2190217292.8615952</v>
      </c>
      <c r="G42" s="8"/>
      <c r="H42" s="8">
        <f t="shared" ref="H42" si="310">(H17*H17+I17*I17)^(H40/2)+(H18*H18+I18*I18)^(H41/2)</f>
        <v>3015198846.611289</v>
      </c>
      <c r="I42" s="8"/>
      <c r="J42" s="8">
        <f t="shared" ref="J42" si="311">(J17*J17+K17*K17)^(J40/2)+(J18*J18+K18*K18)^(J41/2)</f>
        <v>3101608088.5215807</v>
      </c>
      <c r="K42" s="8"/>
      <c r="L42" s="8">
        <f t="shared" ref="L42" si="312">(L17*L17+M17*M17)^(L40/2)+(L18*L18+M18*M18)^(L41/2)</f>
        <v>3200698728.1772122</v>
      </c>
      <c r="M42" s="8"/>
      <c r="N42" s="8">
        <f t="shared" ref="N42" si="313">(N17*N17+O17*O17)^(N40/2)+(N18*N18+O18*O18)^(N41/2)</f>
        <v>5542753240.4486752</v>
      </c>
      <c r="O42" s="8"/>
      <c r="P42" s="8">
        <f t="shared" ref="P42" si="314">(P17*P17+Q17*Q17)^(P40/2)+(P18*P18+Q18*Q18)^(P41/2)</f>
        <v>5511324640.6186323</v>
      </c>
      <c r="Q42" s="8"/>
      <c r="R42" s="8">
        <f t="shared" ref="R42" si="315">(R17*R17+S17*S17)^(R40/2)+(R18*R18+S18*S18)^(R41/2)</f>
        <v>5165444747.4759789</v>
      </c>
      <c r="S42" s="8"/>
      <c r="T42" s="8">
        <f t="shared" ref="T42" si="316">(T17*T17+U17*U17)^(T40/2)+(T18*T18+U18*U18)^(T41/2)</f>
        <v>623647.71620996622</v>
      </c>
      <c r="U42" s="8"/>
      <c r="V42" s="8">
        <f t="shared" ref="V42" si="317">(V17*V17+W17*W17)^(V40/2)+(V18*V18+W18*W18)^(V41/2)</f>
        <v>569856.09033829253</v>
      </c>
      <c r="W42" s="8"/>
      <c r="X42" s="8">
        <f t="shared" ref="X42" si="318">(X17*X17+Y17*Y17)^(X40/2)+(X18*X18+Y18*Y18)^(X41/2)</f>
        <v>604273.41954999289</v>
      </c>
      <c r="Y42" s="8"/>
      <c r="Z42" s="8">
        <f t="shared" ref="Z42" si="319">(Z17*Z17+AA17*AA17)^(Z40/2)+(Z18*Z18+AA18*AA18)^(Z41/2)</f>
        <v>243113015.86669138</v>
      </c>
      <c r="AA42" s="8"/>
      <c r="AB42" s="8">
        <f t="shared" ref="AB42" si="320">(AB17*AB17+AC17*AC17)^(AB40/2)+(AB18*AB18+AC18*AC18)^(AB41/2)</f>
        <v>215784600.07236502</v>
      </c>
      <c r="AC42" s="8"/>
      <c r="AD42" s="8">
        <f t="shared" ref="AD42" si="321">(AD17*AD17+AE17*AE17)^(AD40/2)+(AD18*AD18+AE18*AE18)^(AD41/2)</f>
        <v>212821789.79512635</v>
      </c>
      <c r="AE42" s="8"/>
      <c r="AF42" s="8">
        <f t="shared" ref="AF42" ca="1" si="322">(AF17*AF17+AG17*AG17)^(AF40/2)+(AF18*AF18+AG18*AG18)^(AF41/2)</f>
        <v>4041350165.8130927</v>
      </c>
      <c r="AG42" s="8"/>
      <c r="AH42" s="8">
        <f t="shared" ref="AH42" ca="1" si="323">(AH17*AH17+AI17*AI17)^(AH40/2)+(AH18*AH18+AI18*AI18)^(AH41/2)</f>
        <v>4653968426.4001169</v>
      </c>
      <c r="AI42" s="8"/>
      <c r="AJ42" s="8">
        <f t="shared" ref="AJ42" ca="1" si="324">(AJ17*AJ17+AK17*AK17)^(AJ40/2)+(AJ18*AJ18+AK18*AK18)^(AJ41/2)</f>
        <v>4488098790.9371367</v>
      </c>
      <c r="AK42" s="8"/>
      <c r="AL42" s="11">
        <f t="shared" ref="AL42" si="325">(AL17*AL17+AM17*AM17)^(AL40/2)+(AL18*AL18+AM18*AM18)^(AL41/2)</f>
        <v>2653307886.1475806</v>
      </c>
      <c r="AM42" s="12"/>
      <c r="AN42" s="11">
        <f t="shared" ref="AN42" si="326">(AN17*AN17+AO17*AO17)^(AN40/2)+(AN18*AN18+AO18*AO18)^(AN41/2)</f>
        <v>2133229150.5876288</v>
      </c>
      <c r="AO42" s="12"/>
      <c r="AP42" s="11">
        <f t="shared" ref="AP42" si="327">(AP17*AP17+AQ17*AQ17)^(AP40/2)+(AP18*AP18+AQ18*AQ18)^(AP41/2)</f>
        <v>2167604884.0203252</v>
      </c>
      <c r="AQ42" s="12"/>
      <c r="AR42" s="11">
        <f t="shared" ref="AR42" si="328">(AR17*AR17+AS17*AS17)^(AR40/2)+(AR18*AR18+AS18*AS18)^(AR41/2)</f>
        <v>3234473284.6153193</v>
      </c>
      <c r="AS42" s="12"/>
      <c r="AT42" s="11">
        <f t="shared" ref="AT42" si="329">(AT17*AT17+AU17*AU17)^(AT40/2)+(AT18*AT18+AU18*AU18)^(AT41/2)</f>
        <v>3156804958.5285759</v>
      </c>
      <c r="AU42" s="12"/>
      <c r="AV42" s="11">
        <f t="shared" ref="AV42" si="330">(AV17*AV17+AW17*AW17)^(AV40/2)+(AV18*AV18+AW18*AW18)^(AV41/2)</f>
        <v>3144865945.5508971</v>
      </c>
      <c r="AW42" s="12"/>
      <c r="AX42" s="11">
        <f t="shared" ref="AX42" si="331">(AX17*AX17+AY17*AY17)^(AX40/2)+(AX18*AX18+AY18*AY18)^(AX41/2)</f>
        <v>5099307491.7146215</v>
      </c>
      <c r="AY42" s="12"/>
      <c r="AZ42" s="11">
        <f t="shared" ref="AZ42" si="332">(AZ17*AZ17+BA17*BA17)^(AZ40/2)+(AZ18*AZ18+BA18*BA18)^(AZ41/2)</f>
        <v>5197492609.6236</v>
      </c>
      <c r="BA42" s="12"/>
      <c r="BB42" s="11">
        <f t="shared" ref="BB42" si="333">(BB17*BB17+BC17*BC17)^(BB40/2)+(BB18*BB18+BC18*BC18)^(BB41/2)</f>
        <v>5202950042.3784237</v>
      </c>
      <c r="BC42" s="12"/>
      <c r="BD42" s="11">
        <f t="shared" ref="BD42" si="334">(BD17*BD17+BE17*BE17)^(BD40/2)+(BD18*BD18+BE18*BE18)^(BD41/2)</f>
        <v>618498.79550069803</v>
      </c>
      <c r="BE42" s="12"/>
      <c r="BF42" s="11">
        <f t="shared" ref="BF42" si="335">(BF17*BF17+BG17*BG17)^(BF40/2)+(BF18*BF18+BG18*BG18)^(BF41/2)</f>
        <v>590756.89720623032</v>
      </c>
      <c r="BG42" s="12"/>
      <c r="BH42" s="11">
        <f t="shared" ref="BH42" si="336">(BH17*BH17+BI17*BI17)^(BH40/2)+(BH18*BH18+BI18*BI18)^(BH41/2)</f>
        <v>1033526.3849062992</v>
      </c>
      <c r="BI42" s="12"/>
      <c r="BJ42" s="11">
        <f t="shared" ref="BJ42" si="337">(BJ17*BJ17+BK17*BK17)^(BJ40/2)+(BJ18*BJ18+BK18*BK18)^(BJ41/2)</f>
        <v>258094374.45856178</v>
      </c>
      <c r="BK42" s="12"/>
      <c r="BL42" s="11">
        <f t="shared" ref="BL42" si="338">(BL17*BL17+BM17*BM17)^(BL40/2)+(BL18*BL18+BM18*BM18)^(BL41/2)</f>
        <v>208277228.06658897</v>
      </c>
      <c r="BM42" s="12"/>
      <c r="BN42" s="11">
        <f t="shared" ref="BN42" si="339">(BN17*BN17+BO17*BO17)^(BN40/2)+(BN18*BN18+BO18*BO18)^(BN41/2)</f>
        <v>211681425.79613635</v>
      </c>
      <c r="BO42" s="12"/>
      <c r="BP42" s="11">
        <f t="shared" ref="BP42" ca="1" si="340">(BP17*BP17+BQ17*BQ17)^(BP40/2)+(BP18*BP18+BQ18*BQ18)^(BP41/2)</f>
        <v>4640683994.7330742</v>
      </c>
      <c r="BQ42" s="12"/>
      <c r="BR42" s="11">
        <f t="shared" ref="BR42" ca="1" si="341">(BR17*BR17+BS17*BS17)^(BR40/2)+(BR18*BR18+BS18*BS18)^(BR41/2)</f>
        <v>4580212613.3175936</v>
      </c>
      <c r="BS42" s="12"/>
      <c r="BT42" s="11">
        <f t="shared" ref="BT42" ca="1" si="342">(BT17*BT17+BU17*BU17)^(BT40/2)+(BT18*BT18+BU18*BU18)^(BT41/2)</f>
        <v>4336096313.3223305</v>
      </c>
      <c r="BU42" s="12"/>
      <c r="BV42" s="5">
        <f t="shared" ref="BV42" si="343">(BV17*BV17+BW17*BW17)^(BV40/2)+(BV18*BV18+BW18*BW18)^(BV41/2)</f>
        <v>2327677477.9097695</v>
      </c>
      <c r="BW42" s="6"/>
      <c r="BX42" s="5">
        <f t="shared" ref="BX42" si="344">(BX17*BX17+BY17*BY17)^(BX40/2)+(BX18*BX18+BY18*BY18)^(BX41/2)</f>
        <v>2123622461.4211946</v>
      </c>
      <c r="BY42" s="6"/>
      <c r="BZ42" s="5">
        <f t="shared" ref="BZ42" si="345">(BZ17*BZ17+CA17*CA17)^(BZ40/2)+(BZ18*BZ18+CA18*CA18)^(BZ41/2)</f>
        <v>2055002560.6011362</v>
      </c>
      <c r="CA42" s="6"/>
      <c r="CB42" s="5">
        <f t="shared" ref="CB42" si="346">(CB17*CB17+CC17*CC17)^(CB40/2)+(CB18*CB18+CC18*CC18)^(CB41/2)</f>
        <v>3282545393.8121438</v>
      </c>
      <c r="CC42" s="6"/>
      <c r="CD42" s="5">
        <f t="shared" ref="CD42" si="347">(CD17*CD17+CE17*CE17)^(CD40/2)+(CD18*CD18+CE18*CE18)^(CD41/2)</f>
        <v>3103539463.2651653</v>
      </c>
      <c r="CE42" s="6"/>
      <c r="CF42" s="5">
        <f t="shared" ref="CF42" si="348">(CF17*CF17+CG17*CG17)^(CF40/2)+(CF18*CF18+CG18*CG18)^(CF41/2)</f>
        <v>3119381485.1864285</v>
      </c>
      <c r="CG42" s="6"/>
      <c r="CH42" s="5">
        <f t="shared" ref="CH42" si="349">(CH17*CH17+CI17*CI17)^(CH40/2)+(CH18*CH18+CI18*CI18)^(CH41/2)</f>
        <v>4847664376.4757042</v>
      </c>
      <c r="CI42" s="6"/>
      <c r="CJ42" s="5">
        <f t="shared" ref="CJ42" si="350">(CJ17*CJ17+CK17*CK17)^(CJ40/2)+(CJ18*CJ18+CK18*CK18)^(CJ41/2)</f>
        <v>5214305321.993104</v>
      </c>
      <c r="CK42" s="6"/>
      <c r="CL42" s="5">
        <f t="shared" ref="CL42" si="351">(CL17*CL17+CM17*CM17)^(CL40/2)+(CL18*CL18+CM18*CM18)^(CL41/2)</f>
        <v>4562743268.0369558</v>
      </c>
      <c r="CM42" s="6"/>
      <c r="CN42" s="5">
        <f t="shared" ref="CN42" si="352">(CN17*CN17+CO17*CO17)^(CN40/2)+(CN18*CN18+CO18*CO18)^(CN41/2)</f>
        <v>586648.08489599579</v>
      </c>
      <c r="CO42" s="6"/>
      <c r="CP42" s="5">
        <f t="shared" ref="CP42" si="353">(CP17*CP17+CQ17*CQ17)^(CP40/2)+(CP18*CP18+CQ18*CQ18)^(CP41/2)</f>
        <v>633600.54537795612</v>
      </c>
      <c r="CQ42" s="6"/>
      <c r="CR42" s="5">
        <f t="shared" ref="CR42" ca="1" si="354">(CR17*CR17+CS17*CS17)^(CR40/2)+(CR18*CR18+CS18*CS18)^(CR41/2)</f>
        <v>770114.10802580824</v>
      </c>
      <c r="CS42" s="6"/>
      <c r="CT42" s="5">
        <f t="shared" ref="CT42" si="355">(CT17*CT17+CU17*CU17)^(CT40/2)+(CT18*CT18+CU18*CU18)^(CT41/2)</f>
        <v>224631884.8415288</v>
      </c>
      <c r="CU42" s="6"/>
      <c r="CV42" s="5">
        <f t="shared" ref="CV42" si="356">(CV17*CV17+CW17*CW17)^(CV40/2)+(CV18*CV18+CW18*CW18)^(CV41/2)</f>
        <v>206773391.46494472</v>
      </c>
      <c r="CW42" s="6"/>
      <c r="CX42" s="5">
        <f t="shared" ref="CX42" si="357">(CX17*CX17+CY17*CY17)^(CX40/2)+(CX18*CX18+CY18*CY18)^(CX41/2)</f>
        <v>198732034.24731591</v>
      </c>
      <c r="CY42" s="6"/>
      <c r="CZ42" s="5">
        <f t="shared" ref="CZ42" ca="1" si="358">(CZ17*CZ17+DA17*DA17)^(CZ40/2)+(CZ18*CZ18+DA18*DA18)^(CZ41/2)</f>
        <v>4789958713.7966805</v>
      </c>
      <c r="DA42" s="6"/>
      <c r="DB42" s="5">
        <f t="shared" ref="DB42" ca="1" si="359">(DB17*DB17+DC17*DC17)^(DB40/2)+(DB18*DB18+DC18*DC18)^(DB41/2)</f>
        <v>4451274338.140193</v>
      </c>
      <c r="DC42" s="6"/>
      <c r="DD42" s="5">
        <f t="shared" ref="DD42" ca="1" si="360">(DD17*DD17+DE17*DE17)^(DD40/2)+(DD18*DD18+DE18*DE18)^(DD41/2)</f>
        <v>4652449454.4212008</v>
      </c>
      <c r="DE42" s="6"/>
      <c r="DF42" s="9">
        <f t="shared" ref="DF42" si="361">(DF17*DF17+DG17*DG17)^(DF40/2)+(DF18*DF18+DG18*DG18)^(DF41/2)</f>
        <v>2553541518.4957314</v>
      </c>
      <c r="DG42" s="10"/>
      <c r="DH42" s="9">
        <f t="shared" ref="DH42" ca="1" si="362">(DH17*DH17+DI17*DI17)^(DH40/2)+(DH18*DH18+DI18*DI18)^(DH41/2)</f>
        <v>2944128105.998096</v>
      </c>
      <c r="DI42" s="10"/>
      <c r="DJ42" s="9">
        <f t="shared" ref="DJ42" ca="1" si="363">(DJ17*DJ17+DK17*DK17)^(DJ40/2)+(DJ18*DJ18+DK18*DK18)^(DJ41/2)</f>
        <v>2818149086.4196424</v>
      </c>
      <c r="DK42" s="10"/>
      <c r="DL42" s="9">
        <f t="shared" ref="DL42" si="364">(DL17*DL17+DM17*DM17)^(DL40/2)+(DL18*DL18+DM18*DM18)^(DL41/2)</f>
        <v>3144224160.0697527</v>
      </c>
      <c r="DM42" s="10"/>
      <c r="DN42" s="9">
        <f t="shared" ref="DN42" ca="1" si="365">(DN17*DN17+DO17*DO17)^(DN40/2)+(DN18*DN18+DO18*DO18)^(DN41/2)</f>
        <v>4255013180.7773657</v>
      </c>
      <c r="DO42" s="10"/>
      <c r="DP42" s="9">
        <f t="shared" ref="DP42" ca="1" si="366">(DP17*DP17+DQ17*DQ17)^(DP40/2)+(DP18*DP18+DQ18*DQ18)^(DP41/2)</f>
        <v>4398610359.8137512</v>
      </c>
      <c r="DQ42" s="10"/>
      <c r="DR42" s="9">
        <f t="shared" ref="DR42" ca="1" si="367">(DR17*DR17+DS17*DS17)^(DR40/2)+(DR18*DR18+DS18*DS18)^(DR41/2)</f>
        <v>6760351414.8493624</v>
      </c>
      <c r="DS42" s="10"/>
      <c r="DT42" s="9">
        <f t="shared" ref="DT42" ca="1" si="368">(DT17*DT17+DU17*DU17)^(DT40/2)+(DT18*DT18+DU18*DU18)^(DT41/2)</f>
        <v>7190548676.993432</v>
      </c>
      <c r="DU42" s="10"/>
      <c r="DV42" s="9">
        <f t="shared" ref="DV42" ca="1" si="369">(DV17*DV17+DW17*DW17)^(DV40/2)+(DV18*DV18+DW18*DW18)^(DV41/2)</f>
        <v>6325736474.5751772</v>
      </c>
      <c r="DW42" s="10"/>
      <c r="DX42" s="9">
        <f t="shared" ref="DX42" ca="1" si="370">(DX17*DX17+DY17*DY17)^(DX40/2)+(DX18*DX18+DY18*DY18)^(DX41/2)</f>
        <v>786388.4955197149</v>
      </c>
      <c r="DY42" s="10"/>
      <c r="DZ42" s="9">
        <f t="shared" ref="DZ42" ca="1" si="371">(DZ17*DZ17+EA17*EA17)^(DZ40/2)+(DZ18*DZ18+EA18*EA18)^(DZ41/2)</f>
        <v>854015.26863050601</v>
      </c>
      <c r="EA42" s="10"/>
      <c r="EB42" s="9">
        <f t="shared" ref="EB42" ca="1" si="372">(EB17*EB17+EC17*EC17)^(EB40/2)+(EB18*EB18+EC18*EC18)^(EB41/2)</f>
        <v>1073492.6572812775</v>
      </c>
      <c r="EC42" s="10"/>
      <c r="ED42" s="9">
        <f t="shared" ref="ED42" si="373">(ED17*ED17+EE17*EE17)^(ED40/2)+(ED18*ED18+EE18*EE18)^(ED41/2)</f>
        <v>244206334.94580367</v>
      </c>
      <c r="EE42" s="10"/>
      <c r="EF42" s="9">
        <f t="shared" ref="EF42" ca="1" si="374">(EF17*EF17+EG17*EG17)^(EF40/2)+(EF18*EF18+EG18*EG18)^(EF41/2)</f>
        <v>286551015.81324595</v>
      </c>
      <c r="EG42" s="10"/>
      <c r="EH42" s="9">
        <f t="shared" ref="EH42" ca="1" si="375">(EH17*EH17+EI17*EI17)^(EH40/2)+(EH18*EH18+EI18*EI18)^(EH41/2)</f>
        <v>271644810.95461583</v>
      </c>
      <c r="EI42" s="10"/>
      <c r="EJ42" s="9">
        <f t="shared" ref="EJ42" ca="1" si="376">(EJ17*EJ17+EK17*EK17)^(EJ40/2)+(EJ18*EJ18+EK18*EK18)^(EJ41/2)</f>
        <v>4585061641.2294683</v>
      </c>
      <c r="EK42" s="10"/>
      <c r="EL42" s="9">
        <f t="shared" ref="EL42" ca="1" si="377">(EL17*EL17+EM17*EM17)^(EL40/2)+(EL18*EL18+EM18*EM18)^(EL41/2)</f>
        <v>6105320511.7542057</v>
      </c>
      <c r="EM42" s="10"/>
      <c r="EN42" s="9">
        <f t="shared" ref="EN42" ca="1" si="378">(EN17*EN17+EO17*EO17)^(EN40/2)+(EN18*EN18+EO18*EO18)^(EN41/2)</f>
        <v>6172022577.0742493</v>
      </c>
      <c r="EO42" s="10"/>
    </row>
    <row r="43" spans="1:145" x14ac:dyDescent="0.25">
      <c r="A43" s="16" t="s">
        <v>36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11"/>
      <c r="AM43" s="12"/>
      <c r="AN43" s="11"/>
      <c r="AO43" s="12"/>
      <c r="AP43" s="11"/>
      <c r="AQ43" s="12"/>
      <c r="AR43" s="11"/>
      <c r="AS43" s="12"/>
      <c r="AT43" s="11"/>
      <c r="AU43" s="12"/>
      <c r="AV43" s="11"/>
      <c r="AW43" s="12"/>
      <c r="AX43" s="11"/>
      <c r="AY43" s="12"/>
      <c r="AZ43" s="11"/>
      <c r="BA43" s="12"/>
      <c r="BB43" s="11"/>
      <c r="BC43" s="12"/>
      <c r="BD43" s="11"/>
      <c r="BE43" s="12"/>
      <c r="BF43" s="11"/>
      <c r="BG43" s="12"/>
      <c r="BH43" s="11"/>
      <c r="BI43" s="12"/>
      <c r="BJ43" s="11"/>
      <c r="BK43" s="12"/>
      <c r="BL43" s="11"/>
      <c r="BM43" s="12"/>
      <c r="BN43" s="11"/>
      <c r="BO43" s="12"/>
      <c r="BP43" s="11"/>
      <c r="BQ43" s="12"/>
      <c r="BR43" s="11"/>
      <c r="BS43" s="12"/>
      <c r="BT43" s="11"/>
      <c r="BU43" s="12"/>
      <c r="BV43" s="5"/>
      <c r="BW43" s="6"/>
      <c r="BX43" s="5"/>
      <c r="BY43" s="6"/>
      <c r="BZ43" s="5"/>
      <c r="CA43" s="6"/>
      <c r="CB43" s="5"/>
      <c r="CC43" s="6"/>
      <c r="CD43" s="5"/>
      <c r="CE43" s="6"/>
      <c r="CF43" s="5"/>
      <c r="CG43" s="6"/>
      <c r="CH43" s="5"/>
      <c r="CI43" s="6"/>
      <c r="CJ43" s="5"/>
      <c r="CK43" s="6"/>
      <c r="CL43" s="5"/>
      <c r="CM43" s="6"/>
      <c r="CN43" s="5"/>
      <c r="CO43" s="6"/>
      <c r="CP43" s="5"/>
      <c r="CQ43" s="6"/>
      <c r="CR43" s="5"/>
      <c r="CS43" s="6"/>
      <c r="CT43" s="5"/>
      <c r="CU43" s="6"/>
      <c r="CV43" s="5"/>
      <c r="CW43" s="6"/>
      <c r="CX43" s="5"/>
      <c r="CY43" s="6"/>
      <c r="CZ43" s="5"/>
      <c r="DA43" s="6"/>
      <c r="DB43" s="5"/>
      <c r="DC43" s="6"/>
      <c r="DD43" s="5"/>
      <c r="DE43" s="6"/>
      <c r="DF43" s="9"/>
      <c r="DG43" s="10"/>
      <c r="DH43" s="9"/>
      <c r="DI43" s="10"/>
      <c r="DJ43" s="9"/>
      <c r="DK43" s="10"/>
      <c r="DL43" s="9"/>
      <c r="DM43" s="10"/>
      <c r="DN43" s="9"/>
      <c r="DO43" s="10"/>
      <c r="DP43" s="9"/>
      <c r="DQ43" s="10"/>
      <c r="DR43" s="9"/>
      <c r="DS43" s="10"/>
      <c r="DT43" s="9"/>
      <c r="DU43" s="10"/>
      <c r="DV43" s="9"/>
      <c r="DW43" s="10"/>
      <c r="DX43" s="9"/>
      <c r="DY43" s="10"/>
      <c r="DZ43" s="9"/>
      <c r="EA43" s="10"/>
      <c r="EB43" s="9"/>
      <c r="EC43" s="10"/>
      <c r="ED43" s="9"/>
      <c r="EE43" s="10"/>
      <c r="EF43" s="9"/>
      <c r="EG43" s="10"/>
      <c r="EH43" s="9"/>
      <c r="EI43" s="10"/>
      <c r="EJ43" s="9"/>
      <c r="EK43" s="10"/>
      <c r="EL43" s="9"/>
      <c r="EM43" s="10"/>
      <c r="EN43" s="9"/>
      <c r="EO43" s="10"/>
    </row>
    <row r="44" spans="1:145" x14ac:dyDescent="0.25">
      <c r="A44" s="14" t="s">
        <v>37</v>
      </c>
      <c r="B44" s="8">
        <f>'типовая конструкция'!B44</f>
        <v>4</v>
      </c>
      <c r="C44" s="8"/>
      <c r="D44" s="8">
        <f>B44</f>
        <v>4</v>
      </c>
      <c r="E44" s="8"/>
      <c r="F44" s="8">
        <f>D44</f>
        <v>4</v>
      </c>
      <c r="G44" s="8"/>
      <c r="H44" s="8">
        <f>F44</f>
        <v>4</v>
      </c>
      <c r="I44" s="8"/>
      <c r="J44" s="8">
        <f>H44</f>
        <v>4</v>
      </c>
      <c r="K44" s="8"/>
      <c r="L44" s="8">
        <f>J44</f>
        <v>4</v>
      </c>
      <c r="M44" s="8"/>
      <c r="N44" s="8">
        <f>L44</f>
        <v>4</v>
      </c>
      <c r="O44" s="8"/>
      <c r="P44" s="8">
        <f>N44</f>
        <v>4</v>
      </c>
      <c r="Q44" s="8"/>
      <c r="R44" s="8">
        <f>P44</f>
        <v>4</v>
      </c>
      <c r="S44" s="8"/>
      <c r="T44" s="8">
        <f>R44</f>
        <v>4</v>
      </c>
      <c r="U44" s="8"/>
      <c r="V44" s="8">
        <f>T44</f>
        <v>4</v>
      </c>
      <c r="W44" s="8"/>
      <c r="X44" s="8">
        <f>V44</f>
        <v>4</v>
      </c>
      <c r="Y44" s="8"/>
      <c r="Z44" s="8">
        <f>X44</f>
        <v>4</v>
      </c>
      <c r="AA44" s="8"/>
      <c r="AB44" s="8">
        <f>Z44</f>
        <v>4</v>
      </c>
      <c r="AC44" s="8"/>
      <c r="AD44" s="8">
        <f>AB44</f>
        <v>4</v>
      </c>
      <c r="AE44" s="8"/>
      <c r="AF44" s="8">
        <f>AD44</f>
        <v>4</v>
      </c>
      <c r="AG44" s="8"/>
      <c r="AH44" s="8">
        <f>AF44</f>
        <v>4</v>
      </c>
      <c r="AI44" s="8"/>
      <c r="AJ44" s="8">
        <f>AH44</f>
        <v>4</v>
      </c>
      <c r="AK44" s="8"/>
      <c r="AL44" s="8">
        <f>AJ44</f>
        <v>4</v>
      </c>
      <c r="AM44" s="8"/>
      <c r="AN44" s="8">
        <f>AL44</f>
        <v>4</v>
      </c>
      <c r="AO44" s="8"/>
      <c r="AP44" s="8">
        <f>AN44</f>
        <v>4</v>
      </c>
      <c r="AQ44" s="8"/>
      <c r="AR44" s="8">
        <f>AP44</f>
        <v>4</v>
      </c>
      <c r="AS44" s="8"/>
      <c r="AT44" s="8">
        <f>AR44</f>
        <v>4</v>
      </c>
      <c r="AU44" s="8"/>
      <c r="AV44" s="8">
        <f>AT44</f>
        <v>4</v>
      </c>
      <c r="AW44" s="8"/>
      <c r="AX44" s="8">
        <f>AV44</f>
        <v>4</v>
      </c>
      <c r="AY44" s="8"/>
      <c r="AZ44" s="8">
        <f>AX44</f>
        <v>4</v>
      </c>
      <c r="BA44" s="8"/>
      <c r="BB44" s="8">
        <f>AZ44</f>
        <v>4</v>
      </c>
      <c r="BC44" s="8"/>
      <c r="BD44" s="8">
        <f>BB44</f>
        <v>4</v>
      </c>
      <c r="BE44" s="8"/>
      <c r="BF44" s="8">
        <f>BD44</f>
        <v>4</v>
      </c>
      <c r="BG44" s="8"/>
      <c r="BH44" s="8">
        <f>BF44</f>
        <v>4</v>
      </c>
      <c r="BI44" s="8"/>
      <c r="BJ44" s="8">
        <f>BH44</f>
        <v>4</v>
      </c>
      <c r="BK44" s="8"/>
      <c r="BL44" s="8">
        <f>BJ44</f>
        <v>4</v>
      </c>
      <c r="BM44" s="8"/>
      <c r="BN44" s="8">
        <f>BL44</f>
        <v>4</v>
      </c>
      <c r="BO44" s="8"/>
      <c r="BP44" s="8">
        <f>BN44</f>
        <v>4</v>
      </c>
      <c r="BQ44" s="8"/>
      <c r="BR44" s="8">
        <f>BP44</f>
        <v>4</v>
      </c>
      <c r="BS44" s="12"/>
      <c r="BT44" s="11">
        <f>BR44</f>
        <v>4</v>
      </c>
      <c r="BU44" s="12"/>
      <c r="BV44" s="8">
        <f>BT44</f>
        <v>4</v>
      </c>
      <c r="BW44" s="8"/>
      <c r="BX44" s="8">
        <f>BV44</f>
        <v>4</v>
      </c>
      <c r="BY44" s="8"/>
      <c r="BZ44" s="8">
        <f>BX44</f>
        <v>4</v>
      </c>
      <c r="CA44" s="8"/>
      <c r="CB44" s="8">
        <f>BZ44</f>
        <v>4</v>
      </c>
      <c r="CC44" s="8"/>
      <c r="CD44" s="8">
        <f>CB44</f>
        <v>4</v>
      </c>
      <c r="CE44" s="8"/>
      <c r="CF44" s="8">
        <f>CD44</f>
        <v>4</v>
      </c>
      <c r="CG44" s="8"/>
      <c r="CH44" s="8">
        <f>CF44</f>
        <v>4</v>
      </c>
      <c r="CI44" s="8"/>
      <c r="CJ44" s="8">
        <f>CH44</f>
        <v>4</v>
      </c>
      <c r="CK44" s="8"/>
      <c r="CL44" s="8">
        <f>CJ44</f>
        <v>4</v>
      </c>
      <c r="CM44" s="8"/>
      <c r="CN44" s="8">
        <f>CL44</f>
        <v>4</v>
      </c>
      <c r="CO44" s="8"/>
      <c r="CP44" s="8">
        <f>CN44</f>
        <v>4</v>
      </c>
      <c r="CQ44" s="8"/>
      <c r="CR44" s="8">
        <f>CP44</f>
        <v>4</v>
      </c>
      <c r="CS44" s="8"/>
      <c r="CT44" s="8">
        <f>CR44</f>
        <v>4</v>
      </c>
      <c r="CU44" s="8"/>
      <c r="CV44" s="8">
        <f>CT44</f>
        <v>4</v>
      </c>
      <c r="CW44" s="8"/>
      <c r="CX44" s="8">
        <f>CV44</f>
        <v>4</v>
      </c>
      <c r="CY44" s="8"/>
      <c r="CZ44" s="8">
        <f>CX44</f>
        <v>4</v>
      </c>
      <c r="DA44" s="8"/>
      <c r="DB44" s="8">
        <f>CZ44</f>
        <v>4</v>
      </c>
      <c r="DC44" s="12"/>
      <c r="DD44" s="11">
        <f>DB44</f>
        <v>4</v>
      </c>
      <c r="DE44" s="12"/>
      <c r="DF44" s="8">
        <f>DD44</f>
        <v>4</v>
      </c>
      <c r="DG44" s="8"/>
      <c r="DH44" s="8">
        <f>DF44</f>
        <v>4</v>
      </c>
      <c r="DI44" s="8"/>
      <c r="DJ44" s="8">
        <f>DH44</f>
        <v>4</v>
      </c>
      <c r="DK44" s="8"/>
      <c r="DL44" s="8">
        <f>DJ44</f>
        <v>4</v>
      </c>
      <c r="DM44" s="8"/>
      <c r="DN44" s="8">
        <f>DL44</f>
        <v>4</v>
      </c>
      <c r="DO44" s="8"/>
      <c r="DP44" s="8">
        <f>DN44</f>
        <v>4</v>
      </c>
      <c r="DQ44" s="8"/>
      <c r="DR44" s="8">
        <f>DP44</f>
        <v>4</v>
      </c>
      <c r="DS44" s="8"/>
      <c r="DT44" s="8">
        <f>DR44</f>
        <v>4</v>
      </c>
      <c r="DU44" s="8"/>
      <c r="DV44" s="8">
        <f>DT44</f>
        <v>4</v>
      </c>
      <c r="DW44" s="8"/>
      <c r="DX44" s="8">
        <f>DV44</f>
        <v>4</v>
      </c>
      <c r="DY44" s="8"/>
      <c r="DZ44" s="8">
        <f>DX44</f>
        <v>4</v>
      </c>
      <c r="EA44" s="8"/>
      <c r="EB44" s="8">
        <f>DZ44</f>
        <v>4</v>
      </c>
      <c r="EC44" s="8"/>
      <c r="ED44" s="8">
        <f>EB44</f>
        <v>4</v>
      </c>
      <c r="EE44" s="8"/>
      <c r="EF44" s="8">
        <f>ED44</f>
        <v>4</v>
      </c>
      <c r="EG44" s="8"/>
      <c r="EH44" s="8">
        <f>EF44</f>
        <v>4</v>
      </c>
      <c r="EI44" s="8"/>
      <c r="EJ44" s="8">
        <f>EH44</f>
        <v>4</v>
      </c>
      <c r="EK44" s="8"/>
      <c r="EL44" s="8">
        <f>EJ44</f>
        <v>4</v>
      </c>
      <c r="EM44" s="12"/>
      <c r="EN44" s="11">
        <f>EL44</f>
        <v>4</v>
      </c>
      <c r="EO44" s="12"/>
    </row>
    <row r="45" spans="1:145" hidden="1" x14ac:dyDescent="0.25">
      <c r="A45" s="14" t="s">
        <v>38</v>
      </c>
      <c r="B45" s="8">
        <f>(B19*B19+C19*C19)^(B44/2)</f>
        <v>201135924.70746002</v>
      </c>
      <c r="C45" s="8"/>
      <c r="D45" s="8">
        <f t="shared" ref="D45" si="379">(D19*D19+E19*E19)^(D44/2)</f>
        <v>184642981.92298242</v>
      </c>
      <c r="E45" s="8"/>
      <c r="F45" s="8">
        <f t="shared" ref="F45" si="380">(F19*F19+G19*G19)^(F44/2)</f>
        <v>184498908.36017862</v>
      </c>
      <c r="G45" s="8"/>
      <c r="H45" s="8">
        <f t="shared" ref="H45" si="381">(H19*H19+I19*I19)^(H44/2)</f>
        <v>228342092.69758311</v>
      </c>
      <c r="I45" s="8"/>
      <c r="J45" s="8">
        <f t="shared" ref="J45" si="382">(J19*J19+K19*K19)^(J44/2)</f>
        <v>232683985.31311211</v>
      </c>
      <c r="K45" s="8"/>
      <c r="L45" s="8">
        <f t="shared" ref="L45" si="383">(L19*L19+M19*M19)^(L44/2)</f>
        <v>237610405.20722592</v>
      </c>
      <c r="M45" s="8"/>
      <c r="N45" s="8">
        <f t="shared" ref="N45" si="384">(N19*N19+O19*O19)^(N44/2)</f>
        <v>342656490.08550096</v>
      </c>
      <c r="O45" s="8"/>
      <c r="P45" s="8">
        <f t="shared" ref="P45" si="385">(P19*P19+Q19*Q19)^(P44/2)</f>
        <v>341359669.3531428</v>
      </c>
      <c r="Q45" s="8"/>
      <c r="R45" s="8">
        <f t="shared" ref="R45" si="386">(R19*R19+S19*S19)^(R44/2)</f>
        <v>326923872.36161965</v>
      </c>
      <c r="S45" s="8"/>
      <c r="T45" s="8">
        <f t="shared" ref="T45" si="387">(T19*T19+U19*U19)^(T44/2)</f>
        <v>798610.25079078577</v>
      </c>
      <c r="U45" s="8"/>
      <c r="V45" s="8">
        <f t="shared" ref="V45" si="388">(V19*V19+W19*W19)^(V44/2)</f>
        <v>751999.51235593425</v>
      </c>
      <c r="W45" s="8"/>
      <c r="X45" s="8">
        <f t="shared" ref="X45" si="389">(X19*X19+Y19*Y19)^(X44/2)</f>
        <v>781802.68146351643</v>
      </c>
      <c r="Y45" s="8"/>
      <c r="Z45" s="8">
        <f t="shared" ref="Z45" si="390">(Z19*Z19+AA19*AA19)^(Z44/2)</f>
        <v>42616800.137394525</v>
      </c>
      <c r="AA45" s="8"/>
      <c r="AB45" s="8">
        <f t="shared" ref="AB45" si="391">(AB19*AB19+AC19*AC19)^(AB44/2)</f>
        <v>39359960.876945794</v>
      </c>
      <c r="AC45" s="8"/>
      <c r="AD45" s="8">
        <f t="shared" ref="AD45" si="392">(AD19*AD19+AE19*AE19)^(AD44/2)</f>
        <v>38996644.040590547</v>
      </c>
      <c r="AE45" s="8"/>
      <c r="AF45" s="8">
        <f t="shared" ref="AF45" ca="1" si="393">(AF19*AF19+AG19*AG19)^(AF44/2)</f>
        <v>277583083.87152886</v>
      </c>
      <c r="AG45" s="8"/>
      <c r="AH45" s="8">
        <f t="shared" ref="AH45" ca="1" si="394">(AH19*AH19+AI19*AI19)^(AH44/2)</f>
        <v>304970286.10813427</v>
      </c>
      <c r="AI45" s="8"/>
      <c r="AJ45" s="8">
        <f t="shared" ref="AJ45" ca="1" si="395">(AJ19*AJ19+AK19*AK19)^(AJ44/2)</f>
        <v>297676422.8268556</v>
      </c>
      <c r="AK45" s="8"/>
      <c r="AL45" s="11">
        <f t="shared" ref="AL45" si="396">(AL19*AL19+AM19*AM19)^(AL44/2)</f>
        <v>209684876.45767939</v>
      </c>
      <c r="AM45" s="12"/>
      <c r="AN45" s="11">
        <f t="shared" ref="AN45" si="397">(AN19*AN19+AO19*AO19)^(AN44/2)</f>
        <v>181300344.35136524</v>
      </c>
      <c r="AO45" s="12"/>
      <c r="AP45" s="11">
        <f t="shared" ref="AP45" si="398">(AP19*AP19+AQ19*AQ19)^(AP44/2)</f>
        <v>183225918.75421849</v>
      </c>
      <c r="AQ45" s="12"/>
      <c r="AR45" s="11">
        <f t="shared" ref="AR45" si="399">(AR19*AR19+AS19*AS19)^(AR44/2)</f>
        <v>239282557.87071821</v>
      </c>
      <c r="AS45" s="12"/>
      <c r="AT45" s="11">
        <f t="shared" ref="AT45" si="400">(AT19*AT19+AU19*AU19)^(AT44/2)</f>
        <v>235436447.75263381</v>
      </c>
      <c r="AU45" s="12"/>
      <c r="AV45" s="11">
        <f t="shared" ref="AV45" si="401">(AV19*AV19+AW19*AW19)^(AV44/2)</f>
        <v>234838927.9518525</v>
      </c>
      <c r="AW45" s="12"/>
      <c r="AX45" s="11">
        <f t="shared" ref="AX45" si="402">(AX19*AX19+AY19*AY19)^(AX44/2)</f>
        <v>324127638.10768801</v>
      </c>
      <c r="AY45" s="12"/>
      <c r="AZ45" s="11">
        <f t="shared" ref="AZ45" si="403">(AZ19*AZ19+BA19*BA19)^(AZ44/2)</f>
        <v>328274918.2163707</v>
      </c>
      <c r="BA45" s="12"/>
      <c r="BB45" s="11">
        <f t="shared" ref="BB45" si="404">(BB19*BB19+BC19*BC19)^(BB44/2)</f>
        <v>328503964.17645162</v>
      </c>
      <c r="BC45" s="12"/>
      <c r="BD45" s="11">
        <f t="shared" ref="BD45" si="405">(BD19*BD19+BE19*BE19)^(BD44/2)</f>
        <v>794208.43428389367</v>
      </c>
      <c r="BE45" s="12"/>
      <c r="BF45" s="11">
        <f t="shared" ref="BF45" si="406">(BF19*BF19+BG19*BG19)^(BF44/2)</f>
        <v>770269.99729394121</v>
      </c>
      <c r="BG45" s="12"/>
      <c r="BH45" s="11">
        <f t="shared" ref="BH45" si="407">(BH19*BH19+BI19*BI19)^(BH44/2)</f>
        <v>1117828.8864153887</v>
      </c>
      <c r="BI45" s="12"/>
      <c r="BJ45" s="11">
        <f t="shared" ref="BJ45" si="408">(BJ19*BJ19+BK19*BK19)^(BJ44/2)</f>
        <v>44350077.823743679</v>
      </c>
      <c r="BK45" s="12"/>
      <c r="BL45" s="11">
        <f t="shared" ref="BL45" si="409">(BL19*BL19+BM19*BM19)^(BL44/2)</f>
        <v>38441658.720421679</v>
      </c>
      <c r="BM45" s="12"/>
      <c r="BN45" s="11">
        <f t="shared" ref="BN45" si="410">(BN19*BN19+BO19*BO19)^(BN44/2)</f>
        <v>38857102.509809926</v>
      </c>
      <c r="BO45" s="12"/>
      <c r="BP45" s="11">
        <f t="shared" ref="BP45" ca="1" si="411">(BP19*BP19+BQ19*BQ19)^(BP44/2)</f>
        <v>304389734.0508461</v>
      </c>
      <c r="BQ45" s="12"/>
      <c r="BR45" s="11">
        <f t="shared" ref="BR45" ca="1" si="412">(BR19*BR19+BS19*BS19)^(BR44/2)</f>
        <v>301739601.23379403</v>
      </c>
      <c r="BS45" s="12"/>
      <c r="BT45" s="11">
        <f t="shared" ref="BT45" ca="1" si="413">(BT19*BT19+BU19*BU19)^(BT44/2)</f>
        <v>290916711.34400332</v>
      </c>
      <c r="BU45" s="12"/>
      <c r="BV45" s="5">
        <f t="shared" ref="BV45" si="414">(BV19*BV19+BW19*BW19)^(BV44/2)</f>
        <v>191863693.00732911</v>
      </c>
      <c r="BW45" s="6"/>
      <c r="BX45" s="5">
        <f t="shared" ref="BX45" si="415">(BX19*BX19+BY19*BY19)^(BX44/2)</f>
        <v>180755324.75965458</v>
      </c>
      <c r="BY45" s="6"/>
      <c r="BZ45" s="5">
        <f t="shared" ref="BZ45" si="416">(BZ19*BZ19+CA19*CA19)^(BZ44/2)</f>
        <v>176825394.59665719</v>
      </c>
      <c r="CA45" s="6"/>
      <c r="CB45" s="5">
        <f t="shared" ref="CB45" si="417">(CB19*CB19+CC19*CC19)^(CB44/2)</f>
        <v>241647606.44072518</v>
      </c>
      <c r="CC45" s="6"/>
      <c r="CD45" s="5">
        <f t="shared" ref="CD45" si="418">(CD19*CD19+CE19*CE19)^(CD44/2)</f>
        <v>232780553.02711868</v>
      </c>
      <c r="CE45" s="6"/>
      <c r="CF45" s="5">
        <f t="shared" ref="CF45" si="419">(CF19*CF19+CG19*CG19)^(CF44/2)</f>
        <v>233568264.08674607</v>
      </c>
      <c r="CG45" s="6"/>
      <c r="CH45" s="5">
        <f t="shared" ref="CH45" si="420">(CH19*CH19+CI19*CI19)^(CH44/2)</f>
        <v>313374513.42745972</v>
      </c>
      <c r="CI45" s="6"/>
      <c r="CJ45" s="5">
        <f t="shared" ref="CJ45" si="421">(CJ19*CJ19+CK19*CK19)^(CJ44/2)</f>
        <v>328982424.92467993</v>
      </c>
      <c r="CK45" s="6"/>
      <c r="CL45" s="5">
        <f t="shared" ref="CL45" si="422">(CL19*CL19+CM19*CM19)^(CL44/2)</f>
        <v>300971279.095411</v>
      </c>
      <c r="CM45" s="6"/>
      <c r="CN45" s="5">
        <f t="shared" ref="CN45" si="423">(CN19*CN19+CO19*CO19)^(CN44/2)</f>
        <v>766702.72784125141</v>
      </c>
      <c r="CO45" s="6"/>
      <c r="CP45" s="5">
        <f t="shared" ref="CP45" si="424">(CP19*CP19+CQ19*CQ19)^(CP44/2)</f>
        <v>807081.06754988246</v>
      </c>
      <c r="CQ45" s="6"/>
      <c r="CR45" s="5">
        <f t="shared" ref="CR45" ca="1" si="425">(CR19*CR19+CS19*CS19)^(CR44/2)</f>
        <v>918701.48835950694</v>
      </c>
      <c r="CS45" s="6"/>
      <c r="CT45" s="5">
        <f t="shared" ref="CT45" si="426">(CT19*CT19+CU19*CU19)^(CT44/2)</f>
        <v>40388665.493330739</v>
      </c>
      <c r="CU45" s="6"/>
      <c r="CV45" s="5">
        <f t="shared" ref="CV45" si="427">(CV19*CV19+CW19*CW19)^(CV44/2)</f>
        <v>38256352.053315639</v>
      </c>
      <c r="CW45" s="6"/>
      <c r="CX45" s="5">
        <f t="shared" ref="CX45" si="428">(CX19*CX19+CY19*CY19)^(CX44/2)</f>
        <v>37255932.577680565</v>
      </c>
      <c r="CY45" s="6"/>
      <c r="CZ45" s="5">
        <f t="shared" ref="CZ45" ca="1" si="429">(CZ19*CZ19+DA19*DA19)^(CZ44/2)</f>
        <v>310882677.94566882</v>
      </c>
      <c r="DA45" s="6"/>
      <c r="DB45" s="5">
        <f t="shared" ref="DB45" ca="1" si="430">(DB19*DB19+DC19*DC19)^(DB44/2)</f>
        <v>296049804.97639763</v>
      </c>
      <c r="DC45" s="6"/>
      <c r="DD45" s="5">
        <f t="shared" ref="DD45" ca="1" si="431">(DD19*DD19+DE19*DE19)^(DD44/2)</f>
        <v>304899765.89667881</v>
      </c>
      <c r="DE45" s="6"/>
      <c r="DF45" s="9">
        <f t="shared" ref="DF45" si="432">(DF19*DF19+DG19*DG19)^(DF44/2)</f>
        <v>204395152.54059872</v>
      </c>
      <c r="DG45" s="10"/>
      <c r="DH45" s="9">
        <f t="shared" ref="DH45" ca="1" si="433">(DH19*DH19+DI19*DI19)^(DH44/2)</f>
        <v>224738574.69969261</v>
      </c>
      <c r="DI45" s="10"/>
      <c r="DJ45" s="9">
        <f t="shared" ref="DJ45" ca="1" si="434">(DJ19*DJ19+DK19*DK19)^(DJ44/2)</f>
        <v>218264471.7823649</v>
      </c>
      <c r="DK45" s="10"/>
      <c r="DL45" s="9">
        <f t="shared" ref="DL45" si="435">(DL19*DL19+DM19*DM19)^(DL44/2)</f>
        <v>234810583.54432991</v>
      </c>
      <c r="DM45" s="10"/>
      <c r="DN45" s="9">
        <f t="shared" ref="DN45" ca="1" si="436">(DN19*DN19+DO19*DO19)^(DN44/2)</f>
        <v>287282478.61082399</v>
      </c>
      <c r="DO45" s="10"/>
      <c r="DP45" s="9">
        <f t="shared" ref="DP45" ca="1" si="437">(DP19*DP19+DQ19*DQ19)^(DP44/2)</f>
        <v>293706006.86225188</v>
      </c>
      <c r="DQ45" s="10"/>
      <c r="DR45" s="9">
        <f t="shared" ref="DR45" ca="1" si="438">(DR19*DR19+DS19*DS19)^(DR44/2)</f>
        <v>391160356.87043136</v>
      </c>
      <c r="DS45" s="10"/>
      <c r="DT45" s="9">
        <f t="shared" ref="DT45" ca="1" si="439">(DT19*DT19+DU19*DU19)^(DT44/2)</f>
        <v>407583361.91488719</v>
      </c>
      <c r="DU45" s="10"/>
      <c r="DV45" s="9">
        <f t="shared" ref="DV45" ca="1" si="440">(DV19*DV19+DW19*DW19)^(DV44/2)</f>
        <v>374209854.62733763</v>
      </c>
      <c r="DW45" s="10"/>
      <c r="DX45" s="9">
        <f t="shared" ref="DX45" ca="1" si="441">(DX19*DX19+DY19*DY19)^(DX44/2)</f>
        <v>932108.96111104451</v>
      </c>
      <c r="DY45" s="10"/>
      <c r="DZ45" s="9">
        <f t="shared" ref="DZ45" ca="1" si="442">(DZ19*DZ19+EA19*EA19)^(DZ44/2)</f>
        <v>984806.13062015967</v>
      </c>
      <c r="EA45" s="10"/>
      <c r="EB45" s="9">
        <f t="shared" ref="EB45" ca="1" si="443">(EB19*EB19+EC19*EC19)^(EB44/2)</f>
        <v>1146462.8837285081</v>
      </c>
      <c r="EC45" s="10"/>
      <c r="ED45" s="9">
        <f t="shared" ref="ED45" si="444">(ED19*ED19+EE19*EE19)^(ED44/2)</f>
        <v>42744471.854079418</v>
      </c>
      <c r="EE45" s="10"/>
      <c r="EF45" s="9">
        <f t="shared" ref="EF45" ca="1" si="445">(EF19*EF19+EG19*EG19)^(EF44/2)</f>
        <v>47552708.250170335</v>
      </c>
      <c r="EG45" s="10"/>
      <c r="EH45" s="9">
        <f t="shared" ref="EH45" ca="1" si="446">(EH19*EH19+EI19*EI19)^(EH44/2)</f>
        <v>45886716.604578391</v>
      </c>
      <c r="EI45" s="10"/>
      <c r="EJ45" s="9">
        <f t="shared" ref="EJ45" ca="1" si="447">(EJ19*EJ19+EK19*EK19)^(EJ44/2)</f>
        <v>301952613.41051608</v>
      </c>
      <c r="EK45" s="10"/>
      <c r="EL45" s="9">
        <f t="shared" ref="EL45" ca="1" si="448">(EL19*EL19+EM19*EM19)^(EL44/2)</f>
        <v>365466467.77618885</v>
      </c>
      <c r="EM45" s="10"/>
      <c r="EN45" s="9">
        <f t="shared" ref="EN45" ca="1" si="449">(EN19*EN19+EO19*EO19)^(EN44/2)</f>
        <v>368119068.50026453</v>
      </c>
      <c r="EO45" s="10"/>
    </row>
    <row r="46" spans="1:145" x14ac:dyDescent="0.25">
      <c r="A46" s="17" t="s">
        <v>43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11"/>
      <c r="AM46" s="12"/>
      <c r="AN46" s="11"/>
      <c r="AO46" s="12"/>
      <c r="AP46" s="11"/>
      <c r="AQ46" s="12"/>
      <c r="AR46" s="11"/>
      <c r="AS46" s="12"/>
      <c r="AT46" s="11"/>
      <c r="AU46" s="12"/>
      <c r="AV46" s="11"/>
      <c r="AW46" s="12"/>
      <c r="AX46" s="11"/>
      <c r="AY46" s="12"/>
      <c r="AZ46" s="11"/>
      <c r="BA46" s="12"/>
      <c r="BB46" s="11"/>
      <c r="BC46" s="12"/>
      <c r="BD46" s="11"/>
      <c r="BE46" s="12"/>
      <c r="BF46" s="11"/>
      <c r="BG46" s="12"/>
      <c r="BH46" s="11"/>
      <c r="BI46" s="12"/>
      <c r="BJ46" s="11"/>
      <c r="BK46" s="12"/>
      <c r="BL46" s="11"/>
      <c r="BM46" s="12"/>
      <c r="BN46" s="11"/>
      <c r="BO46" s="12"/>
      <c r="BP46" s="11"/>
      <c r="BQ46" s="12"/>
      <c r="BR46" s="11"/>
      <c r="BS46" s="12"/>
      <c r="BT46" s="11"/>
      <c r="BU46" s="12"/>
      <c r="BV46" s="5"/>
      <c r="BW46" s="6"/>
      <c r="BX46" s="5"/>
      <c r="BY46" s="6"/>
      <c r="BZ46" s="5"/>
      <c r="CA46" s="6"/>
      <c r="CB46" s="5"/>
      <c r="CC46" s="6"/>
      <c r="CD46" s="5"/>
      <c r="CE46" s="6"/>
      <c r="CF46" s="5"/>
      <c r="CG46" s="6"/>
      <c r="CH46" s="5"/>
      <c r="CI46" s="6"/>
      <c r="CJ46" s="5"/>
      <c r="CK46" s="6"/>
      <c r="CL46" s="5"/>
      <c r="CM46" s="6"/>
      <c r="CN46" s="5"/>
      <c r="CO46" s="6"/>
      <c r="CP46" s="5"/>
      <c r="CQ46" s="6"/>
      <c r="CR46" s="5"/>
      <c r="CS46" s="6"/>
      <c r="CT46" s="5"/>
      <c r="CU46" s="6"/>
      <c r="CV46" s="5"/>
      <c r="CW46" s="6"/>
      <c r="CX46" s="5"/>
      <c r="CY46" s="6"/>
      <c r="CZ46" s="5"/>
      <c r="DA46" s="6"/>
      <c r="DB46" s="5"/>
      <c r="DC46" s="6"/>
      <c r="DD46" s="5"/>
      <c r="DE46" s="6"/>
      <c r="DF46" s="9"/>
      <c r="DG46" s="10"/>
      <c r="DH46" s="9"/>
      <c r="DI46" s="10"/>
      <c r="DJ46" s="9"/>
      <c r="DK46" s="10"/>
      <c r="DL46" s="9"/>
      <c r="DM46" s="10"/>
      <c r="DN46" s="9"/>
      <c r="DO46" s="10"/>
      <c r="DP46" s="9"/>
      <c r="DQ46" s="10"/>
      <c r="DR46" s="9"/>
      <c r="DS46" s="10"/>
      <c r="DT46" s="9"/>
      <c r="DU46" s="10"/>
      <c r="DV46" s="9"/>
      <c r="DW46" s="10"/>
      <c r="DX46" s="9"/>
      <c r="DY46" s="10"/>
      <c r="DZ46" s="9"/>
      <c r="EA46" s="10"/>
      <c r="EB46" s="9"/>
      <c r="EC46" s="10"/>
      <c r="ED46" s="9"/>
      <c r="EE46" s="10"/>
      <c r="EF46" s="9"/>
      <c r="EG46" s="10"/>
      <c r="EH46" s="9"/>
      <c r="EI46" s="10"/>
      <c r="EJ46" s="9"/>
      <c r="EK46" s="10"/>
      <c r="EL46" s="9"/>
      <c r="EM46" s="10"/>
      <c r="EN46" s="9"/>
      <c r="EO46" s="10"/>
    </row>
    <row r="47" spans="1:145" x14ac:dyDescent="0.25">
      <c r="A47" s="14" t="s">
        <v>44</v>
      </c>
      <c r="B47" s="8">
        <f>'типовая конструкция'!B47</f>
        <v>2</v>
      </c>
      <c r="C47" s="8"/>
      <c r="D47" s="8">
        <f>B47</f>
        <v>2</v>
      </c>
      <c r="E47" s="8"/>
      <c r="F47" s="8">
        <f>D47</f>
        <v>2</v>
      </c>
      <c r="G47" s="8"/>
      <c r="H47" s="8">
        <f>F47</f>
        <v>2</v>
      </c>
      <c r="I47" s="8"/>
      <c r="J47" s="8">
        <f>H47</f>
        <v>2</v>
      </c>
      <c r="K47" s="8"/>
      <c r="L47" s="8">
        <f>J47</f>
        <v>2</v>
      </c>
      <c r="M47" s="8"/>
      <c r="N47" s="8">
        <f>L47</f>
        <v>2</v>
      </c>
      <c r="O47" s="8"/>
      <c r="P47" s="8">
        <f>N47</f>
        <v>2</v>
      </c>
      <c r="Q47" s="8"/>
      <c r="R47" s="8">
        <f>P47</f>
        <v>2</v>
      </c>
      <c r="S47" s="8"/>
      <c r="T47" s="8">
        <f>R47</f>
        <v>2</v>
      </c>
      <c r="U47" s="8"/>
      <c r="V47" s="8">
        <f>T47</f>
        <v>2</v>
      </c>
      <c r="W47" s="8"/>
      <c r="X47" s="8">
        <f>V47</f>
        <v>2</v>
      </c>
      <c r="Y47" s="8"/>
      <c r="Z47" s="8">
        <f>X47</f>
        <v>2</v>
      </c>
      <c r="AA47" s="8"/>
      <c r="AB47" s="8">
        <f>Z47</f>
        <v>2</v>
      </c>
      <c r="AC47" s="8"/>
      <c r="AD47" s="8">
        <f>AB47</f>
        <v>2</v>
      </c>
      <c r="AE47" s="8"/>
      <c r="AF47" s="8">
        <f>AD47</f>
        <v>2</v>
      </c>
      <c r="AG47" s="8"/>
      <c r="AH47" s="8">
        <f>AF47</f>
        <v>2</v>
      </c>
      <c r="AI47" s="8"/>
      <c r="AJ47" s="8">
        <f>AH47</f>
        <v>2</v>
      </c>
      <c r="AK47" s="8"/>
      <c r="AL47" s="8">
        <f>AJ47</f>
        <v>2</v>
      </c>
      <c r="AM47" s="8"/>
      <c r="AN47" s="8">
        <f>AL47</f>
        <v>2</v>
      </c>
      <c r="AO47" s="8"/>
      <c r="AP47" s="8">
        <f>AN47</f>
        <v>2</v>
      </c>
      <c r="AQ47" s="8"/>
      <c r="AR47" s="8">
        <f>AP47</f>
        <v>2</v>
      </c>
      <c r="AS47" s="8"/>
      <c r="AT47" s="8">
        <f>AR47</f>
        <v>2</v>
      </c>
      <c r="AU47" s="8"/>
      <c r="AV47" s="8">
        <f>AT47</f>
        <v>2</v>
      </c>
      <c r="AW47" s="8"/>
      <c r="AX47" s="8">
        <f>AV47</f>
        <v>2</v>
      </c>
      <c r="AY47" s="8"/>
      <c r="AZ47" s="8">
        <f>AX47</f>
        <v>2</v>
      </c>
      <c r="BA47" s="8"/>
      <c r="BB47" s="8">
        <f>AZ47</f>
        <v>2</v>
      </c>
      <c r="BC47" s="8"/>
      <c r="BD47" s="8">
        <f>BB47</f>
        <v>2</v>
      </c>
      <c r="BE47" s="8"/>
      <c r="BF47" s="8">
        <f>BD47</f>
        <v>2</v>
      </c>
      <c r="BG47" s="8"/>
      <c r="BH47" s="8">
        <f>BF47</f>
        <v>2</v>
      </c>
      <c r="BI47" s="8"/>
      <c r="BJ47" s="8">
        <f>BH47</f>
        <v>2</v>
      </c>
      <c r="BK47" s="8"/>
      <c r="BL47" s="8">
        <f>BJ47</f>
        <v>2</v>
      </c>
      <c r="BM47" s="8"/>
      <c r="BN47" s="8">
        <f>BL47</f>
        <v>2</v>
      </c>
      <c r="BO47" s="8"/>
      <c r="BP47" s="8">
        <f>BN47</f>
        <v>2</v>
      </c>
      <c r="BQ47" s="8"/>
      <c r="BR47" s="8">
        <f>BP47</f>
        <v>2</v>
      </c>
      <c r="BS47" s="12"/>
      <c r="BT47" s="11">
        <f>BR47</f>
        <v>2</v>
      </c>
      <c r="BU47" s="12"/>
      <c r="BV47" s="8">
        <f>BT47</f>
        <v>2</v>
      </c>
      <c r="BW47" s="8"/>
      <c r="BX47" s="8">
        <f>BV47</f>
        <v>2</v>
      </c>
      <c r="BY47" s="8"/>
      <c r="BZ47" s="8">
        <f>BX47</f>
        <v>2</v>
      </c>
      <c r="CA47" s="8"/>
      <c r="CB47" s="8">
        <f>BZ47</f>
        <v>2</v>
      </c>
      <c r="CC47" s="8"/>
      <c r="CD47" s="8">
        <f>CB47</f>
        <v>2</v>
      </c>
      <c r="CE47" s="8"/>
      <c r="CF47" s="8">
        <f>CD47</f>
        <v>2</v>
      </c>
      <c r="CG47" s="8"/>
      <c r="CH47" s="8">
        <f>CF47</f>
        <v>2</v>
      </c>
      <c r="CI47" s="8"/>
      <c r="CJ47" s="8">
        <f>CH47</f>
        <v>2</v>
      </c>
      <c r="CK47" s="8"/>
      <c r="CL47" s="8">
        <f>CJ47</f>
        <v>2</v>
      </c>
      <c r="CM47" s="8"/>
      <c r="CN47" s="8">
        <f>CL47</f>
        <v>2</v>
      </c>
      <c r="CO47" s="8"/>
      <c r="CP47" s="8">
        <f>CN47</f>
        <v>2</v>
      </c>
      <c r="CQ47" s="8"/>
      <c r="CR47" s="8">
        <f>CP47</f>
        <v>2</v>
      </c>
      <c r="CS47" s="8"/>
      <c r="CT47" s="8">
        <f>CR47</f>
        <v>2</v>
      </c>
      <c r="CU47" s="8"/>
      <c r="CV47" s="8">
        <f>CT47</f>
        <v>2</v>
      </c>
      <c r="CW47" s="8"/>
      <c r="CX47" s="8">
        <f>CV47</f>
        <v>2</v>
      </c>
      <c r="CY47" s="8"/>
      <c r="CZ47" s="8">
        <f>CX47</f>
        <v>2</v>
      </c>
      <c r="DA47" s="8"/>
      <c r="DB47" s="8">
        <f>CZ47</f>
        <v>2</v>
      </c>
      <c r="DC47" s="12"/>
      <c r="DD47" s="11">
        <f>DB47</f>
        <v>2</v>
      </c>
      <c r="DE47" s="12"/>
      <c r="DF47" s="8">
        <f>DD47</f>
        <v>2</v>
      </c>
      <c r="DG47" s="8"/>
      <c r="DH47" s="8">
        <f>DF47</f>
        <v>2</v>
      </c>
      <c r="DI47" s="8"/>
      <c r="DJ47" s="8">
        <f>DH47</f>
        <v>2</v>
      </c>
      <c r="DK47" s="8"/>
      <c r="DL47" s="8">
        <f>DJ47</f>
        <v>2</v>
      </c>
      <c r="DM47" s="8"/>
      <c r="DN47" s="8">
        <f>DL47</f>
        <v>2</v>
      </c>
      <c r="DO47" s="8"/>
      <c r="DP47" s="8">
        <f>DN47</f>
        <v>2</v>
      </c>
      <c r="DQ47" s="8"/>
      <c r="DR47" s="8">
        <f>DP47</f>
        <v>2</v>
      </c>
      <c r="DS47" s="8"/>
      <c r="DT47" s="8">
        <f>DR47</f>
        <v>2</v>
      </c>
      <c r="DU47" s="8"/>
      <c r="DV47" s="8">
        <f>DT47</f>
        <v>2</v>
      </c>
      <c r="DW47" s="8"/>
      <c r="DX47" s="8">
        <f>DV47</f>
        <v>2</v>
      </c>
      <c r="DY47" s="8"/>
      <c r="DZ47" s="8">
        <f>DX47</f>
        <v>2</v>
      </c>
      <c r="EA47" s="8"/>
      <c r="EB47" s="8">
        <f>DZ47</f>
        <v>2</v>
      </c>
      <c r="EC47" s="8"/>
      <c r="ED47" s="8">
        <f>EB47</f>
        <v>2</v>
      </c>
      <c r="EE47" s="8"/>
      <c r="EF47" s="8">
        <f>ED47</f>
        <v>2</v>
      </c>
      <c r="EG47" s="8"/>
      <c r="EH47" s="8">
        <f>EF47</f>
        <v>2</v>
      </c>
      <c r="EI47" s="8"/>
      <c r="EJ47" s="8">
        <f>EH47</f>
        <v>2</v>
      </c>
      <c r="EK47" s="8"/>
      <c r="EL47" s="8">
        <f>EJ47</f>
        <v>2</v>
      </c>
      <c r="EM47" s="12"/>
      <c r="EN47" s="11">
        <f>EL47</f>
        <v>2</v>
      </c>
      <c r="EO47" s="12"/>
    </row>
    <row r="48" spans="1:145" hidden="1" x14ac:dyDescent="0.25">
      <c r="A48" s="15" t="s">
        <v>45</v>
      </c>
      <c r="B48" s="8">
        <f>((B18*B18+C18*C18)/(B17*B17+C17*C17))^(B47/2)</f>
        <v>1.4421136757536942E-2</v>
      </c>
      <c r="C48" s="8"/>
      <c r="D48" s="8">
        <f t="shared" ref="D48" si="450">((D18*D18+E18*E18)/(D17*D17+E17*E17))^(D47/2)</f>
        <v>8.5406063942659233E-2</v>
      </c>
      <c r="E48" s="8"/>
      <c r="F48" s="8">
        <f t="shared" ref="F48" si="451">((F18*F18+G18*G18)/(F17*F17+G17*G17))^(F47/2)</f>
        <v>0.42213401925368327</v>
      </c>
      <c r="G48" s="8"/>
      <c r="H48" s="8">
        <f t="shared" ref="H48" si="452">((H18*H18+I18*I18)/(H17*H17+I17*I17))^(H47/2)</f>
        <v>1.6458490449277361E-2</v>
      </c>
      <c r="I48" s="8"/>
      <c r="J48" s="8">
        <f t="shared" ref="J48" si="453">((J18*J18+K18*K18)/(J17*J17+K17*K17))^(J47/2)</f>
        <v>3.0037724867154576E-2</v>
      </c>
      <c r="K48" s="8"/>
      <c r="L48" s="8">
        <f t="shared" ref="L48" si="454">((L18*L18+M18*M18)/(L17*L17+M17*M17))^(L47/2)</f>
        <v>0.18145882442349123</v>
      </c>
      <c r="M48" s="8"/>
      <c r="N48" s="8">
        <f t="shared" ref="N48" si="455">((N18*N18+O18*O18)/(N17*N17+O17*O17))^(N47/2)</f>
        <v>2.783072469238947E-2</v>
      </c>
      <c r="O48" s="8"/>
      <c r="P48" s="8">
        <f t="shared" ref="P48" si="456">((P18*P18+Q18*Q18)/(P17*P17+Q17*Q17))^(P47/2)</f>
        <v>5.5901490178106139E-2</v>
      </c>
      <c r="Q48" s="8"/>
      <c r="R48" s="8">
        <f t="shared" ref="R48" si="457">((R18*R18+S18*S18)/(R17*R17+S17*S17))^(R47/2)</f>
        <v>5.8416124623126973E-2</v>
      </c>
      <c r="S48" s="8"/>
      <c r="T48" s="8">
        <f t="shared" ref="T48" si="458">((T18*T18+U18*U18)/(T17*T17+U17*U17))^(T47/2)</f>
        <v>4.5279135284309775E-3</v>
      </c>
      <c r="U48" s="8"/>
      <c r="V48" s="8">
        <f t="shared" ref="V48" si="459">((V18*V18+W18*W18)/(V17*V17+W17*W17))^(V47/2)</f>
        <v>1.9265307089786583E-2</v>
      </c>
      <c r="W48" s="8"/>
      <c r="X48" s="8">
        <f t="shared" ref="X48" si="460">((X18*X18+Y18*Y18)/(X17*X17+Y17*Y17))^(X47/2)</f>
        <v>0.17136672671276662</v>
      </c>
      <c r="Y48" s="8"/>
      <c r="Z48" s="8">
        <f t="shared" ref="Z48" si="461">((Z18*Z18+AA18*AA18)/(Z17*Z17+AA17*AA17))^(Z47/2)</f>
        <v>7.8323828598312415E-3</v>
      </c>
      <c r="AA48" s="8"/>
      <c r="AB48" s="8">
        <f t="shared" ref="AB48" si="462">((AB18*AB18+AC18*AC18)/(AB17*AB17+AC17*AC17))^(AB47/2)</f>
        <v>4.6245320060882063E-2</v>
      </c>
      <c r="AC48" s="8"/>
      <c r="AD48" s="8">
        <f t="shared" ref="AD48" si="463">((AD18*AD18+AE18*AE18)/(AD17*AD17+AE17*AE17))^(AD47/2)</f>
        <v>0.22954806954716936</v>
      </c>
      <c r="AE48" s="8"/>
      <c r="AF48" s="8">
        <f t="shared" ref="AF48" ca="1" si="464">((AF18*AF18+AG18*AG18)/(AF17*AF17+AG17*AG17))^(AF47/2)</f>
        <v>1.6678706992525234E-2</v>
      </c>
      <c r="AG48" s="8"/>
      <c r="AH48" s="8">
        <f t="shared" ref="AH48" ca="1" si="465">((AH18*AH18+AI18*AI18)/(AH17*AH17+AI17*AI17))^(AH47/2)</f>
        <v>2.9757763522044137E-2</v>
      </c>
      <c r="AI48" s="8"/>
      <c r="AJ48" s="8">
        <f t="shared" ref="AJ48" ca="1" si="466">((AJ18*AJ18+AK18*AK18)/(AJ17*AJ17+AK17*AK17))^(AJ47/2)</f>
        <v>0.18322872434356777</v>
      </c>
      <c r="AK48" s="8"/>
      <c r="AL48" s="11">
        <f t="shared" ref="AL48" si="467">((AL18*AL18+AM18*AM18)/(AL17*AL17+AM17*AM17))^(AL47/2)</f>
        <v>1.5385757908429203E-2</v>
      </c>
      <c r="AM48" s="12"/>
      <c r="AN48" s="11">
        <f t="shared" ref="AN48" si="468">((AN18*AN18+AO18*AO18)/(AN17*AN17+AO17*AO17))^(AN47/2)</f>
        <v>8.8707404391456399E-2</v>
      </c>
      <c r="AO48" s="12"/>
      <c r="AP48" s="11">
        <f t="shared" ref="AP48" si="469">((AP18*AP18+AQ18*AQ18)/(AP17*AP17+AQ17*AQ17))^(AP47/2)</f>
        <v>0.43276599782730335</v>
      </c>
      <c r="AQ48" s="12"/>
      <c r="AR48" s="11">
        <f t="shared" ref="AR48" si="470">((AR18*AR18+AS18*AS18)/(AR17*AR17+AS17*AS17))^(AR47/2)</f>
        <v>1.7805628389200266E-2</v>
      </c>
      <c r="AS48" s="12"/>
      <c r="AT48" s="11">
        <f t="shared" ref="AT48" si="471">((AT18*AT18+AU18*AU18)/(AT17*AT17+AU17*AU17))^(AT47/2)</f>
        <v>3.150161466823289E-2</v>
      </c>
      <c r="AU48" s="12"/>
      <c r="AV48" s="11">
        <f t="shared" ref="AV48" si="472">((AV18*AV18+AW18*AW18)/(AV17*AV17+AW17*AW17))^(AV47/2)</f>
        <v>0.18451981841224713</v>
      </c>
      <c r="AW48" s="12"/>
      <c r="AX48" s="11">
        <f t="shared" ref="AX48" si="473">((AX18*AX18+AY18*AY18)/(AX17*AX17+AY17*AY17))^(AX47/2)</f>
        <v>2.7635102431272988E-2</v>
      </c>
      <c r="AY48" s="12"/>
      <c r="AZ48" s="11">
        <f t="shared" ref="AZ48" si="474">((AZ18*AZ18+BA18*BA18)/(AZ17*AZ17+BA17*BA17))^(AZ47/2)</f>
        <v>4.0747627719735446E-2</v>
      </c>
      <c r="BA48" s="12"/>
      <c r="BB48" s="11">
        <f t="shared" ref="BB48" si="475">((BB18*BB18+BC18*BC18)/(BB17*BB17+BC17*BC17))^(BB47/2)</f>
        <v>8.5270746210437495E-2</v>
      </c>
      <c r="BC48" s="12"/>
      <c r="BD48" s="11">
        <f t="shared" ref="BD48" si="476">((BD18*BD18+BE18*BE18)/(BD17*BD17+BE17*BE17))^(BD47/2)</f>
        <v>6.3332372441625845E-3</v>
      </c>
      <c r="BE48" s="12"/>
      <c r="BF48" s="11">
        <f t="shared" ref="BF48" si="477">((BF18*BF18+BG18*BG18)/(BF17*BF17+BG17*BG17))^(BF47/2)</f>
        <v>3.785324559760208E-2</v>
      </c>
      <c r="BG48" s="12"/>
      <c r="BH48" s="11">
        <f t="shared" ref="BH48" si="478">((BH18*BH18+BI18*BI18)/(BH17*BH17+BI17*BI17))^(BH47/2)</f>
        <v>0.27366738589534245</v>
      </c>
      <c r="BI48" s="12"/>
      <c r="BJ48" s="11">
        <f t="shared" ref="BJ48" si="479">((BJ18*BJ18+BK18*BK18)/(BJ17*BJ17+BK17*BK17))^(BJ47/2)</f>
        <v>8.3636387134260002E-3</v>
      </c>
      <c r="BK48" s="12"/>
      <c r="BL48" s="11">
        <f t="shared" ref="BL48" si="480">((BL18*BL18+BM18*BM18)/(BL17*BL17+BM17*BM17))^(BL47/2)</f>
        <v>4.8161292729137974E-2</v>
      </c>
      <c r="BM48" s="12"/>
      <c r="BN48" s="11">
        <f t="shared" ref="BN48" si="481">((BN18*BN18+BO18*BO18)/(BN17*BN17+BO17*BO17))^(BN47/2)</f>
        <v>0.23493698299377092</v>
      </c>
      <c r="BO48" s="12"/>
      <c r="BP48" s="11">
        <f t="shared" ref="BP48" ca="1" si="482">((BP18*BP18+BQ18*BQ18)/(BP17*BP17+BQ17*BQ17))^(BP47/2)</f>
        <v>1.7863398585022342E-2</v>
      </c>
      <c r="BQ48" s="12"/>
      <c r="BR48" s="11">
        <f t="shared" ref="BR48" ca="1" si="483">((BR18*BR18+BS18*BS18)/(BR17*BR17+BS17*BS17))^(BR47/2)</f>
        <v>3.1460885354221056E-2</v>
      </c>
      <c r="BS48" s="12"/>
      <c r="BT48" s="11">
        <f t="shared" ref="BT48" ca="1" si="484">((BT18*BT18+BU18*BU18)/(BT17*BT17+BU17*BU17))^(BT47/2)</f>
        <v>0.18387461390113538</v>
      </c>
      <c r="BU48" s="12"/>
      <c r="BV48" s="5">
        <f t="shared" ref="BV48" si="485">((BV18*BV18+BW18*BW18)/(BV17*BV17+BW17*BW17))^(BV47/2)</f>
        <v>1.7443177523778717</v>
      </c>
      <c r="BW48" s="6"/>
      <c r="BX48" s="5">
        <f t="shared" ref="BX48" si="486">((BX18*BX18+BY18*BY18)/(BX17*BX17+BY17*BY17))^(BX47/2)</f>
        <v>0.10533743367580135</v>
      </c>
      <c r="BY48" s="6"/>
      <c r="BZ48" s="5">
        <f t="shared" ref="BZ48" si="487">((BZ18*BZ18+CA18*CA18)/(BZ17*BZ17+CA17*CA17))^(BZ47/2)</f>
        <v>0.41384101016579805</v>
      </c>
      <c r="CA48" s="6"/>
      <c r="CB48" s="5">
        <f t="shared" ref="CB48" si="488">((CB18*CB18+CC18*CC18)/(CB17*CB17+CC17*CC17))^(CB47/2)</f>
        <v>1.6803320301912936E-2</v>
      </c>
      <c r="CC48" s="6"/>
      <c r="CD48" s="5">
        <f t="shared" ref="CD48" si="489">((CD18*CD18+CE18*CE18)/(CD17*CD17+CE17*CE17))^(CD47/2)</f>
        <v>3.2636939800907906E-2</v>
      </c>
      <c r="CE48" s="6"/>
      <c r="CF48" s="5">
        <f t="shared" ref="CF48" si="490">((CF18*CF18+CG18*CG18)/(CF17*CF17+CG17*CG17))^(CF47/2)</f>
        <v>0.19087540090771557</v>
      </c>
      <c r="CG48" s="6"/>
      <c r="CH48" s="5">
        <f t="shared" ref="CH48" si="491">((CH18*CH18+CI18*CI18)/(CH17*CH17+CI17*CI17))^(CH47/2)</f>
        <v>2.1963073018644599E-2</v>
      </c>
      <c r="CI48" s="6"/>
      <c r="CJ48" s="5">
        <f t="shared" ref="CJ48" si="492">((CJ18*CJ18+CK18*CK18)/(CJ17*CJ17+CK17*CK17))^(CJ47/2)</f>
        <v>4.4676314221030695E-2</v>
      </c>
      <c r="CK48" s="6"/>
      <c r="CL48" s="5">
        <f t="shared" ref="CL48" si="493">((CL18*CL18+CM18*CM18)/(CL17*CL17+CM17*CM17))^(CL47/2)</f>
        <v>7.6703927887927251E-2</v>
      </c>
      <c r="CM48" s="6"/>
      <c r="CN48" s="5">
        <f t="shared" ref="CN48" si="494">((CN18*CN18+CO18*CO18)/(CN17*CN17+CO17*CO17))^(CN47/2)</f>
        <v>6.7036732777842967E-3</v>
      </c>
      <c r="CO48" s="6"/>
      <c r="CP48" s="5">
        <f t="shared" ref="CP48" si="495">((CP18*CP18+CQ18*CQ18)/(CP17*CP17+CQ17*CQ17))^(CP47/2)</f>
        <v>2.3912267657992564E-2</v>
      </c>
      <c r="CQ48" s="6"/>
      <c r="CR48" s="5">
        <f t="shared" ref="CR48" ca="1" si="496">((CR18*CR18+CS18*CS18)/(CR17*CR17+CS17*CS17))^(CR47/2)</f>
        <v>0.27433613813706798</v>
      </c>
      <c r="CS48" s="6"/>
      <c r="CT48" s="5">
        <f t="shared" ref="CT48" si="497">((CT18*CT18+CU18*CU18)/(CT17*CT17+CU17*CU17))^(CT47/2)</f>
        <v>0.95045652689364513</v>
      </c>
      <c r="CU48" s="6"/>
      <c r="CV48" s="5">
        <f t="shared" ref="CV48" si="498">((CV18*CV18+CW18*CW18)/(CV17*CV17+CW17*CW17))^(CV47/2)</f>
        <v>5.7242226047574056E-2</v>
      </c>
      <c r="CW48" s="6"/>
      <c r="CX48" s="5">
        <f t="shared" ref="CX48" si="499">((CX18*CX18+CY18*CY18)/(CX17*CX17+CY17*CY17))^(CX47/2)</f>
        <v>0.22539700066260906</v>
      </c>
      <c r="CY48" s="6"/>
      <c r="CZ48" s="5">
        <f t="shared" ref="CZ48" ca="1" si="500">((CZ18*CZ18+DA18*DA18)/(CZ17*CZ17+DA17*DA17))^(CZ47/2)</f>
        <v>1.6740007242443879E-2</v>
      </c>
      <c r="DA48" s="6"/>
      <c r="DB48" s="5">
        <f t="shared" ref="DB48" ca="1" si="501">((DB18*DB18+DC18*DC18)/(DB17*DB17+DC17*DC17))^(DB47/2)</f>
        <v>3.2613066272870167E-2</v>
      </c>
      <c r="DC48" s="6"/>
      <c r="DD48" s="5">
        <f t="shared" ref="DD48" ca="1" si="502">((DD18*DD18+DE18*DE18)/(DD17*DD17+DE17*DE17))^(DD47/2)</f>
        <v>0.18719032471927197</v>
      </c>
      <c r="DE48" s="6"/>
      <c r="DF48" s="9">
        <f t="shared" ref="DF48" si="503">((DF18*DF18+DG18*DG18)/(DF17*DF17+DG17*DG17))^(DF47/2)</f>
        <v>1.9781631642387946E-2</v>
      </c>
      <c r="DG48" s="10"/>
      <c r="DH48" s="9">
        <f t="shared" ref="DH48" ca="1" si="504">((DH18*DH18+DI18*DI18)/(DH17*DH17+DI17*DI17))^(DH47/2)</f>
        <v>0.10527776596651557</v>
      </c>
      <c r="DI48" s="10"/>
      <c r="DJ48" s="9">
        <f t="shared" ref="DJ48" ca="1" si="505">((DJ18*DJ18+DK18*DK18)/(DJ17*DJ17+DK17*DK17))^(DJ47/2)</f>
        <v>0.41314536572386024</v>
      </c>
      <c r="DK48" s="10"/>
      <c r="DL48" s="9">
        <f t="shared" ref="DL48" si="506">((DL18*DL18+DM18*DM18)/(DL17*DL17+DM17*DM17))^(DL47/2)</f>
        <v>1.7154995976394846E-2</v>
      </c>
      <c r="DM48" s="10"/>
      <c r="DN48" s="9">
        <f t="shared" ref="DN48" ca="1" si="507">((DN18*DN18+DO18*DO18)/(DN17*DN17+DO17*DO17))^(DN47/2)</f>
        <v>3.2869701106997717E-2</v>
      </c>
      <c r="DO48" s="10"/>
      <c r="DP48" s="9">
        <f t="shared" ref="DP48" ca="1" si="508">((DP18*DP18+DQ18*DQ18)/(DP17*DP17+DQ17*DQ17))^(DP47/2)</f>
        <v>0.18769697648863326</v>
      </c>
      <c r="DQ48" s="10"/>
      <c r="DR48" s="9">
        <f t="shared" ref="DR48" ca="1" si="509">((DR18*DR18+DS18*DS18)/(DR17*DR17+DS17*DS17))^(DR47/2)</f>
        <v>2.1875823740719533E-2</v>
      </c>
      <c r="DS48" s="10"/>
      <c r="DT48" s="9">
        <f t="shared" ref="DT48" ca="1" si="510">((DT18*DT18+DU18*DU18)/(DT17*DT17+DU17*DU17))^(DT47/2)</f>
        <v>4.4636017265746078E-2</v>
      </c>
      <c r="DU48" s="10"/>
      <c r="DV48" s="9">
        <f t="shared" ref="DV48" ca="1" si="511">((DV18*DV18+DW18*DW18)/(DV17*DV17+DW17*DW17))^(DV47/2)</f>
        <v>7.592654156041749E-2</v>
      </c>
      <c r="DW48" s="10"/>
      <c r="DX48" s="9">
        <f t="shared" ref="DX48" ca="1" si="512">((DX18*DX18+DY18*DY18)/(DX17*DX17+DY17*DY17))^(DX47/2)</f>
        <v>6.7606159857020913E-3</v>
      </c>
      <c r="DY48" s="10"/>
      <c r="DZ48" s="9">
        <f t="shared" ref="DZ48" ca="1" si="513">((DZ18*DZ18+EA18*EA18)/(DZ17*DZ17+EA17*EA17))^(DZ47/2)</f>
        <v>2.3872120311126472E-2</v>
      </c>
      <c r="EA48" s="10"/>
      <c r="EB48" s="9">
        <f t="shared" ref="EB48" ca="1" si="514">((EB18*EB18+EC18*EC18)/(EB17*EB17+EC17*EC17))^(EB47/2)</f>
        <v>0.27561892636516949</v>
      </c>
      <c r="EC48" s="10"/>
      <c r="ED48" s="9">
        <f t="shared" ref="ED48" si="515">((ED18*ED18+EE18*EE18)/(ED17*ED17+EE17*EE17))^(ED47/2)</f>
        <v>1.0814275702447506E-2</v>
      </c>
      <c r="EE48" s="10"/>
      <c r="EF48" s="9">
        <f t="shared" ref="EF48" ca="1" si="516">((EF18*EF18+EG18*EG18)/(EF17*EF17+EG17*EG17))^(EF47/2)</f>
        <v>5.7217364811555996E-2</v>
      </c>
      <c r="EG48" s="10"/>
      <c r="EH48" s="9">
        <f t="shared" ref="EH48" ca="1" si="517">((EH18*EH18+EI18*EI18)/(EH17*EH17+EI17*EI17))^(EH47/2)</f>
        <v>0.22526355159377215</v>
      </c>
      <c r="EI48" s="10"/>
      <c r="EJ48" s="9">
        <f t="shared" ref="EJ48" ca="1" si="518">((EJ18*EJ18+EK18*EK18)/(EJ17*EJ17+EK17*EK17))^(EJ47/2)</f>
        <v>1.7273289942587443E-2</v>
      </c>
      <c r="EK48" s="10"/>
      <c r="EL48" s="9">
        <f t="shared" ref="EL48" ca="1" si="519">((EL18*EL18+EM18*EM18)/(EL17*EL17+EM17*EM17))^(EL47/2)</f>
        <v>3.2624457562660684E-2</v>
      </c>
      <c r="EM48" s="10"/>
      <c r="EN48" s="9">
        <f t="shared" ref="EN48" ca="1" si="520">((EN18*EN18+EO18*EO18)/(EN17*EN17+EO17*EO17))^(EN47/2)</f>
        <v>0.18522655132886168</v>
      </c>
      <c r="EO48" s="10"/>
    </row>
    <row r="49" spans="1:145" x14ac:dyDescent="0.25">
      <c r="A49" s="15" t="s">
        <v>114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</row>
    <row r="50" spans="1:145" x14ac:dyDescent="0.25">
      <c r="A50" s="16" t="s">
        <v>26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</row>
    <row r="51" spans="1:145" x14ac:dyDescent="0.25">
      <c r="A51" s="14" t="s">
        <v>29</v>
      </c>
      <c r="B51" s="19">
        <f ca="1">B24*$B$105+D24*$B$106+F24*$B$107</f>
        <v>452524.05840200465</v>
      </c>
      <c r="C51" s="19"/>
      <c r="D51" s="19"/>
      <c r="E51" s="19"/>
      <c r="F51" s="19"/>
      <c r="G51" s="19"/>
      <c r="H51" s="19">
        <f ca="1">H24*$B$105+J24*$B$106+L24*$B$107</f>
        <v>526997.34634270321</v>
      </c>
      <c r="I51" s="19"/>
      <c r="J51" s="19"/>
      <c r="K51" s="19"/>
      <c r="L51" s="19"/>
      <c r="M51" s="19"/>
      <c r="N51" s="19">
        <f ca="1">N24*$B$105+P24*$B$106+R24*$B$107</f>
        <v>741004.68970133679</v>
      </c>
      <c r="O51" s="19"/>
      <c r="P51" s="19"/>
      <c r="Q51" s="19"/>
      <c r="R51" s="19"/>
      <c r="S51" s="19"/>
      <c r="T51" s="19">
        <f ca="1">T24*$B$105+V24*$B$106+X24*$B$107</f>
        <v>7315.2494337717508</v>
      </c>
      <c r="U51" s="19"/>
      <c r="V51" s="19"/>
      <c r="W51" s="19"/>
      <c r="X51" s="19"/>
      <c r="Y51" s="19"/>
      <c r="Z51" s="19">
        <f ca="1">Z24*$B$105+AB24*$B$106+AD24*$B$107</f>
        <v>131788.51271298309</v>
      </c>
      <c r="AA51" s="19"/>
      <c r="AB51" s="19"/>
      <c r="AC51" s="19"/>
      <c r="AD51" s="19"/>
      <c r="AE51" s="19"/>
      <c r="AF51" s="19">
        <f ca="1">AF24*$B$105+AH24*$B$106+AJ24*$B$107</f>
        <v>897033.11212234874</v>
      </c>
      <c r="AG51" s="19"/>
      <c r="AH51" s="19"/>
      <c r="AI51" s="19"/>
      <c r="AJ51" s="19"/>
      <c r="AK51" s="19"/>
      <c r="AL51" s="19">
        <f ca="1">AL24*$B$105+AN24*$B$106+AP24*$B$107</f>
        <v>479270.62244416791</v>
      </c>
      <c r="AM51" s="19"/>
      <c r="AN51" s="19"/>
      <c r="AO51" s="19"/>
      <c r="AP51" s="19"/>
      <c r="AQ51" s="19"/>
      <c r="AR51" s="19">
        <f ca="1">AR24*$B$105+AT24*$B$106+AV24*$B$107</f>
        <v>552428.26613052061</v>
      </c>
      <c r="AS51" s="19"/>
      <c r="AT51" s="19"/>
      <c r="AU51" s="19"/>
      <c r="AV51" s="19"/>
      <c r="AW51" s="19"/>
      <c r="AX51" s="19">
        <f ca="1">AX24*$B$105+AZ24*$B$106+BB24*$B$107</f>
        <v>720288.03092186106</v>
      </c>
      <c r="AY51" s="19"/>
      <c r="AZ51" s="19"/>
      <c r="BA51" s="19"/>
      <c r="BB51" s="19"/>
      <c r="BC51" s="19"/>
      <c r="BD51" s="19">
        <f ca="1">BD24*$B$105+BF24*$B$106+BH24*$B$107</f>
        <v>7993.2214980722292</v>
      </c>
      <c r="BE51" s="19"/>
      <c r="BF51" s="19"/>
      <c r="BG51" s="19"/>
      <c r="BH51" s="19"/>
      <c r="BI51" s="19"/>
      <c r="BJ51" s="19">
        <f ca="1">BJ24*$B$105+BL24*$B$106+BN24*$B$107</f>
        <v>134087.35280906269</v>
      </c>
      <c r="BK51" s="19"/>
      <c r="BL51" s="19"/>
      <c r="BM51" s="19"/>
      <c r="BN51" s="19"/>
      <c r="BO51" s="19"/>
      <c r="BP51" s="19">
        <f ca="1">BP24*$B$105+BR24*$B$106+BT24*$B$107</f>
        <v>930389.33408624423</v>
      </c>
      <c r="BQ51" s="19"/>
      <c r="BR51" s="19"/>
      <c r="BS51" s="19"/>
      <c r="BT51" s="19"/>
      <c r="BU51" s="19"/>
      <c r="BV51" s="19">
        <f ca="1">BV24*$B$105+BX24*$B$106+BZ24*$B$107</f>
        <v>506947.70957285707</v>
      </c>
      <c r="BW51" s="19"/>
      <c r="BX51" s="19"/>
      <c r="BY51" s="19"/>
      <c r="BZ51" s="19"/>
      <c r="CA51" s="19"/>
      <c r="CB51" s="19">
        <f ca="1">CB24*$B$105+CD24*$B$106+CF24*$B$107</f>
        <v>601752.39026640402</v>
      </c>
      <c r="CC51" s="19"/>
      <c r="CD51" s="19"/>
      <c r="CE51" s="19"/>
      <c r="CF51" s="19"/>
      <c r="CG51" s="19"/>
      <c r="CH51" s="19">
        <f ca="1">CH24*$B$105+CJ24*$B$106+CL24*$B$107</f>
        <v>716116.288547053</v>
      </c>
      <c r="CI51" s="19"/>
      <c r="CJ51" s="19"/>
      <c r="CK51" s="19"/>
      <c r="CL51" s="19"/>
      <c r="CM51" s="19"/>
      <c r="CN51" s="19">
        <f ca="1">CN24*$B$105+CP24*$B$106+CR24*$B$107</f>
        <v>7776.8388464921727</v>
      </c>
      <c r="CO51" s="19"/>
      <c r="CP51" s="19"/>
      <c r="CQ51" s="19"/>
      <c r="CR51" s="19"/>
      <c r="CS51" s="19"/>
      <c r="CT51" s="19">
        <f ca="1">CT24*$B$105+CV24*$B$106+CX24*$B$107</f>
        <v>120070.56239498842</v>
      </c>
      <c r="CU51" s="19"/>
      <c r="CV51" s="19"/>
      <c r="CW51" s="19"/>
      <c r="CX51" s="19"/>
      <c r="CY51" s="19"/>
      <c r="CZ51" s="19">
        <f ca="1">CZ24*$B$105+DB24*$B$106+DD24*$B$107</f>
        <v>983850.53992929508</v>
      </c>
      <c r="DA51" s="19"/>
      <c r="DB51" s="19"/>
      <c r="DC51" s="19"/>
      <c r="DD51" s="19"/>
      <c r="DE51" s="19"/>
      <c r="DF51" s="19">
        <f ca="1">DF24*$B$105+DH24*$B$106+DJ24*$B$107</f>
        <v>502806.42901511525</v>
      </c>
      <c r="DG51" s="19"/>
      <c r="DH51" s="19"/>
      <c r="DI51" s="19"/>
      <c r="DJ51" s="19"/>
      <c r="DK51" s="19"/>
      <c r="DL51" s="19">
        <f ca="1">DL24*$B$105+DN24*$B$106+DP24*$B$107</f>
        <v>579832.29197474325</v>
      </c>
      <c r="DM51" s="19"/>
      <c r="DN51" s="19"/>
      <c r="DO51" s="19"/>
      <c r="DP51" s="19"/>
      <c r="DQ51" s="19"/>
      <c r="DR51" s="19">
        <f ca="1">DR24*$B$105+DT24*$B$106+DV24*$B$107</f>
        <v>784099.52112665051</v>
      </c>
      <c r="DS51" s="19"/>
      <c r="DT51" s="19"/>
      <c r="DU51" s="19"/>
      <c r="DV51" s="19"/>
      <c r="DW51" s="19"/>
      <c r="DX51" s="19">
        <f ca="1">DX24*$B$105+DZ24*$B$106+EB24*$B$107</f>
        <v>8925.9840609320418</v>
      </c>
      <c r="DY51" s="19"/>
      <c r="DZ51" s="19"/>
      <c r="EA51" s="19"/>
      <c r="EB51" s="19"/>
      <c r="EC51" s="19"/>
      <c r="ED51" s="19">
        <f ca="1">ED24*$B$105+EF24*$B$106+EH24*$B$107</f>
        <v>133223.41236862692</v>
      </c>
      <c r="EE51" s="19"/>
      <c r="EF51" s="19"/>
      <c r="EG51" s="19"/>
      <c r="EH51" s="19"/>
      <c r="EI51" s="19"/>
      <c r="EJ51" s="19">
        <f ca="1">EJ24*$B$105+EL24*$B$106+EN24*$B$107</f>
        <v>973369.64868175227</v>
      </c>
      <c r="EK51" s="19"/>
      <c r="EL51" s="19"/>
      <c r="EM51" s="19"/>
      <c r="EN51" s="19"/>
      <c r="EO51" s="19"/>
    </row>
    <row r="52" spans="1:145" x14ac:dyDescent="0.25">
      <c r="A52" s="16" t="s">
        <v>31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</row>
    <row r="53" spans="1:145" x14ac:dyDescent="0.25">
      <c r="A53" s="14" t="s">
        <v>34</v>
      </c>
      <c r="B53" s="19">
        <f>B28*$B$105+D28*$B$106+F28*$B$107</f>
        <v>2387519633.4817977</v>
      </c>
      <c r="C53" s="19"/>
      <c r="D53" s="19"/>
      <c r="E53" s="19"/>
      <c r="F53" s="19"/>
      <c r="G53" s="19"/>
      <c r="H53" s="19">
        <f>H28*$B$105+J28*$B$106+L28*$B$107</f>
        <v>3050396613.2626729</v>
      </c>
      <c r="I53" s="19"/>
      <c r="J53" s="19"/>
      <c r="K53" s="19"/>
      <c r="L53" s="19"/>
      <c r="M53" s="19"/>
      <c r="N53" s="19">
        <f>N28*$B$105+P28*$B$106+R28*$B$107</f>
        <v>5514459235.8510275</v>
      </c>
      <c r="O53" s="19"/>
      <c r="P53" s="19"/>
      <c r="Q53" s="19"/>
      <c r="R53" s="19"/>
      <c r="S53" s="19"/>
      <c r="T53" s="19">
        <f>T28*$B$105+V28*$B$106+X28*$B$107</f>
        <v>606541.51361546549</v>
      </c>
      <c r="U53" s="19"/>
      <c r="V53" s="19"/>
      <c r="W53" s="19"/>
      <c r="X53" s="19"/>
      <c r="Y53" s="19"/>
      <c r="Z53" s="19">
        <f>Z28*$B$105+AB28*$B$106+AD28*$B$107</f>
        <v>233399929.82481521</v>
      </c>
      <c r="AA53" s="19"/>
      <c r="AB53" s="19"/>
      <c r="AC53" s="19"/>
      <c r="AD53" s="19"/>
      <c r="AE53" s="19"/>
      <c r="AF53" s="19">
        <f ca="1">AF28*$B$105+AH28*$B$106+AJ28*$B$107</f>
        <v>4247473075.2454023</v>
      </c>
      <c r="AG53" s="19"/>
      <c r="AH53" s="19"/>
      <c r="AI53" s="19"/>
      <c r="AJ53" s="19"/>
      <c r="AK53" s="19"/>
      <c r="AL53" s="19">
        <f>AL28*$B$105+AN28*$B$106+AP28*$B$107</f>
        <v>2472999115.3732328</v>
      </c>
      <c r="AM53" s="19"/>
      <c r="AN53" s="19"/>
      <c r="AO53" s="19"/>
      <c r="AP53" s="19"/>
      <c r="AQ53" s="19"/>
      <c r="AR53" s="19">
        <f>AR28*$B$105+AT28*$B$106+AV28*$B$107</f>
        <v>3206692419.8360753</v>
      </c>
      <c r="AS53" s="19"/>
      <c r="AT53" s="19"/>
      <c r="AU53" s="19"/>
      <c r="AV53" s="19"/>
      <c r="AW53" s="19"/>
      <c r="AX53" s="19">
        <f>AX28*$B$105+AZ28*$B$106+BB28*$B$107</f>
        <v>5133945154.6205053</v>
      </c>
      <c r="AY53" s="19"/>
      <c r="AZ53" s="19"/>
      <c r="BA53" s="19"/>
      <c r="BB53" s="19"/>
      <c r="BC53" s="19"/>
      <c r="BD53" s="19">
        <f>BD28*$B$105+BF28*$B$106+BH28*$B$107</f>
        <v>630927.60548263777</v>
      </c>
      <c r="BE53" s="19"/>
      <c r="BF53" s="19"/>
      <c r="BG53" s="19"/>
      <c r="BH53" s="19"/>
      <c r="BI53" s="19"/>
      <c r="BJ53" s="19">
        <f>BJ28*$B$105+BL28*$B$106+BN28*$B$107</f>
        <v>240828583.10784864</v>
      </c>
      <c r="BK53" s="19"/>
      <c r="BL53" s="19"/>
      <c r="BM53" s="19"/>
      <c r="BN53" s="19"/>
      <c r="BO53" s="19"/>
      <c r="BP53" s="19">
        <f ca="1">BP28*$B$105+BR28*$B$106+BT28*$B$107</f>
        <v>4607313196.2378931</v>
      </c>
      <c r="BQ53" s="19"/>
      <c r="BR53" s="19"/>
      <c r="BS53" s="19"/>
      <c r="BT53" s="19"/>
      <c r="BU53" s="19"/>
      <c r="BV53" s="19">
        <f>BV28*$B$105+BX28*$B$106+BZ28*$B$107</f>
        <v>2252827227.0977654</v>
      </c>
      <c r="BW53" s="19"/>
      <c r="BX53" s="19"/>
      <c r="BY53" s="19"/>
      <c r="BZ53" s="19"/>
      <c r="CA53" s="19"/>
      <c r="CB53" s="19">
        <f>CB28*$B$105+CD28*$B$106+CF28*$B$107</f>
        <v>3220685419.2167645</v>
      </c>
      <c r="CC53" s="19"/>
      <c r="CD53" s="19"/>
      <c r="CE53" s="19"/>
      <c r="CF53" s="19"/>
      <c r="CG53" s="19"/>
      <c r="CH53" s="19">
        <f>CH28*$B$105+CJ28*$B$106+CL28*$B$107</f>
        <v>4943410604.7089872</v>
      </c>
      <c r="CI53" s="19"/>
      <c r="CJ53" s="19"/>
      <c r="CK53" s="19"/>
      <c r="CL53" s="19"/>
      <c r="CM53" s="19"/>
      <c r="CN53" s="19">
        <f ca="1">CN28*$B$105+CP28*$B$106+CR28*$B$107</f>
        <v>609907.12419707456</v>
      </c>
      <c r="CO53" s="19"/>
      <c r="CP53" s="19"/>
      <c r="CQ53" s="19"/>
      <c r="CR53" s="19"/>
      <c r="CS53" s="19"/>
      <c r="CT53" s="19">
        <f>CT28*$B$105+CV28*$B$106+CX28*$B$107</f>
        <v>217979344.29884294</v>
      </c>
      <c r="CU53" s="19"/>
      <c r="CV53" s="19"/>
      <c r="CW53" s="19"/>
      <c r="CX53" s="19"/>
      <c r="CY53" s="19"/>
      <c r="CZ53" s="19">
        <f ca="1">CZ28*$B$105+DB28*$B$106+DD28*$B$107</f>
        <v>4681477938.1309605</v>
      </c>
      <c r="DA53" s="19"/>
      <c r="DB53" s="19"/>
      <c r="DC53" s="19"/>
      <c r="DD53" s="19"/>
      <c r="DE53" s="19"/>
      <c r="DF53" s="19">
        <f ca="1">DF28*$B$105+DH28*$B$106+DJ28*$B$107</f>
        <v>2683947873.1426363</v>
      </c>
      <c r="DG53" s="19"/>
      <c r="DH53" s="19"/>
      <c r="DI53" s="19"/>
      <c r="DJ53" s="19"/>
      <c r="DK53" s="19"/>
      <c r="DL53" s="19">
        <f ca="1">DL28*$B$105+DN28*$B$106+DP28*$B$107</f>
        <v>3540180176.2692366</v>
      </c>
      <c r="DM53" s="19"/>
      <c r="DN53" s="19"/>
      <c r="DO53" s="19"/>
      <c r="DP53" s="19"/>
      <c r="DQ53" s="19"/>
      <c r="DR53" s="19">
        <f ca="1">DR28*$B$105+DT28*$B$106+DV28*$B$107</f>
        <v>6867679846.4788733</v>
      </c>
      <c r="DS53" s="19"/>
      <c r="DT53" s="19"/>
      <c r="DU53" s="19"/>
      <c r="DV53" s="19"/>
      <c r="DW53" s="19"/>
      <c r="DX53" s="19">
        <f ca="1">DX28*$B$105+DZ28*$B$106+EB28*$B$107</f>
        <v>821031.7355410303</v>
      </c>
      <c r="DY53" s="19"/>
      <c r="DZ53" s="19"/>
      <c r="EA53" s="19"/>
      <c r="EB53" s="19"/>
      <c r="EC53" s="19"/>
      <c r="ED53" s="19">
        <f ca="1">ED28*$B$105+EF28*$B$106+EH28*$B$107</f>
        <v>258281663.006477</v>
      </c>
      <c r="EE53" s="19"/>
      <c r="EF53" s="19"/>
      <c r="EG53" s="19"/>
      <c r="EH53" s="19"/>
      <c r="EI53" s="19"/>
      <c r="EJ53" s="19">
        <f ca="1">EJ28*$B$105+EL28*$B$106+EN28*$B$107</f>
        <v>5120487349.1791286</v>
      </c>
      <c r="EK53" s="19"/>
      <c r="EL53" s="19"/>
      <c r="EM53" s="19"/>
      <c r="EN53" s="19"/>
      <c r="EO53" s="19"/>
    </row>
    <row r="54" spans="1:145" x14ac:dyDescent="0.25">
      <c r="A54" s="16" t="s">
        <v>30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</row>
    <row r="55" spans="1:145" x14ac:dyDescent="0.25">
      <c r="A55" s="14" t="s">
        <v>35</v>
      </c>
      <c r="B55" s="19">
        <f>B32*$B$105+D32*$B$106+F32*$B$107</f>
        <v>2387500740.0053272</v>
      </c>
      <c r="C55" s="19"/>
      <c r="D55" s="19"/>
      <c r="E55" s="19"/>
      <c r="F55" s="19"/>
      <c r="G55" s="19"/>
      <c r="H55" s="19">
        <f>H32*$B$105+J32*$B$106+L32*$B$107</f>
        <v>3050392136.4638395</v>
      </c>
      <c r="I55" s="19"/>
      <c r="J55" s="19"/>
      <c r="K55" s="19"/>
      <c r="L55" s="19"/>
      <c r="M55" s="19"/>
      <c r="N55" s="19">
        <f>N32*$B$105+P32*$B$106+R32*$B$107</f>
        <v>5514454290.7977114</v>
      </c>
      <c r="O55" s="19"/>
      <c r="P55" s="19"/>
      <c r="Q55" s="19"/>
      <c r="R55" s="19"/>
      <c r="S55" s="19"/>
      <c r="T55" s="19">
        <f>T32*$B$105+V32*$B$106+X32*$B$107</f>
        <v>606531.61345926102</v>
      </c>
      <c r="U55" s="19"/>
      <c r="V55" s="19"/>
      <c r="W55" s="19"/>
      <c r="X55" s="19"/>
      <c r="Y55" s="19"/>
      <c r="Z55" s="19">
        <f>Z32*$B$105+AB32*$B$106+AD32*$B$107</f>
        <v>233398762.74587023</v>
      </c>
      <c r="AA55" s="19"/>
      <c r="AB55" s="19"/>
      <c r="AC55" s="19"/>
      <c r="AD55" s="19"/>
      <c r="AE55" s="19"/>
      <c r="AF55" s="19">
        <f ca="1">AF32*$B$105+AH32*$B$106+AJ32*$B$107</f>
        <v>4247467355.9462681</v>
      </c>
      <c r="AG55" s="19"/>
      <c r="AH55" s="19"/>
      <c r="AI55" s="19"/>
      <c r="AJ55" s="19"/>
      <c r="AK55" s="19"/>
      <c r="AL55" s="19">
        <f>AL32*$B$105+AN32*$B$106+AP32*$B$107</f>
        <v>2472979301.8789034</v>
      </c>
      <c r="AM55" s="19"/>
      <c r="AN55" s="19"/>
      <c r="AO55" s="19"/>
      <c r="AP55" s="19"/>
      <c r="AQ55" s="19"/>
      <c r="AR55" s="19">
        <f>AR32*$B$105+AT32*$B$106+AV32*$B$107</f>
        <v>3206687718.8454947</v>
      </c>
      <c r="AS55" s="19"/>
      <c r="AT55" s="19"/>
      <c r="AU55" s="19"/>
      <c r="AV55" s="19"/>
      <c r="AW55" s="19"/>
      <c r="AX55" s="19">
        <f>AX32*$B$105+AZ32*$B$106+BB32*$B$107</f>
        <v>5133941157.2494345</v>
      </c>
      <c r="AY55" s="19"/>
      <c r="AZ55" s="19"/>
      <c r="BA55" s="19"/>
      <c r="BB55" s="19"/>
      <c r="BC55" s="19"/>
      <c r="BD55" s="19">
        <f>BD32*$B$105+BF32*$B$106+BH32*$B$107</f>
        <v>630888.8161315996</v>
      </c>
      <c r="BE55" s="19"/>
      <c r="BF55" s="19"/>
      <c r="BG55" s="19"/>
      <c r="BH55" s="19"/>
      <c r="BI55" s="19"/>
      <c r="BJ55" s="19">
        <f>BJ32*$B$105+BL32*$B$106+BN32*$B$107</f>
        <v>240827359.03419179</v>
      </c>
      <c r="BK55" s="19"/>
      <c r="BL55" s="19"/>
      <c r="BM55" s="19"/>
      <c r="BN55" s="19"/>
      <c r="BO55" s="19"/>
      <c r="BP55" s="19">
        <f ca="1">BP32*$B$105+BR32*$B$106+BT32*$B$107</f>
        <v>4607307355.1493225</v>
      </c>
      <c r="BQ55" s="19"/>
      <c r="BR55" s="19"/>
      <c r="BS55" s="19"/>
      <c r="BT55" s="19"/>
      <c r="BU55" s="19"/>
      <c r="BV55" s="19">
        <f>BV32*$B$105+BX32*$B$106+BZ32*$B$107</f>
        <v>2249341166.551774</v>
      </c>
      <c r="BW55" s="19"/>
      <c r="BX55" s="19"/>
      <c r="BY55" s="19"/>
      <c r="BZ55" s="19"/>
      <c r="CA55" s="19"/>
      <c r="CB55" s="19">
        <f>CB32*$B$105+CD32*$B$106+CF32*$B$107</f>
        <v>3220680489.3792853</v>
      </c>
      <c r="CC55" s="19"/>
      <c r="CD55" s="19"/>
      <c r="CE55" s="19"/>
      <c r="CF55" s="19"/>
      <c r="CG55" s="19"/>
      <c r="CH55" s="19">
        <f>CH32*$B$105+CJ32*$B$106+CL32*$B$107</f>
        <v>4943407150.5639572</v>
      </c>
      <c r="CI55" s="19"/>
      <c r="CJ55" s="19"/>
      <c r="CK55" s="19"/>
      <c r="CL55" s="19"/>
      <c r="CM55" s="19"/>
      <c r="CN55" s="19">
        <f ca="1">CN32*$B$105+CP32*$B$106+CR32*$B$107</f>
        <v>609876.29328709387</v>
      </c>
      <c r="CO55" s="19"/>
      <c r="CP55" s="19"/>
      <c r="CQ55" s="19"/>
      <c r="CR55" s="19"/>
      <c r="CS55" s="19"/>
      <c r="CT55" s="19">
        <f>CT32*$B$105+CV32*$B$106+CX32*$B$107</f>
        <v>217761759.58725697</v>
      </c>
      <c r="CU55" s="19"/>
      <c r="CV55" s="19"/>
      <c r="CW55" s="19"/>
      <c r="CX55" s="19"/>
      <c r="CY55" s="19"/>
      <c r="CZ55" s="19">
        <f ca="1">CZ32*$B$105+DB32*$B$106+DD32*$B$107</f>
        <v>4681471724.5721531</v>
      </c>
      <c r="DA55" s="19"/>
      <c r="DB55" s="19"/>
      <c r="DC55" s="19"/>
      <c r="DD55" s="19"/>
      <c r="DE55" s="19"/>
      <c r="DF55" s="19">
        <f ca="1">DF32*$B$105+DH32*$B$106+DJ32*$B$107</f>
        <v>2683923633.6617184</v>
      </c>
      <c r="DG55" s="19"/>
      <c r="DH55" s="19"/>
      <c r="DI55" s="19"/>
      <c r="DJ55" s="19"/>
      <c r="DK55" s="19"/>
      <c r="DL55" s="19">
        <f ca="1">DL32*$B$105+DN32*$B$106+DP32*$B$107</f>
        <v>3540174233.4606371</v>
      </c>
      <c r="DM55" s="19"/>
      <c r="DN55" s="19"/>
      <c r="DO55" s="19"/>
      <c r="DP55" s="19"/>
      <c r="DQ55" s="19"/>
      <c r="DR55" s="19">
        <f ca="1">DR32*$B$105+DT32*$B$106+DV32*$B$107</f>
        <v>6867675581.4848843</v>
      </c>
      <c r="DS55" s="19"/>
      <c r="DT55" s="19"/>
      <c r="DU55" s="19"/>
      <c r="DV55" s="19"/>
      <c r="DW55" s="19"/>
      <c r="DX55" s="19">
        <f ca="1">DX32*$B$105+DZ32*$B$106+EB32*$B$107</f>
        <v>820992.63721018727</v>
      </c>
      <c r="DY55" s="19"/>
      <c r="DZ55" s="19"/>
      <c r="EA55" s="19"/>
      <c r="EB55" s="19"/>
      <c r="EC55" s="19"/>
      <c r="ED55" s="19">
        <f ca="1">ED32*$B$105+EF32*$B$106+EH32*$B$107</f>
        <v>258280165.29235664</v>
      </c>
      <c r="EE55" s="19"/>
      <c r="EF55" s="19"/>
      <c r="EG55" s="19"/>
      <c r="EH55" s="19"/>
      <c r="EI55" s="19"/>
      <c r="EJ55" s="19">
        <f ca="1">EJ32*$B$105+EL32*$B$106+EN32*$B$107</f>
        <v>5120480028.8723755</v>
      </c>
      <c r="EK55" s="19"/>
      <c r="EL55" s="19"/>
      <c r="EM55" s="19"/>
      <c r="EN55" s="19"/>
      <c r="EO55" s="19"/>
    </row>
    <row r="56" spans="1:145" x14ac:dyDescent="0.25">
      <c r="A56" s="17" t="s">
        <v>46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</row>
    <row r="57" spans="1:145" x14ac:dyDescent="0.25">
      <c r="A57" s="15" t="s">
        <v>47</v>
      </c>
      <c r="B57" s="19">
        <f>B35*$B$105+D35*$B$106+F35*$B$107</f>
        <v>30273.133075038455</v>
      </c>
      <c r="C57" s="19"/>
      <c r="D57" s="19"/>
      <c r="E57" s="19"/>
      <c r="F57" s="19"/>
      <c r="G57" s="19"/>
      <c r="H57" s="19">
        <f>H35*$B$105+J35*$B$106+L35*$B$107</f>
        <v>24634.078314493821</v>
      </c>
      <c r="I57" s="19"/>
      <c r="J57" s="19"/>
      <c r="K57" s="19"/>
      <c r="L57" s="19"/>
      <c r="M57" s="19"/>
      <c r="N57" s="19">
        <f>N35*$B$105+P35*$B$106+R35*$B$107</f>
        <v>31470.14653207576</v>
      </c>
      <c r="O57" s="19"/>
      <c r="P57" s="19"/>
      <c r="Q57" s="19"/>
      <c r="R57" s="19"/>
      <c r="S57" s="19"/>
      <c r="T57" s="19">
        <f>T35*$B$105+V35*$B$106+X35*$B$107</f>
        <v>994.60768490205839</v>
      </c>
      <c r="U57" s="19"/>
      <c r="V57" s="19"/>
      <c r="W57" s="19"/>
      <c r="X57" s="19"/>
      <c r="Y57" s="19"/>
      <c r="Z57" s="19">
        <f>Z35*$B$105+AB35*$B$106+AD35*$B$107</f>
        <v>8778.8914702018737</v>
      </c>
      <c r="AA57" s="19"/>
      <c r="AB57" s="19"/>
      <c r="AC57" s="19"/>
      <c r="AD57" s="19"/>
      <c r="AE57" s="19"/>
      <c r="AF57" s="19">
        <f ca="1">AF35*$B$105+AH35*$B$106+AJ35*$B$107</f>
        <v>28258.537902791813</v>
      </c>
      <c r="AG57" s="19"/>
      <c r="AH57" s="19"/>
      <c r="AI57" s="19"/>
      <c r="AJ57" s="19"/>
      <c r="AK57" s="19"/>
      <c r="AL57" s="19">
        <f>AL35*$B$105+AN35*$B$106+AP35*$B$107</f>
        <v>23165.775886889889</v>
      </c>
      <c r="AM57" s="19"/>
      <c r="AN57" s="19"/>
      <c r="AO57" s="19"/>
      <c r="AP57" s="19"/>
      <c r="AQ57" s="19"/>
      <c r="AR57" s="19">
        <f>AR35*$B$105+AT35*$B$106+AV35*$B$107</f>
        <v>25237.501268985568</v>
      </c>
      <c r="AS57" s="19"/>
      <c r="AT57" s="19"/>
      <c r="AU57" s="19"/>
      <c r="AV57" s="19"/>
      <c r="AW57" s="19"/>
      <c r="AX57" s="19">
        <f>AX35*$B$105+AZ35*$B$106+BB35*$B$107</f>
        <v>30665.152806381848</v>
      </c>
      <c r="AY57" s="19"/>
      <c r="AZ57" s="19"/>
      <c r="BA57" s="19"/>
      <c r="BB57" s="19"/>
      <c r="BC57" s="19"/>
      <c r="BD57" s="19">
        <f>BD35*$B$105+BF35*$B$106+BH35*$B$107</f>
        <v>1003.5708430165669</v>
      </c>
      <c r="BE57" s="19"/>
      <c r="BF57" s="19"/>
      <c r="BG57" s="19"/>
      <c r="BH57" s="19"/>
      <c r="BI57" s="19"/>
      <c r="BJ57" s="19">
        <f>BJ35*$B$105+BL35*$B$106+BN35*$B$107</f>
        <v>8922.2996309610953</v>
      </c>
      <c r="BK57" s="19"/>
      <c r="BL57" s="19"/>
      <c r="BM57" s="19"/>
      <c r="BN57" s="19"/>
      <c r="BO57" s="19"/>
      <c r="BP57" s="19">
        <f ca="1">BP35*$B$105+BR35*$B$106+BT35*$B$107</f>
        <v>29366.053442891625</v>
      </c>
      <c r="BQ57" s="19"/>
      <c r="BR57" s="19"/>
      <c r="BS57" s="19"/>
      <c r="BT57" s="19"/>
      <c r="BU57" s="19"/>
      <c r="BV57" s="19">
        <f>BV35*$B$105+BX35*$B$106+BZ35*$B$107</f>
        <v>22252.424036523575</v>
      </c>
      <c r="BW57" s="19"/>
      <c r="BX57" s="19"/>
      <c r="BY57" s="19"/>
      <c r="BZ57" s="19"/>
      <c r="CA57" s="19"/>
      <c r="CB57" s="19">
        <f>CB35*$B$105+CD35*$B$106+CF35*$B$107</f>
        <v>25066.374321348569</v>
      </c>
      <c r="CC57" s="19"/>
      <c r="CD57" s="19"/>
      <c r="CE57" s="19"/>
      <c r="CF57" s="19"/>
      <c r="CG57" s="19"/>
      <c r="CH57" s="19">
        <f>CH35*$B$105+CJ35*$B$106+CL35*$B$107</f>
        <v>30230.168759327535</v>
      </c>
      <c r="CI57" s="19"/>
      <c r="CJ57" s="19"/>
      <c r="CK57" s="19"/>
      <c r="CL57" s="19"/>
      <c r="CM57" s="19"/>
      <c r="CN57" s="19">
        <f ca="1">CN35*$B$105+CP35*$B$106+CR35*$B$107</f>
        <v>998.04051351870373</v>
      </c>
      <c r="CO57" s="19"/>
      <c r="CP57" s="19"/>
      <c r="CQ57" s="19"/>
      <c r="CR57" s="19"/>
      <c r="CS57" s="19"/>
      <c r="CT57" s="19">
        <f>CT35*$B$105+CV35*$B$106+CX35*$B$107</f>
        <v>8488.4067967607516</v>
      </c>
      <c r="CU57" s="19"/>
      <c r="CV57" s="19"/>
      <c r="CW57" s="19"/>
      <c r="CX57" s="19"/>
      <c r="CY57" s="19"/>
      <c r="CZ57" s="19">
        <f ca="1">CZ35*$B$105+DB35*$B$106+DD35*$B$107</f>
        <v>29286.684911313252</v>
      </c>
      <c r="DA57" s="19"/>
      <c r="DB57" s="19"/>
      <c r="DC57" s="19"/>
      <c r="DD57" s="19"/>
      <c r="DE57" s="19"/>
      <c r="DF57" s="19">
        <f ca="1">DF35*$B$105+DH35*$B$106+DJ35*$B$107</f>
        <v>24094.836953815378</v>
      </c>
      <c r="DG57" s="19"/>
      <c r="DH57" s="19"/>
      <c r="DI57" s="19"/>
      <c r="DJ57" s="19"/>
      <c r="DK57" s="19"/>
      <c r="DL57" s="19">
        <f ca="1">DL35*$B$105+DN35*$B$106+DP35*$B$107</f>
        <v>26369.999427686951</v>
      </c>
      <c r="DM57" s="19"/>
      <c r="DN57" s="19"/>
      <c r="DO57" s="19"/>
      <c r="DP57" s="19"/>
      <c r="DQ57" s="19"/>
      <c r="DR57" s="19">
        <f ca="1">DR35*$B$105+DT35*$B$106+DV35*$B$107</f>
        <v>34752.144210025399</v>
      </c>
      <c r="DS57" s="19"/>
      <c r="DT57" s="19"/>
      <c r="DU57" s="19"/>
      <c r="DV57" s="19"/>
      <c r="DW57" s="19"/>
      <c r="DX57" s="19">
        <f ca="1">DX35*$B$105+DZ35*$B$106+EB35*$B$107</f>
        <v>1108.6152713389881</v>
      </c>
      <c r="DY57" s="19"/>
      <c r="DZ57" s="19"/>
      <c r="EA57" s="19"/>
      <c r="EB57" s="19"/>
      <c r="EC57" s="19"/>
      <c r="ED57" s="19">
        <f ca="1">ED35*$B$105+EF35*$B$106+EH35*$B$107</f>
        <v>9018.6633408172092</v>
      </c>
      <c r="EE57" s="19"/>
      <c r="EF57" s="19"/>
      <c r="EG57" s="19"/>
      <c r="EH57" s="19"/>
      <c r="EI57" s="19"/>
      <c r="EJ57" s="19">
        <f ca="1">EJ35*$B$105+EL35*$B$106+EN35*$B$107</f>
        <v>30789.236494320405</v>
      </c>
      <c r="EK57" s="19"/>
      <c r="EL57" s="19"/>
      <c r="EM57" s="19"/>
      <c r="EN57" s="19"/>
      <c r="EO57" s="19"/>
    </row>
    <row r="58" spans="1:145" x14ac:dyDescent="0.25">
      <c r="A58" s="17" t="s">
        <v>112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  <c r="EJ58" s="19"/>
      <c r="EK58" s="19"/>
      <c r="EL58" s="19"/>
      <c r="EM58" s="19"/>
      <c r="EN58" s="19"/>
      <c r="EO58" s="19"/>
    </row>
    <row r="59" spans="1:145" x14ac:dyDescent="0.25">
      <c r="A59" s="15" t="s">
        <v>40</v>
      </c>
      <c r="B59" s="19">
        <f>B38*$B$105+D38*$B$106+F38*$B$107</f>
        <v>548886464.19688046</v>
      </c>
      <c r="C59" s="19"/>
      <c r="D59" s="19"/>
      <c r="E59" s="19"/>
      <c r="F59" s="19"/>
      <c r="G59" s="19"/>
      <c r="H59" s="19">
        <f>H38*$B$105+J38*$B$106+L38*$B$107</f>
        <v>796395319.59702325</v>
      </c>
      <c r="I59" s="19"/>
      <c r="J59" s="19"/>
      <c r="K59" s="19"/>
      <c r="L59" s="19"/>
      <c r="M59" s="19"/>
      <c r="N59" s="19">
        <f>N38*$B$105+P38*$B$106+R38*$B$107</f>
        <v>8910948030.3269901</v>
      </c>
      <c r="O59" s="19"/>
      <c r="P59" s="19"/>
      <c r="Q59" s="19"/>
      <c r="R59" s="19"/>
      <c r="S59" s="19"/>
      <c r="T59" s="19">
        <f>T38*$B$105+V38*$B$106+X38*$B$107</f>
        <v>827.79553991067667</v>
      </c>
      <c r="U59" s="19"/>
      <c r="V59" s="19"/>
      <c r="W59" s="19"/>
      <c r="X59" s="19"/>
      <c r="Y59" s="19"/>
      <c r="Z59" s="19">
        <f>Z38*$B$105+AB38*$B$106+AD38*$B$107</f>
        <v>545092.59275481605</v>
      </c>
      <c r="AA59" s="19"/>
      <c r="AB59" s="19"/>
      <c r="AC59" s="19"/>
      <c r="AD59" s="19"/>
      <c r="AE59" s="19"/>
      <c r="AF59" s="19">
        <f ca="1">AF38*$B$105+AH38*$B$106+AJ38*$B$107</f>
        <v>3078463055.7480617</v>
      </c>
      <c r="AG59" s="19"/>
      <c r="AH59" s="19"/>
      <c r="AI59" s="19"/>
      <c r="AJ59" s="19"/>
      <c r="AK59" s="19"/>
      <c r="AL59" s="19">
        <f>AL38*$B$105+AN38*$B$106+AP38*$B$107</f>
        <v>992583151.44499063</v>
      </c>
      <c r="AM59" s="19"/>
      <c r="AN59" s="19"/>
      <c r="AO59" s="19"/>
      <c r="AP59" s="19"/>
      <c r="AQ59" s="19"/>
      <c r="AR59" s="19">
        <f>AR38*$B$105+AT38*$B$106+AV38*$B$107</f>
        <v>1092524846.6259606</v>
      </c>
      <c r="AS59" s="19"/>
      <c r="AT59" s="19"/>
      <c r="AU59" s="19"/>
      <c r="AV59" s="19"/>
      <c r="AW59" s="19"/>
      <c r="AX59" s="19">
        <f>AX38*$B$105+AZ38*$B$106+BB38*$B$107</f>
        <v>7572931892.8370113</v>
      </c>
      <c r="AY59" s="19"/>
      <c r="AZ59" s="19"/>
      <c r="BA59" s="19"/>
      <c r="BB59" s="19"/>
      <c r="BC59" s="19"/>
      <c r="BD59" s="19">
        <f>BD38*$B$105+BF38*$B$106+BH38*$B$107</f>
        <v>819.62385629968662</v>
      </c>
      <c r="BE59" s="19"/>
      <c r="BF59" s="19"/>
      <c r="BG59" s="19"/>
      <c r="BH59" s="19"/>
      <c r="BI59" s="19"/>
      <c r="BJ59" s="19">
        <f>BJ38*$B$105+BL38*$B$106+BN38*$B$107</f>
        <v>656241.26167065965</v>
      </c>
      <c r="BK59" s="19"/>
      <c r="BL59" s="19"/>
      <c r="BM59" s="19"/>
      <c r="BN59" s="19"/>
      <c r="BO59" s="19"/>
      <c r="BP59" s="19">
        <f ca="1">BP38*$B$105+BR38*$B$106+BT38*$B$107</f>
        <v>5184256099.2617092</v>
      </c>
      <c r="BQ59" s="19"/>
      <c r="BR59" s="19"/>
      <c r="BS59" s="19"/>
      <c r="BT59" s="19"/>
      <c r="BU59" s="19"/>
      <c r="BV59" s="19">
        <f>BV38*$B$105+BX38*$B$106+BZ38*$B$107</f>
        <v>620835816.47621858</v>
      </c>
      <c r="BW59" s="19"/>
      <c r="BX59" s="19"/>
      <c r="BY59" s="19"/>
      <c r="BZ59" s="19"/>
      <c r="CA59" s="19"/>
      <c r="CB59" s="19">
        <f>CB38*$B$105+CD38*$B$106+CF38*$B$107</f>
        <v>799494771.17964947</v>
      </c>
      <c r="CC59" s="19"/>
      <c r="CD59" s="19"/>
      <c r="CE59" s="19"/>
      <c r="CF59" s="19"/>
      <c r="CG59" s="19"/>
      <c r="CH59" s="19">
        <f>CH38*$B$105+CJ38*$B$106+CL38*$B$107</f>
        <v>7298065451.3605309</v>
      </c>
      <c r="CI59" s="19"/>
      <c r="CJ59" s="19"/>
      <c r="CK59" s="19"/>
      <c r="CL59" s="19"/>
      <c r="CM59" s="19"/>
      <c r="CN59" s="19">
        <f ca="1">CN38*$B$105+CP38*$B$106+CR38*$B$107</f>
        <v>850.77366462368866</v>
      </c>
      <c r="CO59" s="19"/>
      <c r="CP59" s="19"/>
      <c r="CQ59" s="19"/>
      <c r="CR59" s="19"/>
      <c r="CS59" s="19"/>
      <c r="CT59" s="19">
        <f>CT38*$B$105+CV38*$B$106+CX38*$B$107</f>
        <v>402704.33440735121</v>
      </c>
      <c r="CU59" s="19"/>
      <c r="CV59" s="19"/>
      <c r="CW59" s="19"/>
      <c r="CX59" s="19"/>
      <c r="CY59" s="19"/>
      <c r="CZ59" s="19">
        <f ca="1">CZ38*$B$105+DB38*$B$106+DD38*$B$107</f>
        <v>3853049196.6289668</v>
      </c>
      <c r="DA59" s="19"/>
      <c r="DB59" s="19"/>
      <c r="DC59" s="19"/>
      <c r="DD59" s="19"/>
      <c r="DE59" s="19"/>
      <c r="DF59" s="19">
        <f ca="1">DF38*$B$105+DH38*$B$106+DJ38*$B$107</f>
        <v>1569588403.141252</v>
      </c>
      <c r="DG59" s="19"/>
      <c r="DH59" s="19"/>
      <c r="DI59" s="19"/>
      <c r="DJ59" s="19"/>
      <c r="DK59" s="19"/>
      <c r="DL59" s="19">
        <f ca="1">DL38*$B$105+DN38*$B$106+DP38*$B$107</f>
        <v>2048415670.5900199</v>
      </c>
      <c r="DM59" s="19"/>
      <c r="DN59" s="19"/>
      <c r="DO59" s="19"/>
      <c r="DP59" s="19"/>
      <c r="DQ59" s="19"/>
      <c r="DR59" s="19">
        <f ca="1">DR38*$B$105+DT38*$B$106+DV38*$B$107</f>
        <v>37022788450.766708</v>
      </c>
      <c r="DS59" s="19"/>
      <c r="DT59" s="19"/>
      <c r="DU59" s="19"/>
      <c r="DV59" s="19"/>
      <c r="DW59" s="19"/>
      <c r="DX59" s="19">
        <f ca="1">DX38*$B$105+DZ38*$B$106+EB38*$B$107</f>
        <v>1042.9010858679969</v>
      </c>
      <c r="DY59" s="19"/>
      <c r="DZ59" s="19"/>
      <c r="EA59" s="19"/>
      <c r="EB59" s="19"/>
      <c r="EC59" s="19"/>
      <c r="ED59" s="19">
        <f ca="1">ED38*$B$105+EF38*$B$106+EH38*$B$107</f>
        <v>506373.68768475944</v>
      </c>
      <c r="EE59" s="19"/>
      <c r="EF59" s="19"/>
      <c r="EG59" s="19"/>
      <c r="EH59" s="19"/>
      <c r="EI59" s="19"/>
      <c r="EJ59" s="19">
        <f ca="1">EJ38*$B$105+EL38*$B$106+EN38*$B$107</f>
        <v>10664671011.673355</v>
      </c>
      <c r="EK59" s="19"/>
      <c r="EL59" s="19"/>
      <c r="EM59" s="19"/>
      <c r="EN59" s="19"/>
      <c r="EO59" s="19"/>
    </row>
    <row r="60" spans="1:145" x14ac:dyDescent="0.25">
      <c r="A60" s="17" t="s">
        <v>41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  <c r="EJ60" s="19"/>
      <c r="EK60" s="19"/>
      <c r="EL60" s="19"/>
      <c r="EM60" s="19"/>
      <c r="EN60" s="19"/>
      <c r="EO60" s="19"/>
    </row>
    <row r="61" spans="1:145" x14ac:dyDescent="0.25">
      <c r="A61" s="14" t="s">
        <v>42</v>
      </c>
      <c r="B61" s="19">
        <f>B42*$B$105+D42*$B$106+F42*$B$107</f>
        <v>2387519633.4817977</v>
      </c>
      <c r="C61" s="19"/>
      <c r="D61" s="19"/>
      <c r="E61" s="19"/>
      <c r="F61" s="19"/>
      <c r="G61" s="19"/>
      <c r="H61" s="19">
        <f>H42*$B$105+J42*$B$106+L42*$B$107</f>
        <v>3050396613.2626729</v>
      </c>
      <c r="I61" s="19"/>
      <c r="J61" s="19"/>
      <c r="K61" s="19"/>
      <c r="L61" s="19"/>
      <c r="M61" s="19"/>
      <c r="N61" s="19">
        <f>N42*$B$105+P42*$B$106+R42*$B$107</f>
        <v>5514459235.8510275</v>
      </c>
      <c r="O61" s="19"/>
      <c r="P61" s="19"/>
      <c r="Q61" s="19"/>
      <c r="R61" s="19"/>
      <c r="S61" s="19"/>
      <c r="T61" s="19">
        <f>T42*$B$105+V42*$B$106+X42*$B$107</f>
        <v>606541.51361546549</v>
      </c>
      <c r="U61" s="19"/>
      <c r="V61" s="19"/>
      <c r="W61" s="19"/>
      <c r="X61" s="19"/>
      <c r="Y61" s="19"/>
      <c r="Z61" s="19">
        <f>Z42*$B$105+AB42*$B$106+AD42*$B$107</f>
        <v>233399929.82481521</v>
      </c>
      <c r="AA61" s="19"/>
      <c r="AB61" s="19"/>
      <c r="AC61" s="19"/>
      <c r="AD61" s="19"/>
      <c r="AE61" s="19"/>
      <c r="AF61" s="19">
        <f ca="1">AF42*$B$105+AH42*$B$106+AJ42*$B$107</f>
        <v>4247473075.2454023</v>
      </c>
      <c r="AG61" s="19"/>
      <c r="AH61" s="19"/>
      <c r="AI61" s="19"/>
      <c r="AJ61" s="19"/>
      <c r="AK61" s="19"/>
      <c r="AL61" s="19">
        <f>AL42*$B$105+AN42*$B$106+AP42*$B$107</f>
        <v>2472999115.3732328</v>
      </c>
      <c r="AM61" s="19"/>
      <c r="AN61" s="19"/>
      <c r="AO61" s="19"/>
      <c r="AP61" s="19"/>
      <c r="AQ61" s="19"/>
      <c r="AR61" s="19">
        <f>AR42*$B$105+AT42*$B$106+AV42*$B$107</f>
        <v>3206692419.8360753</v>
      </c>
      <c r="AS61" s="19"/>
      <c r="AT61" s="19"/>
      <c r="AU61" s="19"/>
      <c r="AV61" s="19"/>
      <c r="AW61" s="19"/>
      <c r="AX61" s="19">
        <f>AX42*$B$105+AZ42*$B$106+BB42*$B$107</f>
        <v>5133945154.6205053</v>
      </c>
      <c r="AY61" s="19"/>
      <c r="AZ61" s="19"/>
      <c r="BA61" s="19"/>
      <c r="BB61" s="19"/>
      <c r="BC61" s="19"/>
      <c r="BD61" s="19">
        <f>BD42*$B$105+BF42*$B$106+BH42*$B$107</f>
        <v>630927.60548263777</v>
      </c>
      <c r="BE61" s="19"/>
      <c r="BF61" s="19"/>
      <c r="BG61" s="19"/>
      <c r="BH61" s="19"/>
      <c r="BI61" s="19"/>
      <c r="BJ61" s="19">
        <f>BJ42*$B$105+BL42*$B$106+BN42*$B$107</f>
        <v>240828583.10784864</v>
      </c>
      <c r="BK61" s="19"/>
      <c r="BL61" s="19"/>
      <c r="BM61" s="19"/>
      <c r="BN61" s="19"/>
      <c r="BO61" s="19"/>
      <c r="BP61" s="19">
        <f ca="1">BP42*$B$105+BR42*$B$106+BT42*$B$107</f>
        <v>4607313196.2378931</v>
      </c>
      <c r="BQ61" s="19"/>
      <c r="BR61" s="19"/>
      <c r="BS61" s="19"/>
      <c r="BT61" s="19"/>
      <c r="BU61" s="19"/>
      <c r="BV61" s="19">
        <f>BV42*$B$105+BX42*$B$106+BZ42*$B$107</f>
        <v>2252827227.0977654</v>
      </c>
      <c r="BW61" s="19"/>
      <c r="BX61" s="19"/>
      <c r="BY61" s="19"/>
      <c r="BZ61" s="19"/>
      <c r="CA61" s="19"/>
      <c r="CB61" s="19">
        <f>CB42*$B$105+CD42*$B$106+CF42*$B$107</f>
        <v>3220685419.2167645</v>
      </c>
      <c r="CC61" s="19"/>
      <c r="CD61" s="19"/>
      <c r="CE61" s="19"/>
      <c r="CF61" s="19"/>
      <c r="CG61" s="19"/>
      <c r="CH61" s="19">
        <f>CH42*$B$105+CJ42*$B$106+CL42*$B$107</f>
        <v>4943410604.7089872</v>
      </c>
      <c r="CI61" s="19"/>
      <c r="CJ61" s="19"/>
      <c r="CK61" s="19"/>
      <c r="CL61" s="19"/>
      <c r="CM61" s="19"/>
      <c r="CN61" s="19">
        <f ca="1">CN42*$B$105+CP42*$B$106+CR42*$B$107</f>
        <v>609907.12419707456</v>
      </c>
      <c r="CO61" s="19"/>
      <c r="CP61" s="19"/>
      <c r="CQ61" s="19"/>
      <c r="CR61" s="19"/>
      <c r="CS61" s="19"/>
      <c r="CT61" s="19">
        <f>CT42*$B$105+CV42*$B$106+CX42*$B$107</f>
        <v>217979344.29884294</v>
      </c>
      <c r="CU61" s="19"/>
      <c r="CV61" s="19"/>
      <c r="CW61" s="19"/>
      <c r="CX61" s="19"/>
      <c r="CY61" s="19"/>
      <c r="CZ61" s="19">
        <f ca="1">CZ42*$B$105+DB42*$B$106+DD42*$B$107</f>
        <v>4681477938.1309605</v>
      </c>
      <c r="DA61" s="19"/>
      <c r="DB61" s="19"/>
      <c r="DC61" s="19"/>
      <c r="DD61" s="19"/>
      <c r="DE61" s="19"/>
      <c r="DF61" s="19">
        <f ca="1">DF42*$B$105+DH42*$B$106+DJ42*$B$107</f>
        <v>2683947873.1426363</v>
      </c>
      <c r="DG61" s="19"/>
      <c r="DH61" s="19"/>
      <c r="DI61" s="19"/>
      <c r="DJ61" s="19"/>
      <c r="DK61" s="19"/>
      <c r="DL61" s="19">
        <f ca="1">DL42*$B$105+DN42*$B$106+DP42*$B$107</f>
        <v>3540180176.2692366</v>
      </c>
      <c r="DM61" s="19"/>
      <c r="DN61" s="19"/>
      <c r="DO61" s="19"/>
      <c r="DP61" s="19"/>
      <c r="DQ61" s="19"/>
      <c r="DR61" s="19">
        <f ca="1">DR42*$B$105+DT42*$B$106+DV42*$B$107</f>
        <v>6867679846.4788733</v>
      </c>
      <c r="DS61" s="19"/>
      <c r="DT61" s="19"/>
      <c r="DU61" s="19"/>
      <c r="DV61" s="19"/>
      <c r="DW61" s="19"/>
      <c r="DX61" s="19">
        <f ca="1">DX42*$B$105+DZ42*$B$106+EB42*$B$107</f>
        <v>821031.7355410303</v>
      </c>
      <c r="DY61" s="19"/>
      <c r="DZ61" s="19"/>
      <c r="EA61" s="19"/>
      <c r="EB61" s="19"/>
      <c r="EC61" s="19"/>
      <c r="ED61" s="19">
        <f ca="1">ED42*$B$105+EF42*$B$106+EH42*$B$107</f>
        <v>258281663.006477</v>
      </c>
      <c r="EE61" s="19"/>
      <c r="EF61" s="19"/>
      <c r="EG61" s="19"/>
      <c r="EH61" s="19"/>
      <c r="EI61" s="19"/>
      <c r="EJ61" s="19">
        <f ca="1">EJ42*$B$105+EL42*$B$106+EN42*$B$107</f>
        <v>5120487349.1791286</v>
      </c>
      <c r="EK61" s="19"/>
      <c r="EL61" s="19"/>
      <c r="EM61" s="19"/>
      <c r="EN61" s="19"/>
      <c r="EO61" s="19"/>
    </row>
    <row r="62" spans="1:145" x14ac:dyDescent="0.25">
      <c r="A62" s="16" t="s">
        <v>36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M62" s="19"/>
      <c r="EN62" s="19"/>
      <c r="EO62" s="19"/>
    </row>
    <row r="63" spans="1:145" x14ac:dyDescent="0.25">
      <c r="A63" s="14" t="s">
        <v>38</v>
      </c>
      <c r="B63" s="19">
        <f>B45*$B$105+D45*$B$106+F45*$B$107</f>
        <v>195356191.05475265</v>
      </c>
      <c r="C63" s="19"/>
      <c r="D63" s="19"/>
      <c r="E63" s="19"/>
      <c r="F63" s="19"/>
      <c r="G63" s="19"/>
      <c r="H63" s="19">
        <f>H45*$B$105+J45*$B$106+L45*$B$107</f>
        <v>230108076.10772392</v>
      </c>
      <c r="I63" s="19"/>
      <c r="J63" s="19"/>
      <c r="K63" s="19"/>
      <c r="L63" s="19"/>
      <c r="M63" s="19"/>
      <c r="N63" s="19">
        <f>N45*$B$105+P45*$B$106+R45*$B$107</f>
        <v>341480812.97959948</v>
      </c>
      <c r="O63" s="19"/>
      <c r="P63" s="19"/>
      <c r="Q63" s="19"/>
      <c r="R63" s="19"/>
      <c r="S63" s="19"/>
      <c r="T63" s="19">
        <f>T45*$B$105+V45*$B$106+X45*$B$107</f>
        <v>783786.65079396684</v>
      </c>
      <c r="U63" s="19"/>
      <c r="V63" s="19"/>
      <c r="W63" s="19"/>
      <c r="X63" s="19"/>
      <c r="Y63" s="19"/>
      <c r="Z63" s="19">
        <f>Z45*$B$105+AB45*$B$106+AD45*$B$107</f>
        <v>41458740.554419711</v>
      </c>
      <c r="AA63" s="19"/>
      <c r="AB63" s="19"/>
      <c r="AC63" s="19"/>
      <c r="AD63" s="19"/>
      <c r="AE63" s="19"/>
      <c r="AF63" s="19">
        <f ca="1">AF45*$B$105+AH45*$B$106+AJ45*$B$107</f>
        <v>286803911.49027681</v>
      </c>
      <c r="AG63" s="19"/>
      <c r="AH63" s="19"/>
      <c r="AI63" s="19"/>
      <c r="AJ63" s="19"/>
      <c r="AK63" s="19"/>
      <c r="AL63" s="19">
        <f>AL45*$B$105+AN45*$B$106+AP45*$B$107</f>
        <v>199846568.94061211</v>
      </c>
      <c r="AM63" s="19"/>
      <c r="AN63" s="19"/>
      <c r="AO63" s="19"/>
      <c r="AP63" s="19"/>
      <c r="AQ63" s="19"/>
      <c r="AR63" s="19">
        <f>AR45*$B$105+AT45*$B$106+AV45*$B$107</f>
        <v>237906543.33934963</v>
      </c>
      <c r="AS63" s="19"/>
      <c r="AT63" s="19"/>
      <c r="AU63" s="19"/>
      <c r="AV63" s="19"/>
      <c r="AW63" s="19"/>
      <c r="AX63" s="19">
        <f>AX45*$B$105+AZ45*$B$106+BB45*$B$107</f>
        <v>325590638.44373101</v>
      </c>
      <c r="AY63" s="19"/>
      <c r="AZ63" s="19"/>
      <c r="BA63" s="19"/>
      <c r="BB63" s="19"/>
      <c r="BC63" s="19"/>
      <c r="BD63" s="19">
        <f>BD45*$B$105+BF45*$B$106+BH45*$B$107</f>
        <v>803207.92579348257</v>
      </c>
      <c r="BE63" s="19"/>
      <c r="BF63" s="19"/>
      <c r="BG63" s="19"/>
      <c r="BH63" s="19"/>
      <c r="BI63" s="19"/>
      <c r="BJ63" s="19">
        <f>BJ45*$B$105+BL45*$B$106+BN45*$B$107</f>
        <v>42302903.327050395</v>
      </c>
      <c r="BK63" s="19"/>
      <c r="BL63" s="19"/>
      <c r="BM63" s="19"/>
      <c r="BN63" s="19"/>
      <c r="BO63" s="19"/>
      <c r="BP63" s="19">
        <f ca="1">BP45*$B$105+BR45*$B$106+BT45*$B$107</f>
        <v>302921043.07038838</v>
      </c>
      <c r="BQ63" s="19"/>
      <c r="BR63" s="19"/>
      <c r="BS63" s="19"/>
      <c r="BT63" s="19"/>
      <c r="BU63" s="19"/>
      <c r="BV63" s="19">
        <f>BV45*$B$105+BX45*$B$106+BZ45*$B$107</f>
        <v>187779267.61249316</v>
      </c>
      <c r="BW63" s="19"/>
      <c r="BX63" s="19"/>
      <c r="BY63" s="19"/>
      <c r="BZ63" s="19"/>
      <c r="CA63" s="19"/>
      <c r="CB63" s="19">
        <f>CB45*$B$105+CD45*$B$106+CF45*$B$107</f>
        <v>238583523.29894429</v>
      </c>
      <c r="CC63" s="19"/>
      <c r="CD63" s="19"/>
      <c r="CE63" s="19"/>
      <c r="CF63" s="19"/>
      <c r="CG63" s="19"/>
      <c r="CH63" s="19">
        <f>CH45*$B$105+CJ45*$B$106+CL45*$B$107</f>
        <v>317436725.16002339</v>
      </c>
      <c r="CI63" s="19"/>
      <c r="CJ63" s="19"/>
      <c r="CK63" s="19"/>
      <c r="CL63" s="19"/>
      <c r="CM63" s="19"/>
      <c r="CN63" s="19">
        <f ca="1">CN45*$B$105+CP45*$B$106+CR45*$B$107</f>
        <v>786416.16777975357</v>
      </c>
      <c r="CO63" s="19"/>
      <c r="CP63" s="19"/>
      <c r="CQ63" s="19"/>
      <c r="CR63" s="19"/>
      <c r="CS63" s="19"/>
      <c r="CT63" s="19">
        <f>CT45*$B$105+CV45*$B$106+CX45*$B$107</f>
        <v>39592334.815543704</v>
      </c>
      <c r="CU63" s="19"/>
      <c r="CV63" s="19"/>
      <c r="CW63" s="19"/>
      <c r="CX63" s="19"/>
      <c r="CY63" s="19"/>
      <c r="CZ63" s="19">
        <f ca="1">CZ45*$B$105+DB45*$B$106+DD45*$B$107</f>
        <v>306133670.452438</v>
      </c>
      <c r="DA63" s="19"/>
      <c r="DB63" s="19"/>
      <c r="DC63" s="19"/>
      <c r="DD63" s="19"/>
      <c r="DE63" s="19"/>
      <c r="DF63" s="19">
        <f ca="1">DF45*$B$105+DH45*$B$106+DJ45*$B$107</f>
        <v>211191645.15041518</v>
      </c>
      <c r="DG63" s="19"/>
      <c r="DH63" s="19"/>
      <c r="DI63" s="19"/>
      <c r="DJ63" s="19"/>
      <c r="DK63" s="19"/>
      <c r="DL63" s="19">
        <f ca="1">DL45*$B$105+DN45*$B$106+DP45*$B$107</f>
        <v>253496923.23017424</v>
      </c>
      <c r="DM63" s="19"/>
      <c r="DN63" s="19"/>
      <c r="DO63" s="19"/>
      <c r="DP63" s="19"/>
      <c r="DQ63" s="19"/>
      <c r="DR63" s="19">
        <f ca="1">DR45*$B$105+DT45*$B$106+DV45*$B$107</f>
        <v>395239733.27161342</v>
      </c>
      <c r="DS63" s="19"/>
      <c r="DT63" s="19"/>
      <c r="DU63" s="19"/>
      <c r="DV63" s="19"/>
      <c r="DW63" s="19"/>
      <c r="DX63" s="19">
        <f ca="1">DX45*$B$105+DZ45*$B$106+EB45*$B$107</f>
        <v>958635.80809465225</v>
      </c>
      <c r="DY63" s="19"/>
      <c r="DZ63" s="19"/>
      <c r="EA63" s="19"/>
      <c r="EB63" s="19"/>
      <c r="EC63" s="19"/>
      <c r="ED63" s="19">
        <f ca="1">ED45*$B$105+EF45*$B$106+EH45*$B$107</f>
        <v>44344055.01043164</v>
      </c>
      <c r="EE63" s="19"/>
      <c r="EF63" s="19"/>
      <c r="EG63" s="19"/>
      <c r="EH63" s="19"/>
      <c r="EI63" s="19"/>
      <c r="EJ63" s="19">
        <f ca="1">EJ45*$B$105+EL45*$B$106+EN45*$B$107</f>
        <v>324315092.4747054</v>
      </c>
      <c r="EK63" s="19"/>
      <c r="EL63" s="19"/>
      <c r="EM63" s="19"/>
      <c r="EN63" s="19"/>
      <c r="EO63" s="19"/>
    </row>
    <row r="64" spans="1:145" x14ac:dyDescent="0.25">
      <c r="A64" s="17" t="s">
        <v>43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  <c r="EJ64" s="19"/>
      <c r="EK64" s="19"/>
      <c r="EL64" s="19"/>
      <c r="EM64" s="19"/>
      <c r="EN64" s="19"/>
      <c r="EO64" s="19"/>
    </row>
    <row r="65" spans="1:145" x14ac:dyDescent="0.25">
      <c r="A65" s="15" t="s">
        <v>45</v>
      </c>
      <c r="B65" s="19">
        <f>B48*$B$105+D48*$B$106+F48*$B$107</f>
        <v>5.610225903788095E-2</v>
      </c>
      <c r="C65" s="19"/>
      <c r="D65" s="19"/>
      <c r="E65" s="19"/>
      <c r="F65" s="19"/>
      <c r="G65" s="19"/>
      <c r="H65" s="19">
        <f>H48*$B$105+J48*$B$106+L48*$B$107</f>
        <v>2.8782277473351218E-2</v>
      </c>
      <c r="I65" s="19"/>
      <c r="J65" s="19"/>
      <c r="K65" s="19"/>
      <c r="L65" s="19"/>
      <c r="M65" s="19"/>
      <c r="N65" s="19">
        <f>N48*$B$105+P48*$B$106+R48*$B$107</f>
        <v>3.7781224334641345E-2</v>
      </c>
      <c r="O65" s="19"/>
      <c r="P65" s="19"/>
      <c r="Q65" s="19"/>
      <c r="R65" s="19"/>
      <c r="S65" s="19"/>
      <c r="T65" s="19">
        <f>T48*$B$105+V48*$B$106+X48*$B$107</f>
        <v>1.7291072256054439E-2</v>
      </c>
      <c r="U65" s="19"/>
      <c r="V65" s="19"/>
      <c r="W65" s="19"/>
      <c r="X65" s="19"/>
      <c r="Y65" s="19"/>
      <c r="Z65" s="19">
        <f>Z48*$B$105+AB48*$B$106+AD48*$B$107</f>
        <v>3.0442048354513397E-2</v>
      </c>
      <c r="AA65" s="19"/>
      <c r="AB65" s="19"/>
      <c r="AC65" s="19"/>
      <c r="AD65" s="19"/>
      <c r="AE65" s="19"/>
      <c r="AF65" s="19">
        <f ca="1">AF48*$B$105+AH48*$B$106+AJ48*$B$107</f>
        <v>2.8929924818933032E-2</v>
      </c>
      <c r="AG65" s="19"/>
      <c r="AH65" s="19"/>
      <c r="AI65" s="19"/>
      <c r="AJ65" s="19"/>
      <c r="AK65" s="19"/>
      <c r="AL65" s="19">
        <f>AL48*$B$105+AN48*$B$106+AP48*$B$107</f>
        <v>5.8251263849281067E-2</v>
      </c>
      <c r="AM65" s="19"/>
      <c r="AN65" s="19"/>
      <c r="AO65" s="19"/>
      <c r="AP65" s="19"/>
      <c r="AQ65" s="19"/>
      <c r="AR65" s="19">
        <f>AR48*$B$105+AT48*$B$106+AV48*$B$107</f>
        <v>3.0250133774062396E-2</v>
      </c>
      <c r="AS65" s="19"/>
      <c r="AT65" s="19"/>
      <c r="AU65" s="19"/>
      <c r="AV65" s="19"/>
      <c r="AW65" s="19"/>
      <c r="AX65" s="19">
        <f>AX48*$B$105+AZ48*$B$106+BB48*$B$107</f>
        <v>3.4450642206769952E-2</v>
      </c>
      <c r="AY65" s="19"/>
      <c r="AZ65" s="19"/>
      <c r="BA65" s="19"/>
      <c r="BB65" s="19"/>
      <c r="BC65" s="19"/>
      <c r="BD65" s="19">
        <f>BD48*$B$105+BF48*$B$106+BH48*$B$107</f>
        <v>2.9155947182753425E-2</v>
      </c>
      <c r="BE65" s="19"/>
      <c r="BF65" s="19"/>
      <c r="BG65" s="19"/>
      <c r="BH65" s="19"/>
      <c r="BI65" s="19"/>
      <c r="BJ65" s="19">
        <f>BJ48*$B$105+BL48*$B$106+BN48*$B$107</f>
        <v>3.1631602132156836E-2</v>
      </c>
      <c r="BK65" s="19"/>
      <c r="BL65" s="19"/>
      <c r="BM65" s="19"/>
      <c r="BN65" s="19"/>
      <c r="BO65" s="19"/>
      <c r="BP65" s="19">
        <f ca="1">BP48*$B$105+BR48*$B$106+BT48*$B$107</f>
        <v>3.0243205381587607E-2</v>
      </c>
      <c r="BQ65" s="19"/>
      <c r="BR65" s="19"/>
      <c r="BS65" s="19"/>
      <c r="BT65" s="19"/>
      <c r="BU65" s="19"/>
      <c r="BV65" s="19">
        <f>BV48*$B$105+BX48*$B$106+BZ48*$B$107</f>
        <v>1.186099819656647</v>
      </c>
      <c r="BW65" s="19"/>
      <c r="BX65" s="19"/>
      <c r="BY65" s="19"/>
      <c r="BZ65" s="19"/>
      <c r="CA65" s="19"/>
      <c r="CB65" s="19">
        <f>CB48*$B$105+CD48*$B$106+CF48*$B$107</f>
        <v>3.0257010181901557E-2</v>
      </c>
      <c r="CC65" s="19"/>
      <c r="CD65" s="19"/>
      <c r="CE65" s="19"/>
      <c r="CF65" s="19"/>
      <c r="CG65" s="19"/>
      <c r="CH65" s="19">
        <f>CH48*$B$105+CJ48*$B$106+CL48*$B$107</f>
        <v>3.1514088122824559E-2</v>
      </c>
      <c r="CI65" s="19"/>
      <c r="CJ65" s="19"/>
      <c r="CK65" s="19"/>
      <c r="CL65" s="19"/>
      <c r="CM65" s="19"/>
      <c r="CN65" s="19">
        <f ca="1">CN48*$B$105+CP48*$B$106+CR48*$B$107</f>
        <v>2.524787483481096E-2</v>
      </c>
      <c r="CO65" s="19"/>
      <c r="CP65" s="19"/>
      <c r="CQ65" s="19"/>
      <c r="CR65" s="19"/>
      <c r="CS65" s="19"/>
      <c r="CT65" s="19">
        <f>CT48*$B$105+CV48*$B$106+CX48*$B$107</f>
        <v>0.64623926032827195</v>
      </c>
      <c r="CU65" s="19"/>
      <c r="CV65" s="19"/>
      <c r="CW65" s="19"/>
      <c r="CX65" s="19"/>
      <c r="CY65" s="19"/>
      <c r="CZ65" s="19">
        <f ca="1">CZ48*$B$105+DB48*$B$106+DD48*$B$107</f>
        <v>3.0024440825413175E-2</v>
      </c>
      <c r="DA65" s="19"/>
      <c r="DB65" s="19"/>
      <c r="DC65" s="19"/>
      <c r="DD65" s="19"/>
      <c r="DE65" s="19"/>
      <c r="DF65" s="19">
        <f ca="1">DF48*$B$105+DH48*$B$106+DJ48*$B$107</f>
        <v>6.5098658643699847E-2</v>
      </c>
      <c r="DG65" s="19"/>
      <c r="DH65" s="19"/>
      <c r="DI65" s="19"/>
      <c r="DJ65" s="19"/>
      <c r="DK65" s="19"/>
      <c r="DL65" s="19">
        <f ca="1">DL48*$B$105+DN48*$B$106+DP48*$B$107</f>
        <v>3.039650654118763E-2</v>
      </c>
      <c r="DM65" s="19"/>
      <c r="DN65" s="19"/>
      <c r="DO65" s="19"/>
      <c r="DP65" s="19"/>
      <c r="DQ65" s="19"/>
      <c r="DR65" s="19">
        <f ca="1">DR48*$B$105+DT48*$B$106+DV48*$B$107</f>
        <v>3.1406417689212394E-2</v>
      </c>
      <c r="DS65" s="19"/>
      <c r="DT65" s="19"/>
      <c r="DU65" s="19"/>
      <c r="DV65" s="19"/>
      <c r="DW65" s="19"/>
      <c r="DX65" s="19">
        <f ca="1">DX48*$B$105+DZ48*$B$106+EB48*$B$107</f>
        <v>2.5336982802302774E-2</v>
      </c>
      <c r="DY65" s="19"/>
      <c r="DZ65" s="19"/>
      <c r="EA65" s="19"/>
      <c r="EB65" s="19"/>
      <c r="EC65" s="19"/>
      <c r="ED65" s="19">
        <f ca="1">ED48*$B$105+EF48*$B$106+EH48*$B$107</f>
        <v>3.545766622974629E-2</v>
      </c>
      <c r="EE65" s="19"/>
      <c r="EF65" s="19"/>
      <c r="EG65" s="19"/>
      <c r="EH65" s="19"/>
      <c r="EI65" s="19"/>
      <c r="EJ65" s="19">
        <f ca="1">EJ48*$B$105+EL48*$B$106+EN48*$B$107</f>
        <v>3.0276303297923128E-2</v>
      </c>
      <c r="EK65" s="19"/>
      <c r="EL65" s="19"/>
      <c r="EM65" s="19"/>
      <c r="EN65" s="19"/>
      <c r="EO65" s="19"/>
    </row>
    <row r="66" spans="1:145" ht="30" x14ac:dyDescent="0.25">
      <c r="A66" s="15" t="s">
        <v>115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  <c r="EJ66" s="19"/>
      <c r="EK66" s="19"/>
      <c r="EL66" s="19"/>
      <c r="EM66" s="19"/>
      <c r="EN66" s="19"/>
      <c r="EO66" s="19"/>
    </row>
    <row r="67" spans="1:145" x14ac:dyDescent="0.25">
      <c r="A67" s="16" t="s">
        <v>26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  <c r="EJ67" s="19"/>
      <c r="EK67" s="19"/>
      <c r="EL67" s="19"/>
      <c r="EM67" s="19"/>
      <c r="EN67" s="19"/>
      <c r="EO67" s="19"/>
    </row>
    <row r="68" spans="1:145" x14ac:dyDescent="0.25">
      <c r="A68" s="14" t="s">
        <v>29</v>
      </c>
      <c r="B68" s="19">
        <f ca="1">B51*$C$111+AL51*$D$111+BV51*$E$111+DF51*$F$111</f>
        <v>495876.87472138141</v>
      </c>
      <c r="C68" s="19"/>
      <c r="D68" s="19"/>
      <c r="E68" s="19"/>
      <c r="F68" s="19"/>
      <c r="G68" s="19"/>
      <c r="H68" s="19">
        <f ca="1">H51*$C$112+AR51*$D$112+CB51*$E$112+DL51*$F$112</f>
        <v>601752.39026640402</v>
      </c>
      <c r="I68" s="19"/>
      <c r="J68" s="19"/>
      <c r="K68" s="19"/>
      <c r="L68" s="19"/>
      <c r="M68" s="19"/>
      <c r="N68" s="19">
        <f ca="1">N51*$C$113+AX51*$D$113+CH51*$E$113+DR51*$F$113</f>
        <v>0</v>
      </c>
      <c r="O68" s="19"/>
      <c r="P68" s="19"/>
      <c r="Q68" s="19"/>
      <c r="R68" s="19"/>
      <c r="S68" s="19"/>
      <c r="T68" s="19">
        <f ca="1">T51*$C$110+BD51*$D$110+CN51*$E$110+DX51*$F$110</f>
        <v>7776.8388464921727</v>
      </c>
      <c r="U68" s="19"/>
      <c r="V68" s="19"/>
      <c r="W68" s="19"/>
      <c r="X68" s="19"/>
      <c r="Y68" s="19"/>
      <c r="Z68" s="19">
        <f ca="1">Z51*$C$114+BJ51*$D$114+CT51*$E$114+ED51*$F$114</f>
        <v>126646.98738180767</v>
      </c>
      <c r="AA68" s="19"/>
      <c r="AB68" s="19"/>
      <c r="AC68" s="19"/>
      <c r="AD68" s="19"/>
      <c r="AE68" s="19"/>
      <c r="AF68" s="19">
        <f ca="1">AF51*$C$115+BP51*$D$115+CZ51*$E$115+EJ51*$F$115</f>
        <v>975360.15197072702</v>
      </c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  <c r="EJ68" s="19"/>
      <c r="EK68" s="19"/>
      <c r="EL68" s="19"/>
      <c r="EM68" s="19"/>
      <c r="EN68" s="19"/>
      <c r="EO68" s="19"/>
    </row>
    <row r="69" spans="1:145" x14ac:dyDescent="0.25">
      <c r="A69" s="16" t="s">
        <v>31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  <c r="EJ69" s="19"/>
      <c r="EK69" s="19"/>
      <c r="EL69" s="19"/>
      <c r="EM69" s="19"/>
      <c r="EN69" s="19"/>
      <c r="EO69" s="19"/>
    </row>
    <row r="70" spans="1:145" x14ac:dyDescent="0.25">
      <c r="A70" s="14" t="s">
        <v>34</v>
      </c>
      <c r="B70" s="19">
        <f ca="1">B53*$C$111+AL53*$D$111+BV53*$E$111+DF53*$F$111</f>
        <v>2340895982.4079523</v>
      </c>
      <c r="C70" s="19"/>
      <c r="D70" s="19"/>
      <c r="E70" s="19"/>
      <c r="F70" s="19"/>
      <c r="G70" s="19"/>
      <c r="H70" s="19">
        <f ca="1">H53*$C$112+AR53*$D$112+CB53*$E$112+DL53*$F$112</f>
        <v>3220685419.2167645</v>
      </c>
      <c r="I70" s="19"/>
      <c r="J70" s="19"/>
      <c r="K70" s="19"/>
      <c r="L70" s="19"/>
      <c r="M70" s="19"/>
      <c r="N70" s="19">
        <f ca="1">N53*$C$113+AX53*$D$113+CH53*$E$113+DR53*$F$113</f>
        <v>0</v>
      </c>
      <c r="O70" s="19"/>
      <c r="P70" s="19"/>
      <c r="Q70" s="19"/>
      <c r="R70" s="19"/>
      <c r="S70" s="19"/>
      <c r="T70" s="19">
        <f ca="1">T53*$C$110+BD53*$D$110+CN53*$E$110+DX53*$F$110</f>
        <v>609907.12419707456</v>
      </c>
      <c r="U70" s="19"/>
      <c r="V70" s="19"/>
      <c r="W70" s="19"/>
      <c r="X70" s="19"/>
      <c r="Y70" s="19"/>
      <c r="Z70" s="19">
        <f ca="1">Z53*$C$114+BJ53*$D$114+CT53*$E$114+ED53*$F$114</f>
        <v>238130503.65265995</v>
      </c>
      <c r="AA70" s="19"/>
      <c r="AB70" s="19"/>
      <c r="AC70" s="19"/>
      <c r="AD70" s="19"/>
      <c r="AE70" s="19"/>
      <c r="AF70" s="19">
        <f ca="1">AF53*$C$115+BP53*$D$115+CZ53*$E$115+EJ53*$F$115</f>
        <v>4805764287.2561045</v>
      </c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19"/>
      <c r="EN70" s="19"/>
      <c r="EO70" s="19"/>
    </row>
    <row r="71" spans="1:145" x14ac:dyDescent="0.25">
      <c r="A71" s="16" t="s">
        <v>30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  <c r="EO71" s="19"/>
    </row>
    <row r="72" spans="1:145" x14ac:dyDescent="0.25">
      <c r="A72" s="14" t="s">
        <v>35</v>
      </c>
      <c r="B72" s="19">
        <f ca="1">B55*$C$111+AL55*$D$111+BV55*$E$111+DF55*$F$111</f>
        <v>2338796420.6826258</v>
      </c>
      <c r="C72" s="19"/>
      <c r="D72" s="19"/>
      <c r="E72" s="19"/>
      <c r="F72" s="19"/>
      <c r="G72" s="19"/>
      <c r="H72" s="19">
        <f ca="1">H55*$C$112+AR55*$D$112+CB55*$E$112+DL55*$F$112</f>
        <v>3220680489.3792853</v>
      </c>
      <c r="I72" s="19"/>
      <c r="J72" s="19"/>
      <c r="K72" s="19"/>
      <c r="L72" s="19"/>
      <c r="M72" s="19"/>
      <c r="N72" s="19">
        <f ca="1">N55*$C$113+AX55*$D$113+CH55*$E$113+DR55*$F$113</f>
        <v>0</v>
      </c>
      <c r="O72" s="19"/>
      <c r="P72" s="19"/>
      <c r="Q72" s="19"/>
      <c r="R72" s="19"/>
      <c r="S72" s="19"/>
      <c r="T72" s="19">
        <f ca="1">T55*$C$110+BD55*$D$110+CN55*$E$110+DX55*$F$110</f>
        <v>609876.29328709387</v>
      </c>
      <c r="U72" s="19"/>
      <c r="V72" s="19"/>
      <c r="W72" s="19"/>
      <c r="X72" s="19"/>
      <c r="Y72" s="19"/>
      <c r="Z72" s="19">
        <f ca="1">Z55*$C$114+BJ55*$D$114+CT55*$E$114+ED55*$F$114</f>
        <v>238020962.43980682</v>
      </c>
      <c r="AA72" s="19"/>
      <c r="AB72" s="19"/>
      <c r="AC72" s="19"/>
      <c r="AD72" s="19"/>
      <c r="AE72" s="19"/>
      <c r="AF72" s="19">
        <f ca="1">AF55*$C$115+BP55*$D$115+CZ55*$E$115+EJ55*$F$115</f>
        <v>4805757778.9199371</v>
      </c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  <c r="EJ72" s="19"/>
      <c r="EK72" s="19"/>
      <c r="EL72" s="19"/>
      <c r="EM72" s="19"/>
      <c r="EN72" s="19"/>
      <c r="EO72" s="19"/>
    </row>
    <row r="73" spans="1:145" x14ac:dyDescent="0.25">
      <c r="A73" s="17" t="s">
        <v>46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  <c r="EJ73" s="19"/>
      <c r="EK73" s="19"/>
      <c r="EL73" s="19"/>
      <c r="EM73" s="19"/>
      <c r="EN73" s="19"/>
      <c r="EO73" s="19"/>
    </row>
    <row r="74" spans="1:145" x14ac:dyDescent="0.25">
      <c r="A74" s="15" t="s">
        <v>47</v>
      </c>
      <c r="B74" s="19">
        <f ca="1">B57*$C$111+AL57*$D$111+BV57*$E$111+DF57*$F$111</f>
        <v>22617.764776670101</v>
      </c>
      <c r="C74" s="19"/>
      <c r="D74" s="19"/>
      <c r="E74" s="19"/>
      <c r="F74" s="19"/>
      <c r="G74" s="19"/>
      <c r="H74" s="19">
        <f ca="1">H57*$C$112+AR57*$D$112+CB57*$E$112+DL57*$F$112</f>
        <v>25066.374321348569</v>
      </c>
      <c r="I74" s="19"/>
      <c r="J74" s="19"/>
      <c r="K74" s="19"/>
      <c r="L74" s="19"/>
      <c r="M74" s="19"/>
      <c r="N74" s="19">
        <f ca="1">N57*$C$113+AX57*$D$113+CH57*$E$113+DR57*$F$113</f>
        <v>0</v>
      </c>
      <c r="O74" s="19"/>
      <c r="P74" s="19"/>
      <c r="Q74" s="19"/>
      <c r="R74" s="19"/>
      <c r="S74" s="19"/>
      <c r="T74" s="19">
        <f ca="1">T57*$C$110+BD57*$D$110+CN57*$E$110+DX57*$F$110</f>
        <v>998.04051351870373</v>
      </c>
      <c r="U74" s="19"/>
      <c r="V74" s="19"/>
      <c r="W74" s="19"/>
      <c r="X74" s="19"/>
      <c r="Y74" s="19"/>
      <c r="Z74" s="19">
        <f ca="1">Z57*$C$114+BJ57*$D$114+CT57*$E$114+ED57*$F$114</f>
        <v>8753.5350687889804</v>
      </c>
      <c r="AA74" s="19"/>
      <c r="AB74" s="19"/>
      <c r="AC74" s="19"/>
      <c r="AD74" s="19"/>
      <c r="AE74" s="19"/>
      <c r="AF74" s="19">
        <f ca="1">AF57*$C$115+BP57*$D$115+CZ57*$E$115+EJ57*$F$115</f>
        <v>29745.387239373238</v>
      </c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  <c r="EJ74" s="19"/>
      <c r="EK74" s="19"/>
      <c r="EL74" s="19"/>
      <c r="EM74" s="19"/>
      <c r="EN74" s="19"/>
      <c r="EO74" s="19"/>
    </row>
    <row r="75" spans="1:145" x14ac:dyDescent="0.25">
      <c r="A75" s="17" t="s">
        <v>112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  <c r="EJ75" s="19"/>
      <c r="EK75" s="19"/>
      <c r="EL75" s="19"/>
      <c r="EM75" s="19"/>
      <c r="EN75" s="19"/>
      <c r="EO75" s="19"/>
    </row>
    <row r="76" spans="1:145" x14ac:dyDescent="0.25">
      <c r="A76" s="15" t="s">
        <v>40</v>
      </c>
      <c r="B76" s="19">
        <f ca="1">B59*$C$111+AL59*$D$111+BV59*$E$111+DF59*$F$111</f>
        <v>769534750.46372747</v>
      </c>
      <c r="C76" s="19"/>
      <c r="D76" s="19"/>
      <c r="E76" s="19"/>
      <c r="F76" s="19"/>
      <c r="G76" s="19"/>
      <c r="H76" s="19">
        <f ca="1">H59*$C$112+AR59*$D$112+CB59*$E$112+DL59*$F$112</f>
        <v>799494771.17964947</v>
      </c>
      <c r="I76" s="19"/>
      <c r="J76" s="19"/>
      <c r="K76" s="19"/>
      <c r="L76" s="19"/>
      <c r="M76" s="19"/>
      <c r="N76" s="19">
        <f ca="1">N59*$C$113+AX59*$D$113+CH59*$E$113+DR59*$F$113</f>
        <v>0</v>
      </c>
      <c r="O76" s="19"/>
      <c r="P76" s="19"/>
      <c r="Q76" s="19"/>
      <c r="R76" s="19"/>
      <c r="S76" s="19"/>
      <c r="T76" s="19">
        <f ca="1">T59*$C$110+BD59*$D$110+CN59*$E$110+DX59*$F$110</f>
        <v>850.77366462368866</v>
      </c>
      <c r="U76" s="19"/>
      <c r="V76" s="19"/>
      <c r="W76" s="19"/>
      <c r="X76" s="19"/>
      <c r="Y76" s="19"/>
      <c r="Z76" s="19">
        <f ca="1">Z59*$C$114+BJ59*$D$114+CT59*$E$114+ED59*$F$114</f>
        <v>454539.01104605536</v>
      </c>
      <c r="AA76" s="19"/>
      <c r="AB76" s="19"/>
      <c r="AC76" s="19"/>
      <c r="AD76" s="19"/>
      <c r="AE76" s="19"/>
      <c r="AF76" s="19">
        <f ca="1">AF59*$C$115+BP59*$D$115+CZ59*$E$115+EJ59*$F$115</f>
        <v>6029656431.4055576</v>
      </c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  <c r="EJ76" s="19"/>
      <c r="EK76" s="19"/>
      <c r="EL76" s="19"/>
      <c r="EM76" s="19"/>
      <c r="EN76" s="19"/>
      <c r="EO76" s="19"/>
    </row>
    <row r="77" spans="1:145" x14ac:dyDescent="0.25">
      <c r="A77" s="17" t="s">
        <v>41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19"/>
      <c r="EN77" s="19"/>
      <c r="EO77" s="19"/>
    </row>
    <row r="78" spans="1:145" x14ac:dyDescent="0.25">
      <c r="A78" s="14" t="s">
        <v>42</v>
      </c>
      <c r="B78" s="19">
        <f ca="1">B61*$C$111+AL61*$D$111+BV61*$E$111+DF61*$F$111</f>
        <v>2340895982.4079523</v>
      </c>
      <c r="C78" s="19"/>
      <c r="D78" s="19"/>
      <c r="E78" s="19"/>
      <c r="F78" s="19"/>
      <c r="G78" s="19"/>
      <c r="H78" s="19">
        <f ca="1">H61*$C$112+AR61*$D$112+CB61*$E$112+DL61*$F$112</f>
        <v>3220685419.2167645</v>
      </c>
      <c r="I78" s="19"/>
      <c r="J78" s="19"/>
      <c r="K78" s="19"/>
      <c r="L78" s="19"/>
      <c r="M78" s="19"/>
      <c r="N78" s="19">
        <f ca="1">N61*$C$113+AX61*$D$113+CH61*$E$113+DR61*$F$113</f>
        <v>0</v>
      </c>
      <c r="O78" s="19"/>
      <c r="P78" s="19"/>
      <c r="Q78" s="19"/>
      <c r="R78" s="19"/>
      <c r="S78" s="19"/>
      <c r="T78" s="19">
        <f ca="1">T61*$C$110+BD61*$D$110+CN61*$E$110+DX61*$F$110</f>
        <v>609907.12419707456</v>
      </c>
      <c r="U78" s="19"/>
      <c r="V78" s="19"/>
      <c r="W78" s="19"/>
      <c r="X78" s="19"/>
      <c r="Y78" s="19"/>
      <c r="Z78" s="19">
        <f ca="1">Z61*$C$114+BJ61*$D$114+CT61*$E$114+ED61*$F$114</f>
        <v>238130503.65265995</v>
      </c>
      <c r="AA78" s="19"/>
      <c r="AB78" s="19"/>
      <c r="AC78" s="19"/>
      <c r="AD78" s="19"/>
      <c r="AE78" s="19"/>
      <c r="AF78" s="19">
        <f ca="1">AF61*$C$115+BP61*$D$115+CZ61*$E$115+EJ61*$F$115</f>
        <v>4805764287.2561045</v>
      </c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M78" s="19"/>
      <c r="EN78" s="19"/>
      <c r="EO78" s="19"/>
    </row>
    <row r="79" spans="1:145" x14ac:dyDescent="0.25">
      <c r="A79" s="16" t="s">
        <v>36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  <c r="EJ79" s="19"/>
      <c r="EK79" s="19"/>
      <c r="EL79" s="19"/>
      <c r="EM79" s="19"/>
      <c r="EN79" s="19"/>
      <c r="EO79" s="19"/>
    </row>
    <row r="80" spans="1:145" x14ac:dyDescent="0.25">
      <c r="A80" s="14" t="s">
        <v>38</v>
      </c>
      <c r="B80" s="19">
        <f ca="1">B63*$C$111+AL63*$D$111+BV63*$E$111+DF63*$F$111</f>
        <v>192606188.14374074</v>
      </c>
      <c r="C80" s="19"/>
      <c r="D80" s="19"/>
      <c r="E80" s="19"/>
      <c r="F80" s="19"/>
      <c r="G80" s="19"/>
      <c r="H80" s="19">
        <f ca="1">H63*$C$112+AR63*$D$112+CB63*$E$112+DL63*$F$112</f>
        <v>238583523.29894429</v>
      </c>
      <c r="I80" s="19"/>
      <c r="J80" s="19"/>
      <c r="K80" s="19"/>
      <c r="L80" s="19"/>
      <c r="M80" s="19"/>
      <c r="N80" s="19">
        <f ca="1">N63*$C$113+AX63*$D$113+CH63*$E$113+DR63*$F$113</f>
        <v>0</v>
      </c>
      <c r="O80" s="19"/>
      <c r="P80" s="19"/>
      <c r="Q80" s="19"/>
      <c r="R80" s="19"/>
      <c r="S80" s="19"/>
      <c r="T80" s="19">
        <f ca="1">T63*$C$110+BD63*$D$110+CN63*$E$110+DX63*$F$110</f>
        <v>786416.16777975357</v>
      </c>
      <c r="U80" s="19"/>
      <c r="V80" s="19"/>
      <c r="W80" s="19"/>
      <c r="X80" s="19"/>
      <c r="Y80" s="19"/>
      <c r="Z80" s="19">
        <f ca="1">Z63*$C$114+BJ63*$D$114+CT63*$E$114+ED63*$F$114</f>
        <v>41968194.912987672</v>
      </c>
      <c r="AA80" s="19"/>
      <c r="AB80" s="19"/>
      <c r="AC80" s="19"/>
      <c r="AD80" s="19"/>
      <c r="AE80" s="19"/>
      <c r="AF80" s="19">
        <f ca="1">AF63*$C$115+BP63*$D$115+CZ63*$E$115+EJ63*$F$115</f>
        <v>311266834.32091326</v>
      </c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</row>
    <row r="81" spans="1:145" x14ac:dyDescent="0.25">
      <c r="A81" s="17" t="s">
        <v>43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</row>
    <row r="82" spans="1:145" x14ac:dyDescent="0.25">
      <c r="A82" s="15" t="s">
        <v>45</v>
      </c>
      <c r="B82" s="19">
        <f ca="1">B65*$C$111+AL65*$D$111+BV65*$E$111+DF65*$F$111</f>
        <v>0.73496039733370055</v>
      </c>
      <c r="C82" s="19"/>
      <c r="D82" s="19"/>
      <c r="E82" s="19"/>
      <c r="F82" s="19"/>
      <c r="G82" s="19"/>
      <c r="H82" s="19">
        <f ca="1">H65*$C$112+AR65*$D$112+CB65*$E$112+DL65*$F$112</f>
        <v>3.0257010181901557E-2</v>
      </c>
      <c r="I82" s="19"/>
      <c r="J82" s="19"/>
      <c r="K82" s="19"/>
      <c r="L82" s="19"/>
      <c r="M82" s="19"/>
      <c r="N82" s="19">
        <f ca="1">N65*$C$113+AX65*$D$113+CH65*$E$113+DR65*$F$113</f>
        <v>0</v>
      </c>
      <c r="O82" s="19"/>
      <c r="P82" s="19"/>
      <c r="Q82" s="19"/>
      <c r="R82" s="19"/>
      <c r="S82" s="19"/>
      <c r="T82" s="19">
        <f ca="1">T65*$C$110+BD65*$D$110+CN65*$E$110+DX65*$F$110</f>
        <v>2.524787483481096E-2</v>
      </c>
      <c r="U82" s="19"/>
      <c r="V82" s="19"/>
      <c r="W82" s="19"/>
      <c r="X82" s="19"/>
      <c r="Y82" s="19"/>
      <c r="Z82" s="19">
        <f ca="1">Z65*$C$114+BJ65*$D$114+CT65*$E$114+ED65*$F$114</f>
        <v>0.34084846327900914</v>
      </c>
      <c r="AA82" s="19"/>
      <c r="AB82" s="19"/>
      <c r="AC82" s="19"/>
      <c r="AD82" s="19"/>
      <c r="AE82" s="19"/>
      <c r="AF82" s="19">
        <f ca="1">AF65*$C$115+BP65*$D$115+CZ65*$E$115+EJ65*$F$115</f>
        <v>3.0121876022783604E-2</v>
      </c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</row>
    <row r="83" spans="1:145" x14ac:dyDescent="0.25">
      <c r="A83" s="15" t="s">
        <v>116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</row>
    <row r="84" spans="1:145" x14ac:dyDescent="0.25">
      <c r="A84" s="16" t="s">
        <v>26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19"/>
      <c r="EN84" s="19"/>
      <c r="EO84" s="19"/>
    </row>
    <row r="85" spans="1:145" x14ac:dyDescent="0.25">
      <c r="A85" s="14" t="s">
        <v>29</v>
      </c>
      <c r="B85" s="19">
        <f ca="1">B68*$B$111+H68*$B$112+N68*$B$113+T68*$B$110+Z68*$B$114+AF68*$B$115</f>
        <v>502660.66137591196</v>
      </c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</row>
    <row r="86" spans="1:145" x14ac:dyDescent="0.25">
      <c r="A86" s="16" t="s">
        <v>31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</row>
    <row r="87" spans="1:145" x14ac:dyDescent="0.25">
      <c r="A87" s="14" t="s">
        <v>34</v>
      </c>
      <c r="B87" s="19">
        <f ca="1">B70*$B$111+H70*$B$112+N70*$B$113+T70*$B$110+Z70*$B$114+AF70*$B$115</f>
        <v>2380455232.6767387</v>
      </c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</row>
    <row r="88" spans="1:145" x14ac:dyDescent="0.25">
      <c r="A88" s="16" t="s">
        <v>30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</row>
    <row r="89" spans="1:145" x14ac:dyDescent="0.25">
      <c r="A89" s="14" t="s">
        <v>35</v>
      </c>
      <c r="B89" s="19">
        <f ca="1">B72*$B$111+H72*$B$112+N72*$B$113+T72*$B$110+Z72*$B$114+AF72*$B$115</f>
        <v>2378522230.2288694</v>
      </c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</row>
    <row r="90" spans="1:145" x14ac:dyDescent="0.25">
      <c r="A90" s="17" t="s">
        <v>46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</row>
    <row r="91" spans="1:145" x14ac:dyDescent="0.25">
      <c r="A91" s="15" t="s">
        <v>47</v>
      </c>
      <c r="B91" s="19">
        <f ca="1">B74*$B$111+H74*$B$112+N74*$B$113+T74*$B$110+Z74*$B$114+AF74*$B$115</f>
        <v>22356.318988283172</v>
      </c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</row>
    <row r="92" spans="1:145" x14ac:dyDescent="0.25">
      <c r="A92" s="17" t="s">
        <v>112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</row>
    <row r="93" spans="1:145" x14ac:dyDescent="0.25">
      <c r="A93" s="15" t="s">
        <v>40</v>
      </c>
      <c r="B93" s="19">
        <f ca="1">B76*$B$111+H76*$B$112+N76*$B$113+T76*$B$110+Z76*$B$114+AF76*$B$115</f>
        <v>957157737.80023193</v>
      </c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</row>
    <row r="94" spans="1:145" x14ac:dyDescent="0.25">
      <c r="A94" s="17" t="s">
        <v>41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</row>
    <row r="95" spans="1:145" x14ac:dyDescent="0.25">
      <c r="A95" s="14" t="s">
        <v>42</v>
      </c>
      <c r="B95" s="19">
        <f ca="1">B78*$B$111+H78*$B$112+N78*$B$113+T78*$B$110+Z78*$B$114+AF78*$B$115</f>
        <v>2380455232.6767387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</row>
    <row r="96" spans="1:145" x14ac:dyDescent="0.25">
      <c r="A96" s="16" t="s">
        <v>36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</row>
    <row r="97" spans="1:145" x14ac:dyDescent="0.25">
      <c r="A97" s="14" t="s">
        <v>38</v>
      </c>
      <c r="B97" s="19">
        <f ca="1">B80*$B$111+H80*$B$112+N80*$B$113+T80*$B$110+Z80*$B$114+AF80*$B$115</f>
        <v>192469611.97055292</v>
      </c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</row>
    <row r="98" spans="1:145" ht="14.25" customHeight="1" x14ac:dyDescent="0.25">
      <c r="A98" s="17" t="s">
        <v>43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</row>
    <row r="99" spans="1:145" x14ac:dyDescent="0.25">
      <c r="A99" s="15" t="s">
        <v>45</v>
      </c>
      <c r="B99" s="19">
        <f ca="1">B82*$B$111+H82*$B$112+N82*$B$113+T82*$B$110+Z82*$B$114+AF82*$B$115</f>
        <v>0.6815844528192212</v>
      </c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</row>
    <row r="101" spans="1:145" x14ac:dyDescent="0.25">
      <c r="A101" s="21" t="s">
        <v>58</v>
      </c>
      <c r="B101" s="22" t="s">
        <v>61</v>
      </c>
    </row>
    <row r="102" spans="1:145" ht="23.25" customHeight="1" x14ac:dyDescent="0.25">
      <c r="A102" s="21" t="s">
        <v>59</v>
      </c>
      <c r="B102" s="22">
        <f>'типовая конструкция'!B102</f>
        <v>180</v>
      </c>
    </row>
    <row r="103" spans="1:145" ht="35.25" customHeight="1" x14ac:dyDescent="0.25">
      <c r="A103" s="21" t="s">
        <v>63</v>
      </c>
      <c r="B103" s="22">
        <f>'типовая конструкция'!B103</f>
        <v>1</v>
      </c>
    </row>
    <row r="104" spans="1:145" x14ac:dyDescent="0.25">
      <c r="A104" s="21" t="s">
        <v>60</v>
      </c>
      <c r="B104" s="22">
        <f>'типовая конструкция'!B104</f>
        <v>1</v>
      </c>
    </row>
    <row r="105" spans="1:145" ht="30" x14ac:dyDescent="0.25">
      <c r="A105" s="94" t="s">
        <v>62</v>
      </c>
      <c r="B105" s="22">
        <f>'типовая конструкция'!B105</f>
        <v>0.65</v>
      </c>
      <c r="C105" s="261" t="str">
        <f>IF(B105+B106+B107=1,"доли плана ВЕРНЫ","доли плана НЕ ВЕРНЫ")</f>
        <v>доли плана ВЕРНЫ</v>
      </c>
    </row>
    <row r="106" spans="1:145" x14ac:dyDescent="0.25">
      <c r="A106" s="94" t="s">
        <v>117</v>
      </c>
      <c r="B106" s="22">
        <f>'типовая конструкция'!B106</f>
        <v>0.3</v>
      </c>
      <c r="C106" s="261"/>
    </row>
    <row r="107" spans="1:145" ht="22.5" customHeight="1" x14ac:dyDescent="0.25">
      <c r="A107" s="94" t="s">
        <v>118</v>
      </c>
      <c r="B107" s="22">
        <f>'типовая конструкция'!B107</f>
        <v>0.05</v>
      </c>
      <c r="C107" s="262"/>
    </row>
    <row r="108" spans="1:145" ht="22.5" customHeight="1" x14ac:dyDescent="0.25">
      <c r="A108" s="266" t="s">
        <v>64</v>
      </c>
      <c r="B108" s="268" t="s">
        <v>70</v>
      </c>
      <c r="C108" s="270" t="s">
        <v>81</v>
      </c>
      <c r="D108" s="270" t="s">
        <v>82</v>
      </c>
      <c r="E108" s="270" t="s">
        <v>83</v>
      </c>
      <c r="F108" s="270" t="s">
        <v>71</v>
      </c>
      <c r="G108" s="274" t="s">
        <v>107</v>
      </c>
      <c r="H108" s="278" t="s">
        <v>105</v>
      </c>
      <c r="I108" s="278"/>
      <c r="J108" s="278" t="s">
        <v>106</v>
      </c>
      <c r="K108" s="278"/>
    </row>
    <row r="109" spans="1:145" ht="31.5" customHeight="1" x14ac:dyDescent="0.25">
      <c r="A109" s="267"/>
      <c r="B109" s="269"/>
      <c r="C109" s="270"/>
      <c r="D109" s="270"/>
      <c r="E109" s="270"/>
      <c r="F109" s="270"/>
      <c r="G109" s="275"/>
      <c r="H109" s="94" t="s">
        <v>103</v>
      </c>
      <c r="I109" s="94" t="s">
        <v>104</v>
      </c>
      <c r="J109" s="94" t="s">
        <v>103</v>
      </c>
      <c r="K109" s="94" t="s">
        <v>104</v>
      </c>
    </row>
    <row r="110" spans="1:145" ht="53.25" customHeight="1" x14ac:dyDescent="0.25">
      <c r="A110" s="23" t="s">
        <v>65</v>
      </c>
      <c r="B110" s="22">
        <f>'типовая конструкция'!B110</f>
        <v>0.02</v>
      </c>
      <c r="C110" s="22">
        <f>'типовая конструкция'!C110</f>
        <v>0</v>
      </c>
      <c r="D110" s="22">
        <f>'типовая конструкция'!D110</f>
        <v>0</v>
      </c>
      <c r="E110" s="22">
        <f>'типовая конструкция'!E110</f>
        <v>1</v>
      </c>
      <c r="F110" s="22">
        <f>'типовая конструкция'!F110</f>
        <v>0</v>
      </c>
      <c r="G110" s="28" t="str">
        <f>IF(B110=0,(IF(C110+D110+E110+F110=0,"доли скорости ВЕРНЫ","доли скорости НЕ ВЕРНЫ")),(IF(C110+D110+E110+F110=1,"доли скорости ВЕРНЫ","доли скорости НЕ ВЕРНЫ")))</f>
        <v>доли скорости ВЕРНЫ</v>
      </c>
      <c r="H110" s="22">
        <f>'типовая конструкция'!H110</f>
        <v>1</v>
      </c>
      <c r="I110" s="22">
        <f>'типовая конструкция'!I110</f>
        <v>1</v>
      </c>
      <c r="J110" s="22">
        <f>'типовая конструкция'!J110</f>
        <v>1</v>
      </c>
      <c r="K110" s="22">
        <f>'типовая конструкция'!K110</f>
        <v>1</v>
      </c>
    </row>
    <row r="111" spans="1:145" ht="51" customHeight="1" x14ac:dyDescent="0.25">
      <c r="A111" s="23" t="s">
        <v>66</v>
      </c>
      <c r="B111" s="22">
        <f>'типовая конструкция'!B111</f>
        <v>0.92</v>
      </c>
      <c r="C111" s="22">
        <f>'типовая конструкция'!C111</f>
        <v>0</v>
      </c>
      <c r="D111" s="22">
        <f>'типовая конструкция'!D111</f>
        <v>0.4</v>
      </c>
      <c r="E111" s="22">
        <f>'типовая конструкция'!E111</f>
        <v>0.6</v>
      </c>
      <c r="F111" s="22">
        <f>'типовая конструкция'!F111</f>
        <v>0</v>
      </c>
      <c r="G111" s="29" t="str">
        <f t="shared" ref="G111:G115" si="521">IF(B111=0,(IF(C111+D111+E111+F111=0,"доли скорости ВЕРНЫ","доли скорости НЕ ВЕРНЫ")),(IF(C111+D111+E111+F111=1,"доли скорости ВЕРНЫ","доли скорости НЕ ВЕРНЫ")))</f>
        <v>доли скорости ВЕРНЫ</v>
      </c>
      <c r="H111" s="22">
        <f>'типовая конструкция'!H111</f>
        <v>1</v>
      </c>
      <c r="I111" s="22">
        <f>'типовая конструкция'!I111</f>
        <v>1</v>
      </c>
      <c r="J111" s="22">
        <f>'типовая конструкция'!J111</f>
        <v>1</v>
      </c>
      <c r="K111" s="22">
        <f>'типовая конструкция'!K111</f>
        <v>1</v>
      </c>
    </row>
    <row r="112" spans="1:145" ht="47.25" customHeight="1" x14ac:dyDescent="0.25">
      <c r="A112" s="23" t="s">
        <v>67</v>
      </c>
      <c r="B112" s="22">
        <f>'типовая конструкция'!B112</f>
        <v>0.01</v>
      </c>
      <c r="C112" s="22">
        <f>'типовая конструкция'!C112</f>
        <v>0</v>
      </c>
      <c r="D112" s="22">
        <f>'типовая конструкция'!D112</f>
        <v>0</v>
      </c>
      <c r="E112" s="22">
        <f>'типовая конструкция'!E112</f>
        <v>1</v>
      </c>
      <c r="F112" s="22">
        <f>'типовая конструкция'!F112</f>
        <v>0</v>
      </c>
      <c r="G112" s="30" t="str">
        <f t="shared" si="521"/>
        <v>доли скорости ВЕРНЫ</v>
      </c>
      <c r="H112" s="22">
        <f>'типовая конструкция'!H112</f>
        <v>1</v>
      </c>
      <c r="I112" s="22">
        <f>'типовая конструкция'!I112</f>
        <v>1</v>
      </c>
      <c r="J112" s="22">
        <f>'типовая конструкция'!J112</f>
        <v>1</v>
      </c>
      <c r="K112" s="22">
        <f>'типовая конструкция'!K112</f>
        <v>1</v>
      </c>
    </row>
    <row r="113" spans="1:11" ht="48" customHeight="1" x14ac:dyDescent="0.25">
      <c r="A113" s="23" t="s">
        <v>68</v>
      </c>
      <c r="B113" s="22">
        <f>'типовая конструкция'!B113</f>
        <v>0</v>
      </c>
      <c r="C113" s="22">
        <f>'типовая конструкция'!C113</f>
        <v>0</v>
      </c>
      <c r="D113" s="22">
        <f>'типовая конструкция'!D113</f>
        <v>0</v>
      </c>
      <c r="E113" s="22">
        <f>'типовая конструкция'!E113</f>
        <v>0</v>
      </c>
      <c r="F113" s="22">
        <f>'типовая конструкция'!F113</f>
        <v>0</v>
      </c>
      <c r="G113" s="31" t="str">
        <f t="shared" si="521"/>
        <v>доли скорости ВЕРНЫ</v>
      </c>
      <c r="H113" s="22">
        <f>'типовая конструкция'!H113</f>
        <v>1</v>
      </c>
      <c r="I113" s="22">
        <f>'типовая конструкция'!I113</f>
        <v>1</v>
      </c>
      <c r="J113" s="22">
        <f>'типовая конструкция'!J113</f>
        <v>1</v>
      </c>
      <c r="K113" s="22">
        <f>'типовая конструкция'!K113</f>
        <v>1</v>
      </c>
    </row>
    <row r="114" spans="1:11" ht="42.75" customHeight="1" x14ac:dyDescent="0.25">
      <c r="A114" s="23" t="s">
        <v>72</v>
      </c>
      <c r="B114" s="22">
        <f>'типовая конструкция'!B114</f>
        <v>0.01</v>
      </c>
      <c r="C114" s="22">
        <f>'типовая конструкция'!C114</f>
        <v>0</v>
      </c>
      <c r="D114" s="22">
        <f>'типовая конструкция'!D114</f>
        <v>0</v>
      </c>
      <c r="E114" s="22">
        <f>'типовая конструкция'!E114</f>
        <v>0.5</v>
      </c>
      <c r="F114" s="22">
        <f>'типовая конструкция'!F114</f>
        <v>0.5</v>
      </c>
      <c r="G114" s="32" t="str">
        <f t="shared" si="521"/>
        <v>доли скорости ВЕРНЫ</v>
      </c>
      <c r="H114" s="22">
        <f>'типовая конструкция'!H114</f>
        <v>1</v>
      </c>
      <c r="I114" s="22">
        <f>'типовая конструкция'!I114</f>
        <v>1</v>
      </c>
      <c r="J114" s="22">
        <f>'типовая конструкция'!J114</f>
        <v>1</v>
      </c>
      <c r="K114" s="22">
        <f>'типовая конструкция'!K114</f>
        <v>1</v>
      </c>
    </row>
    <row r="115" spans="1:11" ht="45.75" customHeight="1" x14ac:dyDescent="0.25">
      <c r="A115" s="23" t="s">
        <v>69</v>
      </c>
      <c r="B115" s="22">
        <f>'типовая конструкция'!B115</f>
        <v>0.04</v>
      </c>
      <c r="C115" s="22">
        <f>'типовая конструкция'!C115</f>
        <v>0</v>
      </c>
      <c r="D115" s="22">
        <f>'типовая конструкция'!D115</f>
        <v>0.1</v>
      </c>
      <c r="E115" s="22">
        <f>'типовая конструкция'!E115</f>
        <v>0.6</v>
      </c>
      <c r="F115" s="22">
        <f>'типовая конструкция'!F115</f>
        <v>0.3</v>
      </c>
      <c r="G115" s="33" t="str">
        <f t="shared" si="521"/>
        <v>доли скорости ВЕРНЫ</v>
      </c>
      <c r="H115" s="22">
        <f>'типовая конструкция'!H115</f>
        <v>1</v>
      </c>
      <c r="I115" s="22">
        <f>'типовая конструкция'!I115</f>
        <v>1</v>
      </c>
      <c r="J115" s="22">
        <f>'типовая конструкция'!J115</f>
        <v>1</v>
      </c>
      <c r="K115" s="22">
        <f>'типовая конструкция'!K115</f>
        <v>1</v>
      </c>
    </row>
    <row r="116" spans="1:11" ht="52.5" customHeight="1" x14ac:dyDescent="0.25">
      <c r="A116" s="15"/>
      <c r="B116" s="24" t="str">
        <f>IF(SUM(B110:B115)=1,"доли в потоке ВЕРНЫ","доли в потоке НЕ ВЕРНЫ")</f>
        <v>доли в потоке ВЕРНЫ</v>
      </c>
      <c r="C116" s="15"/>
      <c r="D116" s="15"/>
      <c r="E116" s="15"/>
      <c r="F116" s="15"/>
      <c r="G116" s="26"/>
      <c r="H116" s="27"/>
    </row>
    <row r="117" spans="1:11" ht="52.5" customHeight="1" x14ac:dyDescent="0.25">
      <c r="A117" s="15" t="s">
        <v>120</v>
      </c>
      <c r="B117" s="15">
        <f>B110*6+B111*23.5+B112*25+B113*27+B114*16+B115*25</f>
        <v>23.150000000000002</v>
      </c>
      <c r="C117" s="15"/>
      <c r="D117" s="15"/>
      <c r="E117" s="15"/>
      <c r="F117" s="15"/>
      <c r="G117" s="26"/>
      <c r="H117" s="27"/>
    </row>
    <row r="118" spans="1:11" ht="63" customHeight="1" x14ac:dyDescent="0.25">
      <c r="A118" s="15"/>
      <c r="B118" s="272" t="s">
        <v>74</v>
      </c>
      <c r="C118" s="270" t="s">
        <v>73</v>
      </c>
      <c r="D118" s="270"/>
      <c r="E118" s="270"/>
      <c r="F118" s="270"/>
      <c r="G118" s="270"/>
      <c r="H118" s="270"/>
      <c r="I118" s="274" t="s">
        <v>149</v>
      </c>
      <c r="J118" s="276" t="s">
        <v>150</v>
      </c>
    </row>
    <row r="119" spans="1:11" ht="62.25" customHeight="1" x14ac:dyDescent="0.25">
      <c r="B119" s="272"/>
      <c r="C119" s="95" t="s">
        <v>75</v>
      </c>
      <c r="D119" s="95" t="s">
        <v>76</v>
      </c>
      <c r="E119" s="95" t="s">
        <v>77</v>
      </c>
      <c r="F119" s="95" t="s">
        <v>78</v>
      </c>
      <c r="G119" s="95" t="s">
        <v>79</v>
      </c>
      <c r="H119" s="95" t="s">
        <v>80</v>
      </c>
      <c r="I119" s="275"/>
      <c r="J119" s="277"/>
    </row>
    <row r="120" spans="1:11" ht="20.25" customHeight="1" x14ac:dyDescent="0.25">
      <c r="A120" s="24" t="s">
        <v>26</v>
      </c>
      <c r="B120" s="95">
        <f ca="1">B85</f>
        <v>502660.66137591196</v>
      </c>
      <c r="C120" s="79">
        <f>рельсы!N14</f>
        <v>1.0737000000000001E-63</v>
      </c>
      <c r="D120" s="79">
        <f>рельсы!N15</f>
        <v>-1.81314E-50</v>
      </c>
      <c r="E120" s="79">
        <f>рельсы!N16</f>
        <v>1.4607900000000001E-37</v>
      </c>
      <c r="F120" s="79">
        <f>рельсы!N17</f>
        <v>-4.5002700000000004E-25</v>
      </c>
      <c r="G120" s="79">
        <f>рельсы!N18</f>
        <v>8.5547699999999999E-13</v>
      </c>
      <c r="H120" s="95">
        <f>рельсы!N19</f>
        <v>0</v>
      </c>
      <c r="I120" s="112">
        <f>'Единичные ставки+критерии'!C65</f>
        <v>32.928750000000001</v>
      </c>
      <c r="J120" s="95">
        <v>0.03</v>
      </c>
    </row>
    <row r="121" spans="1:11" ht="16.5" customHeight="1" x14ac:dyDescent="0.25">
      <c r="A121" s="24" t="s">
        <v>31</v>
      </c>
      <c r="B121" s="95">
        <f ca="1">B87</f>
        <v>2380455232.6767387</v>
      </c>
      <c r="C121" s="79">
        <f>скрепления!N14</f>
        <v>-1.9979000000000001E-86</v>
      </c>
      <c r="D121" s="79">
        <f>скрепления!N15</f>
        <v>3.4085E-68</v>
      </c>
      <c r="E121" s="79">
        <f>скрепления!N16</f>
        <v>-1.9800999999999999E-50</v>
      </c>
      <c r="F121" s="79">
        <f>скрепления!N17</f>
        <v>4.4174000000000003E-33</v>
      </c>
      <c r="G121" s="79">
        <f>скрепления!N18</f>
        <v>-1.1569000000000001E-16</v>
      </c>
      <c r="H121" s="95">
        <v>0</v>
      </c>
      <c r="I121" s="112">
        <f>'Единичные ставки+критерии'!C105</f>
        <v>3.2423999999999999</v>
      </c>
      <c r="J121" s="95">
        <v>1E-3</v>
      </c>
    </row>
    <row r="122" spans="1:11" ht="19.5" customHeight="1" x14ac:dyDescent="0.25">
      <c r="A122" s="24" t="s">
        <v>30</v>
      </c>
      <c r="B122" s="95">
        <f ca="1">B89</f>
        <v>2378522230.2288694</v>
      </c>
      <c r="C122" s="79">
        <f>Шпалы!N14</f>
        <v>-1.248E-86</v>
      </c>
      <c r="D122" s="79">
        <f>Шпалы!N15</f>
        <v>2.1293999999999999E-68</v>
      </c>
      <c r="E122" s="79">
        <f>Шпалы!N16</f>
        <v>-1.2371E-50</v>
      </c>
      <c r="F122" s="79">
        <f>Шпалы!N17</f>
        <v>2.7604000000000001E-33</v>
      </c>
      <c r="G122" s="79">
        <f>Шпалы!N18</f>
        <v>-7.2329000000000004E-17</v>
      </c>
      <c r="H122" s="95">
        <f>скрепления!N19</f>
        <v>0</v>
      </c>
      <c r="I122" s="112">
        <f>'Единичные ставки+критерии'!C39</f>
        <v>5.43</v>
      </c>
      <c r="J122" s="38">
        <v>1E-3</v>
      </c>
    </row>
    <row r="123" spans="1:11" ht="18" customHeight="1" x14ac:dyDescent="0.25">
      <c r="A123" s="68" t="s">
        <v>46</v>
      </c>
      <c r="B123" s="95">
        <f ca="1">B91</f>
        <v>22356.318988283172</v>
      </c>
      <c r="C123" s="79">
        <f>балласт!N14</f>
        <v>1.5542999999999999E-59</v>
      </c>
      <c r="D123" s="79">
        <f>балласт!N15</f>
        <v>-9.9424999999999991E-47</v>
      </c>
      <c r="E123" s="79">
        <f>балласт!N16</f>
        <v>2.3518E-34</v>
      </c>
      <c r="F123" s="79">
        <f>балласт!N17</f>
        <v>-2.5819999999999998E-22</v>
      </c>
      <c r="G123" s="79">
        <f>балласт!N18</f>
        <v>1.3875000000000001E-10</v>
      </c>
      <c r="H123" s="95">
        <f>балласт!N19</f>
        <v>0</v>
      </c>
      <c r="I123" s="112">
        <v>0</v>
      </c>
      <c r="J123" s="67">
        <v>0</v>
      </c>
    </row>
    <row r="124" spans="1:11" ht="17.25" customHeight="1" x14ac:dyDescent="0.25">
      <c r="A124" s="68" t="s">
        <v>39</v>
      </c>
      <c r="B124" s="95">
        <f ca="1">B93</f>
        <v>957157737.80023193</v>
      </c>
      <c r="C124" s="95">
        <v>0</v>
      </c>
      <c r="D124" s="95">
        <v>0</v>
      </c>
      <c r="E124" s="95">
        <v>0</v>
      </c>
      <c r="F124" s="95">
        <v>0</v>
      </c>
      <c r="G124" s="95">
        <v>0</v>
      </c>
      <c r="H124" s="95">
        <v>0</v>
      </c>
      <c r="I124" s="112">
        <v>0</v>
      </c>
      <c r="J124" s="67">
        <v>0</v>
      </c>
    </row>
    <row r="125" spans="1:11" ht="15.75" customHeight="1" x14ac:dyDescent="0.25">
      <c r="A125" s="24" t="s">
        <v>94</v>
      </c>
      <c r="B125" s="95">
        <f ca="1">B95</f>
        <v>2380455232.6767387</v>
      </c>
      <c r="C125" s="95">
        <f>'Неисправности Колеи(КБ-65)'!I25</f>
        <v>0</v>
      </c>
      <c r="D125" s="95">
        <f>'Неисправности Колеи(КБ-65)'!I26</f>
        <v>-2.511E-70</v>
      </c>
      <c r="E125" s="95">
        <f>'Неисправности Колеи(КБ-65)'!I27</f>
        <v>2.1139999999999999E-52</v>
      </c>
      <c r="F125" s="95">
        <f>'Неисправности Колеи(КБ-65)'!I28</f>
        <v>3.9890000000000001E-35</v>
      </c>
      <c r="G125" s="95">
        <f>'Неисправности Колеи(КБ-65)'!I29</f>
        <v>6.4889999999999999E-18</v>
      </c>
      <c r="H125" s="95">
        <f>'Неисправности Колеи(КБ-65)'!I30</f>
        <v>0</v>
      </c>
      <c r="I125" s="112">
        <f>I126*0.75</f>
        <v>0.67640624999999999</v>
      </c>
      <c r="J125" s="95">
        <v>5.0000000000000001E-3</v>
      </c>
    </row>
    <row r="126" spans="1:11" ht="15.75" customHeight="1" x14ac:dyDescent="0.25">
      <c r="A126" s="24" t="s">
        <v>95</v>
      </c>
      <c r="B126" s="95">
        <f ca="1">B95</f>
        <v>2380455232.6767387</v>
      </c>
      <c r="C126" s="95">
        <f>'Неисправности Колеи(КБ-65)'!I51</f>
        <v>0</v>
      </c>
      <c r="D126" s="95">
        <f>'Неисправности Колеи(КБ-65)'!I52</f>
        <v>-8.3690000000000008E-71</v>
      </c>
      <c r="E126" s="95">
        <f>'Неисправности Колеи(КБ-65)'!I53</f>
        <v>7.0469999999999997E-53</v>
      </c>
      <c r="F126" s="95">
        <f>'Неисправности Колеи(КБ-65)'!I54</f>
        <v>1.3299999999999999E-35</v>
      </c>
      <c r="G126" s="95">
        <f>'Неисправности Колеи(КБ-65)'!I55</f>
        <v>2.163E-18</v>
      </c>
      <c r="H126" s="95">
        <f>'Неисправности Колеи(КБ-65)'!I56</f>
        <v>0</v>
      </c>
      <c r="I126" s="112">
        <f>'Единичные ставки+критерии'!C56</f>
        <v>0.90187499999999998</v>
      </c>
      <c r="J126" s="95">
        <v>0.01</v>
      </c>
    </row>
    <row r="127" spans="1:11" ht="15.75" customHeight="1" x14ac:dyDescent="0.25">
      <c r="A127" s="24" t="s">
        <v>96</v>
      </c>
      <c r="B127" s="95">
        <f ca="1">B95</f>
        <v>2380455232.6767387</v>
      </c>
      <c r="C127" s="95">
        <f>'Неисправности Колеи(КБ-65)'!I78</f>
        <v>0</v>
      </c>
      <c r="D127" s="95">
        <f>'Неисправности Колеи(КБ-65)'!I79</f>
        <v>-2.0919999999999999E-71</v>
      </c>
      <c r="E127" s="95">
        <f>'Неисправности Колеи(КБ-65)'!I80</f>
        <v>1.7619999999999999E-53</v>
      </c>
      <c r="F127" s="95">
        <f>'Неисправности Колеи(КБ-65)'!I81</f>
        <v>3.3239999999999997E-36</v>
      </c>
      <c r="G127" s="95">
        <f>'Неисправности Колеи(КБ-65)'!I82</f>
        <v>5.4080000000000004E-19</v>
      </c>
      <c r="H127" s="95">
        <f>'Неисправности Колеи(КБ-65)'!I83</f>
        <v>0</v>
      </c>
      <c r="I127" s="112">
        <f>I126*1.25</f>
        <v>1.1273437500000001</v>
      </c>
      <c r="J127" s="95">
        <v>0.03</v>
      </c>
    </row>
    <row r="128" spans="1:11" ht="19.5" customHeight="1" x14ac:dyDescent="0.25">
      <c r="A128" s="24" t="s">
        <v>97</v>
      </c>
      <c r="B128" s="95">
        <f ca="1">B97</f>
        <v>192469611.97055292</v>
      </c>
      <c r="C128" s="95">
        <f>'Неисправности Колеи(КБ-65)'!AN24</f>
        <v>-4E-79</v>
      </c>
      <c r="D128" s="95">
        <f>'Неисправности Колеи(КБ-65)'!AN25</f>
        <v>1E-62</v>
      </c>
      <c r="E128" s="95">
        <f>'Неисправности Колеи(КБ-65)'!AN26</f>
        <v>-1E-46</v>
      </c>
      <c r="F128" s="95">
        <f>'Неисправности Колеи(КБ-65)'!AN27</f>
        <v>2.0000000000000002E-31</v>
      </c>
      <c r="G128" s="95">
        <f>'Неисправности Колеи(КБ-65)'!AN28</f>
        <v>2.9999999999999998E-15</v>
      </c>
      <c r="H128" s="95">
        <f>'Неисправности Колеи(КБ-65)'!AN29</f>
        <v>0</v>
      </c>
      <c r="I128" s="112">
        <f>I129*0.75</f>
        <v>7.4215124999999986</v>
      </c>
      <c r="J128" s="95">
        <v>5.0000000000000001E-3</v>
      </c>
    </row>
    <row r="129" spans="1:42" ht="19.5" customHeight="1" x14ac:dyDescent="0.25">
      <c r="A129" s="24" t="s">
        <v>99</v>
      </c>
      <c r="B129" s="95">
        <f ca="1">B97</f>
        <v>192469611.97055292</v>
      </c>
      <c r="C129" s="95">
        <f>'Неисправности Колеи(КБ-65)'!AN51</f>
        <v>-1.2278E-79</v>
      </c>
      <c r="D129" s="95">
        <f>'Неисправности Колеи(КБ-65)'!AN52</f>
        <v>4.6375000000000002E-63</v>
      </c>
      <c r="E129" s="95">
        <f>'Неисправности Колеи(КБ-65)'!AN53</f>
        <v>-4.6063000000000004E-47</v>
      </c>
      <c r="F129" s="95">
        <f>'Неисправности Колеи(КБ-65)'!AN54</f>
        <v>5.1679999999999995E-32</v>
      </c>
      <c r="G129" s="95">
        <f>'Неисправности Колеи(КБ-65)'!AN55</f>
        <v>1.1414E-15</v>
      </c>
      <c r="H129" s="95">
        <f>'Неисправности Колеи(КБ-65)'!AN56</f>
        <v>0</v>
      </c>
      <c r="I129" s="112">
        <f>'Единичные ставки+критерии'!D22</f>
        <v>9.8953499999999988</v>
      </c>
      <c r="J129" s="95">
        <v>0.01</v>
      </c>
    </row>
    <row r="130" spans="1:42" ht="19.5" customHeight="1" x14ac:dyDescent="0.25">
      <c r="A130" s="24" t="s">
        <v>98</v>
      </c>
      <c r="B130" s="95">
        <f ca="1">B97</f>
        <v>192469611.97055292</v>
      </c>
      <c r="C130" s="95">
        <f>'Неисправности Колеи(КБ-65)'!AN78</f>
        <v>-4.6040000000000002E-80</v>
      </c>
      <c r="D130" s="95">
        <f>'Неисправности Колеи(КБ-65)'!AN79</f>
        <v>1.7390000000000001E-63</v>
      </c>
      <c r="E130" s="95">
        <f>'Неисправности Колеи(КБ-65)'!AN80</f>
        <v>-1.727E-47</v>
      </c>
      <c r="F130" s="95">
        <f>'Неисправности Колеи(КБ-65)'!AN81</f>
        <v>1.9380000000000001E-32</v>
      </c>
      <c r="G130" s="95">
        <f>'Неисправности Колеи(КБ-65)'!AN82</f>
        <v>4.28E-16</v>
      </c>
      <c r="H130" s="95">
        <f>'Неисправности Колеи(КБ-65)'!AN83</f>
        <v>0</v>
      </c>
      <c r="I130" s="112">
        <f>I129*1.25</f>
        <v>12.369187499999999</v>
      </c>
      <c r="J130" s="95">
        <v>0.03</v>
      </c>
    </row>
    <row r="131" spans="1:42" ht="18.75" customHeight="1" x14ac:dyDescent="0.25">
      <c r="A131" s="24" t="s">
        <v>100</v>
      </c>
      <c r="B131" s="96">
        <f ca="1">B99</f>
        <v>0.6815844528192212</v>
      </c>
      <c r="C131" s="95">
        <f>'Неисправности Колеи(КБ-65)'!AC24</f>
        <v>0</v>
      </c>
      <c r="D131" s="95">
        <f>'Неисправности Колеи(КБ-65)'!AC25</f>
        <v>-2.6739999999999998E-30</v>
      </c>
      <c r="E131" s="95">
        <f>'Неисправности Колеи(КБ-65)'!AC26</f>
        <v>7.8929999999999993E-21</v>
      </c>
      <c r="F131" s="95">
        <f>'Неисправности Колеи(КБ-65)'!AC27</f>
        <v>-1.342E-13</v>
      </c>
      <c r="G131" s="95">
        <f>'Неисправности Колеи(КБ-65)'!AC28</f>
        <v>8.2939999999999995E-7</v>
      </c>
      <c r="H131" s="95">
        <f>'Неисправности Колеи(КБ-65)'!AC29</f>
        <v>0</v>
      </c>
      <c r="I131" s="112">
        <f>I132*0.75</f>
        <v>0.85218749999999999</v>
      </c>
      <c r="J131" s="95">
        <v>5.0000000000000001E-3</v>
      </c>
    </row>
    <row r="132" spans="1:42" ht="18.75" customHeight="1" x14ac:dyDescent="0.25">
      <c r="A132" s="24" t="s">
        <v>101</v>
      </c>
      <c r="B132" s="96">
        <f ca="1">B99</f>
        <v>0.6815844528192212</v>
      </c>
      <c r="C132" s="95">
        <f>'Неисправности Колеи(КБ-65)'!AC51</f>
        <v>0</v>
      </c>
      <c r="D132" s="95">
        <f>'Неисправности Колеи(КБ-65)'!AC52</f>
        <v>-8.9129999999999997E-31</v>
      </c>
      <c r="E132" s="95">
        <f>'Неисправности Колеи(КБ-65)'!AC53</f>
        <v>2.6309999999999999E-21</v>
      </c>
      <c r="F132" s="95">
        <f>'Неисправности Колеи(КБ-65)'!AC54</f>
        <v>-4.4730000000000002E-14</v>
      </c>
      <c r="G132" s="95">
        <f>'Неисправности Колеи(КБ-65)'!AC55</f>
        <v>2.7650000000000002E-7</v>
      </c>
      <c r="H132" s="95">
        <f>'Неисправности Колеи(КБ-65)'!AC56</f>
        <v>0</v>
      </c>
      <c r="I132" s="112">
        <f>'Единичные ставки+критерии'!C47</f>
        <v>1.13625</v>
      </c>
      <c r="J132" s="95">
        <v>0.01</v>
      </c>
    </row>
    <row r="133" spans="1:42" ht="18.75" customHeight="1" x14ac:dyDescent="0.25">
      <c r="A133" s="24" t="s">
        <v>102</v>
      </c>
      <c r="B133" s="96">
        <f ca="1">B99</f>
        <v>0.6815844528192212</v>
      </c>
      <c r="C133" s="95">
        <f>'Неисправности Колеи(КБ-65)'!AC78</f>
        <v>0</v>
      </c>
      <c r="D133" s="95">
        <f>'Неисправности Колеи(КБ-65)'!AC79</f>
        <v>-8.9129999999999997E-31</v>
      </c>
      <c r="E133" s="95">
        <f>'Неисправности Колеи(КБ-65)'!AC80</f>
        <v>2.6309999999999999E-21</v>
      </c>
      <c r="F133" s="95">
        <f>'Неисправности Колеи(КБ-65)'!AC81</f>
        <v>-4.4730000000000002E-14</v>
      </c>
      <c r="G133" s="95">
        <f>'Неисправности Колеи(КБ-65)'!AC82</f>
        <v>2.7650000000000002E-7</v>
      </c>
      <c r="H133" s="95">
        <f>'Неисправности Колеи(КБ-65)'!AC83</f>
        <v>0</v>
      </c>
      <c r="I133" s="112">
        <f>I132*1.25</f>
        <v>1.4203125000000001</v>
      </c>
      <c r="J133" s="95">
        <v>0.03</v>
      </c>
    </row>
    <row r="135" spans="1:42" ht="15.75" x14ac:dyDescent="0.25">
      <c r="A135" s="34" t="s">
        <v>84</v>
      </c>
      <c r="B135" s="35">
        <v>1</v>
      </c>
      <c r="C135" s="35">
        <f>B135+1</f>
        <v>2</v>
      </c>
      <c r="D135" s="35">
        <f t="shared" ref="D135:AP135" si="522">C135+1</f>
        <v>3</v>
      </c>
      <c r="E135" s="35">
        <f t="shared" si="522"/>
        <v>4</v>
      </c>
      <c r="F135" s="35">
        <f t="shared" si="522"/>
        <v>5</v>
      </c>
      <c r="G135" s="35">
        <f t="shared" si="522"/>
        <v>6</v>
      </c>
      <c r="H135" s="35">
        <f t="shared" si="522"/>
        <v>7</v>
      </c>
      <c r="I135" s="35">
        <f t="shared" si="522"/>
        <v>8</v>
      </c>
      <c r="J135" s="35">
        <f t="shared" si="522"/>
        <v>9</v>
      </c>
      <c r="K135" s="36">
        <f t="shared" si="522"/>
        <v>10</v>
      </c>
      <c r="L135" s="35">
        <f t="shared" si="522"/>
        <v>11</v>
      </c>
      <c r="M135" s="35">
        <f t="shared" si="522"/>
        <v>12</v>
      </c>
      <c r="N135" s="35">
        <f t="shared" si="522"/>
        <v>13</v>
      </c>
      <c r="O135" s="35">
        <f t="shared" si="522"/>
        <v>14</v>
      </c>
      <c r="P135" s="35">
        <f t="shared" si="522"/>
        <v>15</v>
      </c>
      <c r="Q135" s="35">
        <f t="shared" si="522"/>
        <v>16</v>
      </c>
      <c r="R135" s="35">
        <f t="shared" si="522"/>
        <v>17</v>
      </c>
      <c r="S135" s="35">
        <f t="shared" si="522"/>
        <v>18</v>
      </c>
      <c r="T135" s="35">
        <f t="shared" si="522"/>
        <v>19</v>
      </c>
      <c r="U135" s="35">
        <f t="shared" si="522"/>
        <v>20</v>
      </c>
      <c r="V135" s="35">
        <f t="shared" si="522"/>
        <v>21</v>
      </c>
      <c r="W135" s="35">
        <f t="shared" si="522"/>
        <v>22</v>
      </c>
      <c r="X135" s="35">
        <f t="shared" si="522"/>
        <v>23</v>
      </c>
      <c r="Y135" s="35">
        <f t="shared" si="522"/>
        <v>24</v>
      </c>
      <c r="Z135" s="35">
        <f t="shared" si="522"/>
        <v>25</v>
      </c>
      <c r="AA135" s="35">
        <f t="shared" si="522"/>
        <v>26</v>
      </c>
      <c r="AB135" s="35">
        <f t="shared" si="522"/>
        <v>27</v>
      </c>
      <c r="AC135" s="35">
        <f t="shared" si="522"/>
        <v>28</v>
      </c>
      <c r="AD135" s="35">
        <f t="shared" si="522"/>
        <v>29</v>
      </c>
      <c r="AE135" s="35">
        <f t="shared" si="522"/>
        <v>30</v>
      </c>
      <c r="AF135" s="35">
        <f t="shared" si="522"/>
        <v>31</v>
      </c>
      <c r="AG135" s="35">
        <f t="shared" si="522"/>
        <v>32</v>
      </c>
      <c r="AH135" s="35">
        <f t="shared" si="522"/>
        <v>33</v>
      </c>
      <c r="AI135" s="35">
        <f t="shared" si="522"/>
        <v>34</v>
      </c>
      <c r="AJ135" s="35">
        <f t="shared" si="522"/>
        <v>35</v>
      </c>
      <c r="AK135" s="35">
        <f t="shared" si="522"/>
        <v>36</v>
      </c>
      <c r="AL135" s="35">
        <f t="shared" si="522"/>
        <v>37</v>
      </c>
      <c r="AM135" s="35">
        <f t="shared" si="522"/>
        <v>38</v>
      </c>
      <c r="AN135" s="35">
        <f t="shared" si="522"/>
        <v>39</v>
      </c>
      <c r="AO135" s="35">
        <f t="shared" si="522"/>
        <v>40</v>
      </c>
      <c r="AP135" s="35">
        <f t="shared" si="522"/>
        <v>41</v>
      </c>
    </row>
    <row r="136" spans="1:42" ht="15.75" x14ac:dyDescent="0.25">
      <c r="A136" s="37" t="s">
        <v>85</v>
      </c>
      <c r="B136" s="35">
        <f>B135*$B$102</f>
        <v>180</v>
      </c>
      <c r="C136" s="35">
        <f t="shared" ref="C136:AP136" si="523">C135*$B$102</f>
        <v>360</v>
      </c>
      <c r="D136" s="35">
        <f t="shared" si="523"/>
        <v>540</v>
      </c>
      <c r="E136" s="35">
        <f t="shared" si="523"/>
        <v>720</v>
      </c>
      <c r="F136" s="35">
        <f t="shared" si="523"/>
        <v>900</v>
      </c>
      <c r="G136" s="35">
        <f t="shared" si="523"/>
        <v>1080</v>
      </c>
      <c r="H136" s="35">
        <f t="shared" si="523"/>
        <v>1260</v>
      </c>
      <c r="I136" s="35">
        <f t="shared" si="523"/>
        <v>1440</v>
      </c>
      <c r="J136" s="35">
        <f t="shared" si="523"/>
        <v>1620</v>
      </c>
      <c r="K136" s="35">
        <f t="shared" si="523"/>
        <v>1800</v>
      </c>
      <c r="L136" s="35">
        <f t="shared" si="523"/>
        <v>1980</v>
      </c>
      <c r="M136" s="35">
        <f t="shared" si="523"/>
        <v>2160</v>
      </c>
      <c r="N136" s="35">
        <f t="shared" si="523"/>
        <v>2340</v>
      </c>
      <c r="O136" s="35">
        <f t="shared" si="523"/>
        <v>2520</v>
      </c>
      <c r="P136" s="35">
        <f t="shared" si="523"/>
        <v>2700</v>
      </c>
      <c r="Q136" s="35">
        <f t="shared" si="523"/>
        <v>2880</v>
      </c>
      <c r="R136" s="35">
        <f t="shared" si="523"/>
        <v>3060</v>
      </c>
      <c r="S136" s="35">
        <f t="shared" si="523"/>
        <v>3240</v>
      </c>
      <c r="T136" s="35">
        <f t="shared" si="523"/>
        <v>3420</v>
      </c>
      <c r="U136" s="35">
        <f t="shared" si="523"/>
        <v>3600</v>
      </c>
      <c r="V136" s="35">
        <f t="shared" si="523"/>
        <v>3780</v>
      </c>
      <c r="W136" s="35">
        <f t="shared" si="523"/>
        <v>3960</v>
      </c>
      <c r="X136" s="35">
        <f t="shared" si="523"/>
        <v>4140</v>
      </c>
      <c r="Y136" s="35">
        <f t="shared" si="523"/>
        <v>4320</v>
      </c>
      <c r="Z136" s="35">
        <f t="shared" si="523"/>
        <v>4500</v>
      </c>
      <c r="AA136" s="35">
        <f t="shared" si="523"/>
        <v>4680</v>
      </c>
      <c r="AB136" s="35">
        <f t="shared" si="523"/>
        <v>4860</v>
      </c>
      <c r="AC136" s="35">
        <f t="shared" si="523"/>
        <v>5040</v>
      </c>
      <c r="AD136" s="35">
        <f t="shared" si="523"/>
        <v>5220</v>
      </c>
      <c r="AE136" s="35">
        <f t="shared" si="523"/>
        <v>5400</v>
      </c>
      <c r="AF136" s="35">
        <f t="shared" si="523"/>
        <v>5580</v>
      </c>
      <c r="AG136" s="35">
        <f t="shared" si="523"/>
        <v>5760</v>
      </c>
      <c r="AH136" s="35">
        <f t="shared" si="523"/>
        <v>5940</v>
      </c>
      <c r="AI136" s="35">
        <f t="shared" si="523"/>
        <v>6120</v>
      </c>
      <c r="AJ136" s="35">
        <f t="shared" si="523"/>
        <v>6300</v>
      </c>
      <c r="AK136" s="35">
        <f t="shared" si="523"/>
        <v>6480</v>
      </c>
      <c r="AL136" s="35">
        <f t="shared" si="523"/>
        <v>6660</v>
      </c>
      <c r="AM136" s="35">
        <f t="shared" si="523"/>
        <v>6840</v>
      </c>
      <c r="AN136" s="35">
        <f t="shared" si="523"/>
        <v>7020</v>
      </c>
      <c r="AO136" s="35">
        <f t="shared" si="523"/>
        <v>7200</v>
      </c>
      <c r="AP136" s="35">
        <f t="shared" si="523"/>
        <v>7380</v>
      </c>
    </row>
    <row r="137" spans="1:42" ht="15.75" x14ac:dyDescent="0.25">
      <c r="A137" s="37" t="s">
        <v>143</v>
      </c>
      <c r="B137" s="35">
        <f>$B$117</f>
        <v>23.150000000000002</v>
      </c>
      <c r="C137" s="35">
        <f t="shared" ref="C137:AP137" si="524">$B$117</f>
        <v>23.150000000000002</v>
      </c>
      <c r="D137" s="35">
        <f t="shared" si="524"/>
        <v>23.150000000000002</v>
      </c>
      <c r="E137" s="35">
        <f t="shared" si="524"/>
        <v>23.150000000000002</v>
      </c>
      <c r="F137" s="35">
        <f t="shared" si="524"/>
        <v>23.150000000000002</v>
      </c>
      <c r="G137" s="35">
        <f t="shared" si="524"/>
        <v>23.150000000000002</v>
      </c>
      <c r="H137" s="35">
        <f t="shared" si="524"/>
        <v>23.150000000000002</v>
      </c>
      <c r="I137" s="35">
        <f t="shared" si="524"/>
        <v>23.150000000000002</v>
      </c>
      <c r="J137" s="35">
        <f t="shared" si="524"/>
        <v>23.150000000000002</v>
      </c>
      <c r="K137" s="35">
        <f t="shared" si="524"/>
        <v>23.150000000000002</v>
      </c>
      <c r="L137" s="35">
        <f t="shared" si="524"/>
        <v>23.150000000000002</v>
      </c>
      <c r="M137" s="35">
        <f t="shared" si="524"/>
        <v>23.150000000000002</v>
      </c>
      <c r="N137" s="35">
        <f t="shared" si="524"/>
        <v>23.150000000000002</v>
      </c>
      <c r="O137" s="35">
        <f t="shared" si="524"/>
        <v>23.150000000000002</v>
      </c>
      <c r="P137" s="35">
        <f t="shared" si="524"/>
        <v>23.150000000000002</v>
      </c>
      <c r="Q137" s="35">
        <f t="shared" si="524"/>
        <v>23.150000000000002</v>
      </c>
      <c r="R137" s="35">
        <f t="shared" si="524"/>
        <v>23.150000000000002</v>
      </c>
      <c r="S137" s="35">
        <f t="shared" si="524"/>
        <v>23.150000000000002</v>
      </c>
      <c r="T137" s="35">
        <f t="shared" si="524"/>
        <v>23.150000000000002</v>
      </c>
      <c r="U137" s="35">
        <f t="shared" si="524"/>
        <v>23.150000000000002</v>
      </c>
      <c r="V137" s="35">
        <f t="shared" si="524"/>
        <v>23.150000000000002</v>
      </c>
      <c r="W137" s="35">
        <f t="shared" si="524"/>
        <v>23.150000000000002</v>
      </c>
      <c r="X137" s="35">
        <f t="shared" si="524"/>
        <v>23.150000000000002</v>
      </c>
      <c r="Y137" s="35">
        <f t="shared" si="524"/>
        <v>23.150000000000002</v>
      </c>
      <c r="Z137" s="35">
        <f t="shared" si="524"/>
        <v>23.150000000000002</v>
      </c>
      <c r="AA137" s="35">
        <f t="shared" si="524"/>
        <v>23.150000000000002</v>
      </c>
      <c r="AB137" s="35">
        <f t="shared" si="524"/>
        <v>23.150000000000002</v>
      </c>
      <c r="AC137" s="35">
        <f t="shared" si="524"/>
        <v>23.150000000000002</v>
      </c>
      <c r="AD137" s="35">
        <f t="shared" si="524"/>
        <v>23.150000000000002</v>
      </c>
      <c r="AE137" s="35">
        <f t="shared" si="524"/>
        <v>23.150000000000002</v>
      </c>
      <c r="AF137" s="35">
        <f t="shared" si="524"/>
        <v>23.150000000000002</v>
      </c>
      <c r="AG137" s="35">
        <f t="shared" si="524"/>
        <v>23.150000000000002</v>
      </c>
      <c r="AH137" s="35">
        <f t="shared" si="524"/>
        <v>23.150000000000002</v>
      </c>
      <c r="AI137" s="35">
        <f t="shared" si="524"/>
        <v>23.150000000000002</v>
      </c>
      <c r="AJ137" s="35">
        <f t="shared" si="524"/>
        <v>23.150000000000002</v>
      </c>
      <c r="AK137" s="35">
        <f t="shared" si="524"/>
        <v>23.150000000000002</v>
      </c>
      <c r="AL137" s="35">
        <f t="shared" si="524"/>
        <v>23.150000000000002</v>
      </c>
      <c r="AM137" s="35">
        <f t="shared" si="524"/>
        <v>23.150000000000002</v>
      </c>
      <c r="AN137" s="35">
        <f t="shared" si="524"/>
        <v>23.150000000000002</v>
      </c>
      <c r="AO137" s="35">
        <f t="shared" si="524"/>
        <v>23.150000000000002</v>
      </c>
      <c r="AP137" s="35">
        <f t="shared" si="524"/>
        <v>23.150000000000002</v>
      </c>
    </row>
    <row r="138" spans="1:42" ht="15.75" x14ac:dyDescent="0.25">
      <c r="A138" s="37" t="s">
        <v>144</v>
      </c>
      <c r="B138" s="35">
        <f>(B136/B137)*1000000</f>
        <v>7775377.9697624184</v>
      </c>
      <c r="C138" s="35">
        <f t="shared" ref="C138:AP138" si="525">(C136/C137)*1000000</f>
        <v>15550755.939524837</v>
      </c>
      <c r="D138" s="35">
        <f t="shared" si="525"/>
        <v>23326133.909287255</v>
      </c>
      <c r="E138" s="35">
        <f t="shared" si="525"/>
        <v>31101511.879049674</v>
      </c>
      <c r="F138" s="35">
        <f t="shared" si="525"/>
        <v>38876889.848812088</v>
      </c>
      <c r="G138" s="35">
        <f t="shared" si="525"/>
        <v>46652267.818574511</v>
      </c>
      <c r="H138" s="35">
        <f t="shared" si="525"/>
        <v>54427645.788336925</v>
      </c>
      <c r="I138" s="35">
        <f t="shared" si="525"/>
        <v>62203023.758099347</v>
      </c>
      <c r="J138" s="35">
        <f t="shared" si="525"/>
        <v>69978401.727861762</v>
      </c>
      <c r="K138" s="35">
        <f t="shared" si="525"/>
        <v>77753779.697624177</v>
      </c>
      <c r="L138" s="35">
        <f t="shared" si="525"/>
        <v>85529157.667386606</v>
      </c>
      <c r="M138" s="35">
        <f t="shared" si="525"/>
        <v>93304535.637149021</v>
      </c>
      <c r="N138" s="35">
        <f t="shared" si="525"/>
        <v>101079913.60691144</v>
      </c>
      <c r="O138" s="35">
        <f t="shared" si="525"/>
        <v>108855291.57667385</v>
      </c>
      <c r="P138" s="35">
        <f t="shared" si="525"/>
        <v>116630669.54643628</v>
      </c>
      <c r="Q138" s="35">
        <f t="shared" si="525"/>
        <v>124406047.51619869</v>
      </c>
      <c r="R138" s="35">
        <f t="shared" si="525"/>
        <v>132181425.48596111</v>
      </c>
      <c r="S138" s="35">
        <f t="shared" si="525"/>
        <v>139956803.45572352</v>
      </c>
      <c r="T138" s="35">
        <f t="shared" si="525"/>
        <v>147732181.42548594</v>
      </c>
      <c r="U138" s="35">
        <f t="shared" si="525"/>
        <v>155507559.39524835</v>
      </c>
      <c r="V138" s="35">
        <f t="shared" si="525"/>
        <v>163282937.36501077</v>
      </c>
      <c r="W138" s="35">
        <f t="shared" si="525"/>
        <v>171058315.33477321</v>
      </c>
      <c r="X138" s="35">
        <f t="shared" si="525"/>
        <v>178833693.30453563</v>
      </c>
      <c r="Y138" s="35">
        <f t="shared" si="525"/>
        <v>186609071.27429804</v>
      </c>
      <c r="Z138" s="35">
        <f t="shared" si="525"/>
        <v>194384449.24406046</v>
      </c>
      <c r="AA138" s="35">
        <f t="shared" si="525"/>
        <v>202159827.21382287</v>
      </c>
      <c r="AB138" s="35">
        <f t="shared" si="525"/>
        <v>209935205.18358529</v>
      </c>
      <c r="AC138" s="35">
        <f t="shared" si="525"/>
        <v>217710583.1533477</v>
      </c>
      <c r="AD138" s="35">
        <f t="shared" si="525"/>
        <v>225485961.12311015</v>
      </c>
      <c r="AE138" s="35">
        <f t="shared" si="525"/>
        <v>233261339.09287256</v>
      </c>
      <c r="AF138" s="35">
        <f t="shared" si="525"/>
        <v>241036717.06263497</v>
      </c>
      <c r="AG138" s="35">
        <f t="shared" si="525"/>
        <v>248812095.03239739</v>
      </c>
      <c r="AH138" s="35">
        <f t="shared" si="525"/>
        <v>256587473.0021598</v>
      </c>
      <c r="AI138" s="35">
        <f t="shared" si="525"/>
        <v>264362850.97192222</v>
      </c>
      <c r="AJ138" s="35">
        <f t="shared" si="525"/>
        <v>272138228.94168466</v>
      </c>
      <c r="AK138" s="35">
        <f t="shared" si="525"/>
        <v>279913606.91144705</v>
      </c>
      <c r="AL138" s="35">
        <f t="shared" si="525"/>
        <v>287688984.88120949</v>
      </c>
      <c r="AM138" s="35">
        <f t="shared" si="525"/>
        <v>295464362.85097188</v>
      </c>
      <c r="AN138" s="35">
        <f t="shared" si="525"/>
        <v>303239740.82073432</v>
      </c>
      <c r="AO138" s="35">
        <f t="shared" si="525"/>
        <v>311015118.79049671</v>
      </c>
      <c r="AP138" s="35">
        <f t="shared" si="525"/>
        <v>318790496.76025915</v>
      </c>
    </row>
    <row r="139" spans="1:42" s="63" customFormat="1" ht="15.75" x14ac:dyDescent="0.25">
      <c r="A139" s="81" t="s">
        <v>16</v>
      </c>
      <c r="B139" s="114">
        <f ca="1">ABS(($C120*($B120*B$138)^5+$D120*($B120*B$138)^4+ $E120*($B120*B$138)^3+$F120*($B120*B$138)^2+$G120*($B120*B$138)^1+$H120))</f>
        <v>1.9388350533380598</v>
      </c>
      <c r="C139" s="114">
        <f ca="1">ABS(($C120*($B120*C$138)^5+$D120*($B120*C$138)^4+ $E120*($B120*C$138)^3+$F120*($B120*C$138)^2+$G120*($B120*C$138)^1+$H120))+B139*B$154</f>
        <v>14.540225151096301</v>
      </c>
      <c r="D139" s="114">
        <f t="shared" ref="D139:AP141" ca="1" si="526">ABS(($C120*($B120*D$138)^5+$D120*($B120*D$138)^4+ $E120*($B120*D$138)^3+$F120*($B120*D$138)^2+$G120*($B120*D$138)^1+$H120))+C139*C$154</f>
        <v>93.426151569565803</v>
      </c>
      <c r="E139" s="114">
        <f t="shared" ca="1" si="526"/>
        <v>474.58347916012553</v>
      </c>
      <c r="F139" s="114">
        <f t="shared" ca="1" si="526"/>
        <v>1825.3328439869863</v>
      </c>
      <c r="G139" s="114">
        <f t="shared" ca="1" si="526"/>
        <v>5612.7998063128007</v>
      </c>
      <c r="H139" s="114">
        <f t="shared" ca="1" si="526"/>
        <v>14589.888268932133</v>
      </c>
      <c r="I139" s="114">
        <f t="shared" ca="1" si="526"/>
        <v>33398.756160852819</v>
      </c>
      <c r="J139" s="114">
        <f t="shared" ca="1" si="526"/>
        <v>69291.793386325153</v>
      </c>
      <c r="K139" s="114">
        <f t="shared" ca="1" si="526"/>
        <v>132970.10203921894</v>
      </c>
      <c r="L139" s="114">
        <f t="shared" ca="1" si="526"/>
        <v>239539.47888274852</v>
      </c>
      <c r="M139" s="114">
        <f t="shared" ca="1" si="526"/>
        <v>409583.90009454533</v>
      </c>
      <c r="N139" s="114">
        <f t="shared" ca="1" si="526"/>
        <v>670356.50827707909</v>
      </c>
      <c r="O139" s="114">
        <f t="shared" ca="1" si="526"/>
        <v>1057088.1017334254</v>
      </c>
      <c r="P139" s="114">
        <f t="shared" ca="1" si="526"/>
        <v>1614413.1260083835</v>
      </c>
      <c r="Q139" s="114">
        <f t="shared" ca="1" si="526"/>
        <v>2397913.1676949393</v>
      </c>
      <c r="R139" s="114">
        <f t="shared" ca="1" si="526"/>
        <v>3475777.9505060781</v>
      </c>
      <c r="S139" s="114">
        <f t="shared" ca="1" si="526"/>
        <v>4930583.8336119438</v>
      </c>
      <c r="T139" s="114">
        <f t="shared" ca="1" si="526"/>
        <v>6861189.8122423477</v>
      </c>
      <c r="U139" s="114">
        <f t="shared" ca="1" si="526"/>
        <v>9384751.0205546245</v>
      </c>
      <c r="V139" s="114">
        <f t="shared" ca="1" si="526"/>
        <v>12638849.736766836</v>
      </c>
      <c r="W139" s="114">
        <f t="shared" ca="1" si="526"/>
        <v>16783743.890556324</v>
      </c>
      <c r="X139" s="114">
        <f t="shared" ca="1" si="526"/>
        <v>22004733.072723597</v>
      </c>
      <c r="Y139" s="114">
        <f t="shared" ca="1" si="526"/>
        <v>28514642.047121599</v>
      </c>
      <c r="Z139" s="114">
        <f t="shared" ca="1" si="526"/>
        <v>36556421.764850289</v>
      </c>
      <c r="AA139" s="114">
        <f t="shared" ca="1" si="526"/>
        <v>46405867.880716592</v>
      </c>
      <c r="AB139" s="114">
        <f t="shared" ca="1" si="526"/>
        <v>58374456.771959685</v>
      </c>
      <c r="AC139" s="114">
        <f t="shared" ca="1" si="526"/>
        <v>72812299.059241623</v>
      </c>
      <c r="AD139" s="114">
        <f t="shared" ca="1" si="526"/>
        <v>90111210.629903361</v>
      </c>
      <c r="AE139" s="114">
        <f t="shared" ca="1" si="526"/>
        <v>110707901.16348606</v>
      </c>
      <c r="AF139" s="114">
        <f t="shared" ca="1" si="526"/>
        <v>135087280.15951777</v>
      </c>
      <c r="AG139" s="114">
        <f t="shared" ca="1" si="526"/>
        <v>163785880.46756545</v>
      </c>
      <c r="AH139" s="114">
        <f t="shared" ca="1" si="526"/>
        <v>197395399.31955242</v>
      </c>
      <c r="AI139" s="114">
        <f t="shared" ca="1" si="526"/>
        <v>236566356.86434096</v>
      </c>
      <c r="AJ139" s="114">
        <f t="shared" ca="1" si="526"/>
        <v>282011872.20458055</v>
      </c>
      <c r="AK139" s="114">
        <f t="shared" ca="1" si="526"/>
        <v>334511556.935821</v>
      </c>
      <c r="AL139" s="114">
        <f t="shared" ca="1" si="526"/>
        <v>394915526.1878916</v>
      </c>
      <c r="AM139" s="114">
        <f t="shared" ca="1" si="526"/>
        <v>464148527.16854501</v>
      </c>
      <c r="AN139" s="114">
        <f t="shared" ca="1" si="526"/>
        <v>543214185.2093668</v>
      </c>
      <c r="AO139" s="114">
        <f t="shared" ca="1" si="526"/>
        <v>633199367.31395006</v>
      </c>
      <c r="AP139" s="114">
        <f t="shared" ca="1" si="526"/>
        <v>735278663.20833588</v>
      </c>
    </row>
    <row r="140" spans="1:42" s="63" customFormat="1" ht="15.75" x14ac:dyDescent="0.25">
      <c r="A140" s="81" t="s">
        <v>17</v>
      </c>
      <c r="B140" s="114">
        <f t="shared" ref="B140:B141" ca="1" si="527">ABS(($C121*($B121*B$138)^5+$D121*($B121*B$138)^4+ $E121*($B121*B$138)^3+$F121*($B121*B$138)^2+$G121*($B121*B$138)^1+$H121))</f>
        <v>0.74958007958191675</v>
      </c>
      <c r="C140" s="114">
        <f t="shared" ref="C140:R141" ca="1" si="528">ABS(($C121*($B121*C$138)^5+$D121*($B121*C$138)^4+ $E121*($B121*C$138)^3+$F121*($B121*C$138)^2+$G121*($B121*C$138)^1+$H121))+B140*B$154</f>
        <v>1.5784288467594896</v>
      </c>
      <c r="D140" s="114">
        <f t="shared" ca="1" si="528"/>
        <v>5.6978892637126313</v>
      </c>
      <c r="E140" s="114">
        <f t="shared" ca="1" si="528"/>
        <v>14.289908713613205</v>
      </c>
      <c r="F140" s="114">
        <f t="shared" ca="1" si="528"/>
        <v>28.086581963300251</v>
      </c>
      <c r="G140" s="114">
        <f t="shared" ca="1" si="528"/>
        <v>47.445326066821693</v>
      </c>
      <c r="H140" s="114">
        <f t="shared" ca="1" si="528"/>
        <v>72.418847369006315</v>
      </c>
      <c r="I140" s="114">
        <f t="shared" ca="1" si="528"/>
        <v>102.81990060906602</v>
      </c>
      <c r="J140" s="114">
        <f t="shared" ca="1" si="528"/>
        <v>138.28084012422838</v>
      </c>
      <c r="K140" s="114">
        <f t="shared" ca="1" si="528"/>
        <v>178.30796315339953</v>
      </c>
      <c r="L140" s="114">
        <f t="shared" ca="1" si="528"/>
        <v>222.33064524085728</v>
      </c>
      <c r="M140" s="114">
        <f t="shared" ca="1" si="528"/>
        <v>269.74526773997451</v>
      </c>
      <c r="N140" s="114">
        <f t="shared" ca="1" si="528"/>
        <v>319.95393741697296</v>
      </c>
      <c r="O140" s="114">
        <f t="shared" ca="1" si="528"/>
        <v>372.39799815470724</v>
      </c>
      <c r="P140" s="114">
        <f t="shared" ca="1" si="528"/>
        <v>426.586334756479</v>
      </c>
      <c r="Q140" s="114">
        <f t="shared" ca="1" si="528"/>
        <v>482.11846884988159</v>
      </c>
      <c r="R140" s="114">
        <f t="shared" ca="1" si="528"/>
        <v>538.70244689067522</v>
      </c>
      <c r="S140" s="114">
        <f t="shared" ca="1" si="526"/>
        <v>596.16752026669155</v>
      </c>
      <c r="T140" s="114">
        <f t="shared" ca="1" si="526"/>
        <v>654.47161750176997</v>
      </c>
      <c r="U140" s="114">
        <f t="shared" ca="1" si="526"/>
        <v>713.70360855972194</v>
      </c>
      <c r="V140" s="114">
        <f t="shared" ca="1" si="526"/>
        <v>774.0803612483287</v>
      </c>
      <c r="W140" s="114">
        <f t="shared" ca="1" si="526"/>
        <v>835.93858972336693</v>
      </c>
      <c r="X140" s="114">
        <f t="shared" ca="1" si="526"/>
        <v>899.72149509266444</v>
      </c>
      <c r="Y140" s="114">
        <f t="shared" ca="1" si="526"/>
        <v>965.96019812018903</v>
      </c>
      <c r="Z140" s="114">
        <f t="shared" ca="1" si="526"/>
        <v>1035.2499640301639</v>
      </c>
      <c r="AA140" s="114">
        <f t="shared" ca="1" si="526"/>
        <v>1108.2212194112158</v>
      </c>
      <c r="AB140" s="114">
        <f t="shared" ca="1" si="526"/>
        <v>1185.5053612205527</v>
      </c>
      <c r="AC140" s="114">
        <f t="shared" ca="1" si="526"/>
        <v>1267.695357888173</v>
      </c>
      <c r="AD140" s="114">
        <f t="shared" ca="1" si="526"/>
        <v>1355.3011425211014</v>
      </c>
      <c r="AE140" s="114">
        <f t="shared" ca="1" si="526"/>
        <v>1448.6997982076598</v>
      </c>
      <c r="AF140" s="114">
        <f t="shared" ca="1" si="526"/>
        <v>1548.0805354217659</v>
      </c>
      <c r="AG140" s="114">
        <f t="shared" ca="1" si="526"/>
        <v>1653.3844615272606</v>
      </c>
      <c r="AH140" s="114">
        <f t="shared" ca="1" si="526"/>
        <v>1764.2391423822692</v>
      </c>
      <c r="AI140" s="114">
        <f t="shared" ca="1" si="526"/>
        <v>1879.8879560435932</v>
      </c>
      <c r="AJ140" s="114">
        <f t="shared" ca="1" si="526"/>
        <v>1999.1142385711273</v>
      </c>
      <c r="AK140" s="114">
        <f t="shared" ca="1" si="526"/>
        <v>2120.1602219323063</v>
      </c>
      <c r="AL140" s="114">
        <f t="shared" ca="1" si="526"/>
        <v>2240.6407640065954</v>
      </c>
      <c r="AM140" s="114">
        <f t="shared" ca="1" si="526"/>
        <v>2357.4518706899962</v>
      </c>
      <c r="AN140" s="114">
        <f t="shared" ca="1" si="526"/>
        <v>2466.6740100995812</v>
      </c>
      <c r="AO140" s="114">
        <f t="shared" ca="1" si="526"/>
        <v>2563.4702188780775</v>
      </c>
      <c r="AP140" s="114">
        <f t="shared" ca="1" si="526"/>
        <v>2641.9790005984628</v>
      </c>
    </row>
    <row r="141" spans="1:42" s="63" customFormat="1" ht="15.75" x14ac:dyDescent="0.25">
      <c r="A141" s="81" t="s">
        <v>18</v>
      </c>
      <c r="B141" s="114">
        <f t="shared" ca="1" si="527"/>
        <v>0.4693082383862428</v>
      </c>
      <c r="C141" s="114">
        <f t="shared" ca="1" si="528"/>
        <v>0.98349834302703543</v>
      </c>
      <c r="D141" s="114">
        <f t="shared" ca="1" si="526"/>
        <v>3.5501119255831863</v>
      </c>
      <c r="E141" s="114">
        <f t="shared" ca="1" si="526"/>
        <v>8.9074965398701913</v>
      </c>
      <c r="F141" s="114">
        <f t="shared" ca="1" si="526"/>
        <v>17.513486065533161</v>
      </c>
      <c r="G141" s="114">
        <f t="shared" ca="1" si="526"/>
        <v>29.592224656399601</v>
      </c>
      <c r="H141" s="114">
        <f t="shared" ca="1" si="526"/>
        <v>45.177750730282469</v>
      </c>
      <c r="I141" s="114">
        <f t="shared" ca="1" si="526"/>
        <v>64.154341000233643</v>
      </c>
      <c r="J141" s="114">
        <f t="shared" ca="1" si="526"/>
        <v>86.293614547247557</v>
      </c>
      <c r="K141" s="114">
        <f t="shared" ca="1" si="526"/>
        <v>111.28839693441532</v>
      </c>
      <c r="L141" s="114">
        <f t="shared" ca="1" si="526"/>
        <v>138.78334436252914</v>
      </c>
      <c r="M141" s="114">
        <f t="shared" ca="1" si="526"/>
        <v>168.40232786713682</v>
      </c>
      <c r="N141" s="114">
        <f t="shared" ca="1" si="526"/>
        <v>199.77257755704699</v>
      </c>
      <c r="O141" s="114">
        <f t="shared" ca="1" si="526"/>
        <v>232.54558689428427</v>
      </c>
      <c r="P141" s="114">
        <f t="shared" ca="1" si="526"/>
        <v>266.41477701549513</v>
      </c>
      <c r="Q141" s="114">
        <f t="shared" ca="1" si="526"/>
        <v>301.12992109480365</v>
      </c>
      <c r="R141" s="114">
        <f t="shared" ca="1" si="526"/>
        <v>336.50832874811783</v>
      </c>
      <c r="S141" s="114">
        <f t="shared" ca="1" si="526"/>
        <v>372.44279047888642</v>
      </c>
      <c r="T141" s="114">
        <f t="shared" ca="1" si="526"/>
        <v>408.90628216530553</v>
      </c>
      <c r="U141" s="114">
        <f t="shared" ca="1" si="526"/>
        <v>445.95342958897606</v>
      </c>
      <c r="V141" s="114">
        <f t="shared" ca="1" si="526"/>
        <v>483.71873300501159</v>
      </c>
      <c r="W141" s="114">
        <f t="shared" ca="1" si="526"/>
        <v>522.41155175359563</v>
      </c>
      <c r="X141" s="114">
        <f t="shared" ca="1" si="526"/>
        <v>562.30784891299015</v>
      </c>
      <c r="Y141" s="114">
        <f t="shared" ca="1" si="526"/>
        <v>603.7386959939945</v>
      </c>
      <c r="Z141" s="114">
        <f t="shared" ca="1" si="526"/>
        <v>647.07553767585341</v>
      </c>
      <c r="AA141" s="114">
        <f t="shared" ca="1" si="526"/>
        <v>692.71221658361742</v>
      </c>
      <c r="AB141" s="114">
        <f t="shared" ca="1" si="526"/>
        <v>741.04375810695092</v>
      </c>
      <c r="AC141" s="114">
        <f t="shared" ca="1" si="526"/>
        <v>792.44191526039265</v>
      </c>
      <c r="AD141" s="114">
        <f t="shared" ca="1" si="526"/>
        <v>847.22747358506695</v>
      </c>
      <c r="AE141" s="114">
        <f t="shared" ca="1" si="526"/>
        <v>905.63931609184181</v>
      </c>
      <c r="AF141" s="114">
        <f t="shared" ca="1" si="526"/>
        <v>967.80024824594148</v>
      </c>
      <c r="AG141" s="114">
        <f t="shared" ca="1" si="526"/>
        <v>1033.6795829930081</v>
      </c>
      <c r="AH141" s="114">
        <f t="shared" ca="1" si="526"/>
        <v>1103.0524858266097</v>
      </c>
      <c r="AI141" s="114">
        <f t="shared" ca="1" si="526"/>
        <v>1175.456079897207</v>
      </c>
      <c r="AJ141" s="114">
        <f t="shared" ca="1" si="526"/>
        <v>1250.1423111625618</v>
      </c>
      <c r="AK141" s="114">
        <f t="shared" ca="1" si="526"/>
        <v>1326.0275735796004</v>
      </c>
      <c r="AL141" s="114">
        <f t="shared" ca="1" si="526"/>
        <v>1401.6390943377253</v>
      </c>
      <c r="AM141" s="114">
        <f t="shared" ca="1" si="526"/>
        <v>1475.0580791335806</v>
      </c>
      <c r="AN141" s="114">
        <f t="shared" ca="1" si="526"/>
        <v>1543.8596174872632</v>
      </c>
      <c r="AO141" s="114">
        <f t="shared" ca="1" si="526"/>
        <v>1605.0493480999869</v>
      </c>
      <c r="AP141" s="114">
        <f t="shared" ca="1" si="526"/>
        <v>1654.9968842531987</v>
      </c>
    </row>
    <row r="142" spans="1:42" s="63" customFormat="1" ht="15.75" x14ac:dyDescent="0.25">
      <c r="A142" s="81" t="s">
        <v>19</v>
      </c>
      <c r="B142" s="114">
        <f t="shared" ref="B142:B150" ca="1" si="529">ABS(($C125*($B125*B$138)^5+$D125*($B125*B$138)^4+ $E125*($B125*B$138)^3+$F125*($B125*B$138)^2+$G125*($B125*B$138)^1+$H125))</f>
        <v>0.13508103283475942</v>
      </c>
      <c r="C142" s="114">
        <f t="shared" ref="C142:AP142" ca="1" si="530">ABS(($C125*($B125*C$138)^5+$D125*($B125*C$138)^4+ $E125*($B125*C$138)^3+$F125*($B125*C$138)^2+$G125*($B125*C$138)^1+$H125))+B142*B$157+B142*B$154</f>
        <v>0.45293667689535605</v>
      </c>
      <c r="D142" s="114">
        <f t="shared" ca="1" si="530"/>
        <v>1.0514062536917745</v>
      </c>
      <c r="E142" s="114">
        <f t="shared" ca="1" si="530"/>
        <v>2.0988825990387951</v>
      </c>
      <c r="F142" s="114">
        <f t="shared" ca="1" si="530"/>
        <v>3.8765018228859809</v>
      </c>
      <c r="G142" s="114">
        <f t="shared" ca="1" si="530"/>
        <v>6.8539317463493399</v>
      </c>
      <c r="H142" s="114">
        <f t="shared" ca="1" si="530"/>
        <v>11.823069466256092</v>
      </c>
      <c r="I142" s="114">
        <f t="shared" ca="1" si="530"/>
        <v>20.134766927112032</v>
      </c>
      <c r="J142" s="114">
        <f t="shared" ca="1" si="530"/>
        <v>34.121418851940071</v>
      </c>
      <c r="K142" s="114">
        <f t="shared" ca="1" si="530"/>
        <v>57.858037619984707</v>
      </c>
      <c r="L142" s="114">
        <f t="shared" ca="1" si="530"/>
        <v>98.544729727860698</v>
      </c>
      <c r="M142" s="114">
        <f t="shared" ca="1" si="530"/>
        <v>169.03825254875386</v>
      </c>
      <c r="N142" s="114">
        <f t="shared" ca="1" si="530"/>
        <v>292.52264067966365</v>
      </c>
      <c r="O142" s="114">
        <f t="shared" ca="1" si="530"/>
        <v>511.18640964192036</v>
      </c>
      <c r="P142" s="114">
        <f t="shared" ca="1" si="530"/>
        <v>902.44702332807151</v>
      </c>
      <c r="Q142" s="114">
        <f t="shared" ca="1" si="530"/>
        <v>1609.4668927496232</v>
      </c>
      <c r="R142" s="114">
        <f t="shared" ca="1" si="530"/>
        <v>2898.8624888811</v>
      </c>
      <c r="S142" s="114">
        <f t="shared" ca="1" si="530"/>
        <v>5270.3842524132106</v>
      </c>
      <c r="T142" s="114">
        <f t="shared" ca="1" si="530"/>
        <v>9666.3253463635265</v>
      </c>
      <c r="U142" s="114">
        <f t="shared" ca="1" si="530"/>
        <v>17873.016097450061</v>
      </c>
      <c r="V142" s="114">
        <f t="shared" ca="1" si="530"/>
        <v>33293.549814544072</v>
      </c>
      <c r="W142" s="114">
        <f t="shared" ca="1" si="530"/>
        <v>62440.19402921031</v>
      </c>
      <c r="X142" s="114">
        <f t="shared" ca="1" si="530"/>
        <v>117825.97607499879</v>
      </c>
      <c r="Y142" s="114">
        <f t="shared" ca="1" si="530"/>
        <v>223583.51308644831</v>
      </c>
      <c r="Z142" s="114">
        <f t="shared" ca="1" si="530"/>
        <v>426412.28255523485</v>
      </c>
      <c r="AA142" s="114">
        <f t="shared" ca="1" si="530"/>
        <v>816958.88579277985</v>
      </c>
      <c r="AB142" s="114">
        <f t="shared" ca="1" si="530"/>
        <v>1571664.911421204</v>
      </c>
      <c r="AC142" s="114">
        <f t="shared" ca="1" si="530"/>
        <v>3034839.9534637006</v>
      </c>
      <c r="AD142" s="114">
        <f t="shared" ca="1" si="530"/>
        <v>5879917.5342913233</v>
      </c>
      <c r="AE142" s="114">
        <f t="shared" ca="1" si="530"/>
        <v>11426811.498279648</v>
      </c>
      <c r="AF142" s="114">
        <f t="shared" ca="1" si="530"/>
        <v>22267419.313534781</v>
      </c>
      <c r="AG142" s="114">
        <f t="shared" ca="1" si="530"/>
        <v>43500155.970119752</v>
      </c>
      <c r="AH142" s="114">
        <f t="shared" ca="1" si="530"/>
        <v>85169522.965612978</v>
      </c>
      <c r="AI142" s="114">
        <f t="shared" ca="1" si="530"/>
        <v>167092364.30347449</v>
      </c>
      <c r="AJ142" s="114">
        <f t="shared" ca="1" si="530"/>
        <v>328415485.97405875</v>
      </c>
      <c r="AK142" s="114">
        <f t="shared" ca="1" si="530"/>
        <v>646560467.74990678</v>
      </c>
      <c r="AL142" s="114">
        <f t="shared" ca="1" si="530"/>
        <v>1274806954.2852268</v>
      </c>
      <c r="AM142" s="114">
        <f t="shared" ca="1" si="530"/>
        <v>2516908223.2858458</v>
      </c>
      <c r="AN142" s="114">
        <f t="shared" ca="1" si="530"/>
        <v>4975330534.7078991</v>
      </c>
      <c r="AO142" s="114">
        <f t="shared" ca="1" si="530"/>
        <v>9845945612.9679871</v>
      </c>
      <c r="AP142" s="114">
        <f t="shared" ca="1" si="530"/>
        <v>19504196876.4142</v>
      </c>
    </row>
    <row r="143" spans="1:42" s="63" customFormat="1" ht="15.75" x14ac:dyDescent="0.25">
      <c r="A143" s="81" t="s">
        <v>20</v>
      </c>
      <c r="B143" s="114">
        <f t="shared" ca="1" si="529"/>
        <v>4.5028175190659672E-2</v>
      </c>
      <c r="C143" s="114">
        <f t="shared" ref="C143:AP143" ca="1" si="531">ABS(($C126*($B126*C$138)^5+$D126*($B126*C$138)^4+ $E126*($B126*C$138)^3+$F126*($B126*C$138)^2+$G126*($B126*C$138)^1+$H126))+B143*B$157+B143*B$154</f>
        <v>0.15098492189330004</v>
      </c>
      <c r="D143" s="114">
        <f t="shared" ca="1" si="531"/>
        <v>0.35048680708294006</v>
      </c>
      <c r="E143" s="114">
        <f t="shared" ca="1" si="531"/>
        <v>0.6996701525536273</v>
      </c>
      <c r="F143" s="114">
        <f t="shared" ca="1" si="531"/>
        <v>1.2922557540562742</v>
      </c>
      <c r="G143" s="114">
        <f t="shared" ca="1" si="531"/>
        <v>2.2848141363712617</v>
      </c>
      <c r="H143" s="114">
        <f t="shared" ca="1" si="531"/>
        <v>3.9413356382172395</v>
      </c>
      <c r="I143" s="114">
        <f t="shared" ca="1" si="531"/>
        <v>6.7121463895920392</v>
      </c>
      <c r="J143" s="114">
        <f t="shared" ca="1" si="531"/>
        <v>11.374784242900251</v>
      </c>
      <c r="K143" s="114">
        <f t="shared" ca="1" si="531"/>
        <v>19.287714320580555</v>
      </c>
      <c r="L143" s="114">
        <f t="shared" ca="1" si="531"/>
        <v>32.851197951026286</v>
      </c>
      <c r="M143" s="114">
        <f t="shared" ca="1" si="531"/>
        <v>56.351224482068389</v>
      </c>
      <c r="N143" s="114">
        <f t="shared" ca="1" si="531"/>
        <v>97.516533515213368</v>
      </c>
      <c r="O143" s="114">
        <f t="shared" ca="1" si="531"/>
        <v>170.41128884011647</v>
      </c>
      <c r="P143" s="114">
        <f t="shared" ca="1" si="531"/>
        <v>300.84374414151262</v>
      </c>
      <c r="Q143" s="114">
        <f t="shared" ca="1" si="531"/>
        <v>536.53920161795031</v>
      </c>
      <c r="R143" s="114">
        <f t="shared" ca="1" si="531"/>
        <v>966.37819657337479</v>
      </c>
      <c r="S143" s="114">
        <f t="shared" ca="1" si="531"/>
        <v>1756.9599142826614</v>
      </c>
      <c r="T143" s="114">
        <f t="shared" ca="1" si="531"/>
        <v>3222.4116886892202</v>
      </c>
      <c r="U143" s="114">
        <f t="shared" ca="1" si="531"/>
        <v>5958.2331007670145</v>
      </c>
      <c r="V143" s="114">
        <f t="shared" ca="1" si="531"/>
        <v>11098.895536059292</v>
      </c>
      <c r="W143" s="114">
        <f t="shared" ca="1" si="531"/>
        <v>20815.359500715895</v>
      </c>
      <c r="X143" s="114">
        <f t="shared" ca="1" si="531"/>
        <v>39279.027356117083</v>
      </c>
      <c r="Y143" s="114">
        <f t="shared" ca="1" si="531"/>
        <v>74534.863236788398</v>
      </c>
      <c r="Z143" s="114">
        <f t="shared" ca="1" si="531"/>
        <v>142150.8272794417</v>
      </c>
      <c r="AA143" s="114">
        <f t="shared" ca="1" si="531"/>
        <v>272345.30203544651</v>
      </c>
      <c r="AB143" s="114">
        <f t="shared" ca="1" si="531"/>
        <v>523937.69546842878</v>
      </c>
      <c r="AC143" s="114">
        <f t="shared" ca="1" si="531"/>
        <v>1011708.6929881909</v>
      </c>
      <c r="AD143" s="114">
        <f t="shared" ca="1" si="531"/>
        <v>1960157.2996119766</v>
      </c>
      <c r="AE143" s="114">
        <f t="shared" ca="1" si="531"/>
        <v>3809296.2781858481</v>
      </c>
      <c r="AF143" s="114">
        <f t="shared" ca="1" si="531"/>
        <v>7423172.9078686498</v>
      </c>
      <c r="AG143" s="114">
        <f t="shared" ca="1" si="531"/>
        <v>14501419.081664648</v>
      </c>
      <c r="AH143" s="114">
        <f t="shared" ca="1" si="531"/>
        <v>28392517.637454711</v>
      </c>
      <c r="AI143" s="114">
        <f t="shared" ca="1" si="531"/>
        <v>55702706.033868387</v>
      </c>
      <c r="AJ143" s="114">
        <f t="shared" ca="1" si="531"/>
        <v>109482149.88123491</v>
      </c>
      <c r="AK143" s="114">
        <f t="shared" ca="1" si="531"/>
        <v>215540475.59183395</v>
      </c>
      <c r="AL143" s="114">
        <f t="shared" ca="1" si="531"/>
        <v>424975715.22281182</v>
      </c>
      <c r="AM143" s="114">
        <f t="shared" ca="1" si="531"/>
        <v>839048507.50210261</v>
      </c>
      <c r="AN143" s="114">
        <f t="shared" ca="1" si="531"/>
        <v>1658599872.9972944</v>
      </c>
      <c r="AO143" s="114">
        <f t="shared" ca="1" si="531"/>
        <v>3282291302.9215879</v>
      </c>
      <c r="AP143" s="114">
        <f t="shared" ca="1" si="531"/>
        <v>6502011923.9396544</v>
      </c>
    </row>
    <row r="144" spans="1:42" s="63" customFormat="1" ht="15.75" x14ac:dyDescent="0.25">
      <c r="A144" s="81" t="s">
        <v>21</v>
      </c>
      <c r="B144" s="114">
        <f t="shared" ca="1" si="529"/>
        <v>1.1257642809217667E-2</v>
      </c>
      <c r="C144" s="114">
        <f t="shared" ref="C144:AP144" ca="1" si="532">ABS(($C127*($B127*C$138)^5+$D127*($B127*C$138)^4+ $E127*($B127*C$138)^3+$F127*($B127*C$138)^2+$G127*($B127*C$138)^1+$H127))+B144*B$157+B144*B$154</f>
        <v>3.7747498027304233E-2</v>
      </c>
      <c r="D144" s="114">
        <f t="shared" ca="1" si="532"/>
        <v>8.7623341899284585E-2</v>
      </c>
      <c r="E144" s="114">
        <f t="shared" ca="1" si="532"/>
        <v>0.17491890984304992</v>
      </c>
      <c r="F144" s="114">
        <f t="shared" ca="1" si="532"/>
        <v>0.32306398635095979</v>
      </c>
      <c r="G144" s="114">
        <f t="shared" ca="1" si="532"/>
        <v>0.57120062466635568</v>
      </c>
      <c r="H144" s="114">
        <f t="shared" ca="1" si="532"/>
        <v>0.98532553041150239</v>
      </c>
      <c r="I144" s="114">
        <f t="shared" ca="1" si="532"/>
        <v>1.6780188257199926</v>
      </c>
      <c r="J144" s="114">
        <f t="shared" ca="1" si="532"/>
        <v>2.8436626279591453</v>
      </c>
      <c r="K144" s="114">
        <f t="shared" ca="1" si="532"/>
        <v>4.8218692126950629</v>
      </c>
      <c r="L144" s="114">
        <f t="shared" ca="1" si="532"/>
        <v>8.2126969348198635</v>
      </c>
      <c r="M144" s="114">
        <f t="shared" ca="1" si="532"/>
        <v>14.087630779169817</v>
      </c>
      <c r="N144" s="114">
        <f t="shared" ca="1" si="532"/>
        <v>24.378833486917159</v>
      </c>
      <c r="O144" s="114">
        <f t="shared" ca="1" si="532"/>
        <v>42.602305805523727</v>
      </c>
      <c r="P144" s="114">
        <f t="shared" ca="1" si="532"/>
        <v>75.21003752066531</v>
      </c>
      <c r="Q144" s="114">
        <f t="shared" ca="1" si="532"/>
        <v>134.13321815560624</v>
      </c>
      <c r="R144" s="114">
        <f t="shared" ca="1" si="532"/>
        <v>241.59172836154823</v>
      </c>
      <c r="S144" s="114">
        <f t="shared" ca="1" si="532"/>
        <v>439.23489006381374</v>
      </c>
      <c r="T144" s="114">
        <f t="shared" ca="1" si="532"/>
        <v>805.59364243797609</v>
      </c>
      <c r="U144" s="114">
        <f t="shared" ca="1" si="532"/>
        <v>1489.5411855408624</v>
      </c>
      <c r="V144" s="114">
        <f t="shared" ca="1" si="532"/>
        <v>2774.6921364914115</v>
      </c>
      <c r="W144" s="114">
        <f t="shared" ca="1" si="532"/>
        <v>5203.7804423998714</v>
      </c>
      <c r="X144" s="114">
        <f t="shared" ca="1" si="532"/>
        <v>9819.6448203316031</v>
      </c>
      <c r="Y144" s="114">
        <f t="shared" ca="1" si="532"/>
        <v>18633.503405337146</v>
      </c>
      <c r="Z144" s="114">
        <f t="shared" ca="1" si="532"/>
        <v>35537.301920352213</v>
      </c>
      <c r="AA144" s="114">
        <f t="shared" ca="1" si="532"/>
        <v>68085.549992569257</v>
      </c>
      <c r="AB144" s="114">
        <f t="shared" ca="1" si="532"/>
        <v>130982.93219532873</v>
      </c>
      <c r="AC144" s="114">
        <f t="shared" ca="1" si="532"/>
        <v>252924.29318129574</v>
      </c>
      <c r="AD144" s="114">
        <f t="shared" ca="1" si="532"/>
        <v>490033.74521446478</v>
      </c>
      <c r="AE144" s="114">
        <f t="shared" ca="1" si="532"/>
        <v>952313.22660065186</v>
      </c>
      <c r="AF144" s="114">
        <f t="shared" ca="1" si="532"/>
        <v>1855772.0977972369</v>
      </c>
      <c r="AG144" s="114">
        <f t="shared" ca="1" si="532"/>
        <v>3625313.4944040179</v>
      </c>
      <c r="AH144" s="114">
        <f t="shared" ca="1" si="532"/>
        <v>7098048.5951264556</v>
      </c>
      <c r="AI144" s="114">
        <f t="shared" ca="1" si="532"/>
        <v>13925517.961331859</v>
      </c>
      <c r="AJ144" s="114">
        <f t="shared" ca="1" si="532"/>
        <v>27370225.851002604</v>
      </c>
      <c r="AK144" s="114">
        <f t="shared" ca="1" si="532"/>
        <v>53884505.405440211</v>
      </c>
      <c r="AL144" s="114">
        <f t="shared" ca="1" si="532"/>
        <v>106242719.19894207</v>
      </c>
      <c r="AM144" s="114">
        <f t="shared" ca="1" si="532"/>
        <v>209759738.69600862</v>
      </c>
      <c r="AN144" s="114">
        <f t="shared" ca="1" si="532"/>
        <v>414645247.38607514</v>
      </c>
      <c r="AO144" s="114">
        <f t="shared" ca="1" si="532"/>
        <v>820563483.36488986</v>
      </c>
      <c r="AP144" s="114">
        <f t="shared" ca="1" si="532"/>
        <v>1625484474.3498645</v>
      </c>
    </row>
    <row r="145" spans="1:42" s="63" customFormat="1" ht="15.75" x14ac:dyDescent="0.25">
      <c r="A145" s="81" t="s">
        <v>22</v>
      </c>
      <c r="B145" s="114">
        <f t="shared" ca="1" si="529"/>
        <v>4.6494845252651169</v>
      </c>
      <c r="C145" s="114">
        <f t="shared" ref="C145:AP145" ca="1" si="533">ABS(($C128*($B128*C$138)^5+$D128*($B128*C$138)^4+ $E128*($B128*C$138)^3+$F128*($B128*C$138)^2+$G128*($B128*C$138)^1+$H128))+B145*B$157+B145*B$154</f>
        <v>13.883709369400918</v>
      </c>
      <c r="D145" s="114">
        <f t="shared" ca="1" si="533"/>
        <v>28.161459868682289</v>
      </c>
      <c r="E145" s="114">
        <f t="shared" ca="1" si="533"/>
        <v>48.83824700108817</v>
      </c>
      <c r="F145" s="114">
        <f t="shared" ca="1" si="533"/>
        <v>78.524557727894859</v>
      </c>
      <c r="G145" s="114">
        <f t="shared" ca="1" si="533"/>
        <v>121.50765115194564</v>
      </c>
      <c r="H145" s="114">
        <f t="shared" ca="1" si="533"/>
        <v>184.30988220565865</v>
      </c>
      <c r="I145" s="114">
        <f t="shared" ca="1" si="533"/>
        <v>276.49273896316504</v>
      </c>
      <c r="J145" s="114">
        <f t="shared" ca="1" si="533"/>
        <v>443.6052529016788</v>
      </c>
      <c r="K145" s="114">
        <f t="shared" ca="1" si="533"/>
        <v>749.36839877670423</v>
      </c>
      <c r="L145" s="114">
        <f t="shared" ca="1" si="533"/>
        <v>1311.9990162274908</v>
      </c>
      <c r="M145" s="114">
        <f t="shared" ca="1" si="533"/>
        <v>2350.2680492923055</v>
      </c>
      <c r="N145" s="114">
        <f t="shared" ca="1" si="533"/>
        <v>4268.6361949557395</v>
      </c>
      <c r="O145" s="114">
        <f t="shared" ca="1" si="533"/>
        <v>7815.6961000325318</v>
      </c>
      <c r="P145" s="114">
        <f t="shared" ca="1" si="533"/>
        <v>14380.712615797522</v>
      </c>
      <c r="Q145" s="114">
        <f t="shared" ca="1" si="533"/>
        <v>26551.674856524616</v>
      </c>
      <c r="R145" s="114">
        <f t="shared" ca="1" si="533"/>
        <v>49170.946095812164</v>
      </c>
      <c r="S145" s="114">
        <f t="shared" ca="1" si="533"/>
        <v>91341.917345902359</v>
      </c>
      <c r="T145" s="114">
        <f t="shared" ca="1" si="533"/>
        <v>170260.58625079095</v>
      </c>
      <c r="U145" s="114">
        <f t="shared" ca="1" si="533"/>
        <v>318562.09270749282</v>
      </c>
      <c r="V145" s="114">
        <f t="shared" ca="1" si="533"/>
        <v>598460.38456272823</v>
      </c>
      <c r="W145" s="114">
        <f t="shared" ca="1" si="533"/>
        <v>1129057.3465555478</v>
      </c>
      <c r="X145" s="114">
        <f t="shared" ca="1" si="533"/>
        <v>2139255.3058787682</v>
      </c>
      <c r="Y145" s="114">
        <f t="shared" ca="1" si="533"/>
        <v>4070575.1617971957</v>
      </c>
      <c r="Z145" s="114">
        <f t="shared" ca="1" si="533"/>
        <v>7777479.2171776779</v>
      </c>
      <c r="AA145" s="114">
        <f t="shared" ca="1" si="533"/>
        <v>14918606.502090234</v>
      </c>
      <c r="AB145" s="114">
        <f t="shared" ca="1" si="533"/>
        <v>28722543.052190997</v>
      </c>
      <c r="AC145" s="114">
        <f t="shared" ca="1" si="533"/>
        <v>55489669.031713508</v>
      </c>
      <c r="AD145" s="114">
        <f t="shared" ca="1" si="533"/>
        <v>107542967.41524054</v>
      </c>
      <c r="AE145" s="114">
        <f t="shared" ca="1" si="533"/>
        <v>209035302.53080261</v>
      </c>
      <c r="AF145" s="114">
        <f t="shared" ca="1" si="533"/>
        <v>407395453.89626557</v>
      </c>
      <c r="AG145" s="114">
        <f t="shared" ca="1" si="533"/>
        <v>795918751.57300353</v>
      </c>
      <c r="AH145" s="114">
        <f t="shared" ca="1" si="533"/>
        <v>1558408550.9004126</v>
      </c>
      <c r="AI145" s="114">
        <f t="shared" ca="1" si="533"/>
        <v>3057491499.4067044</v>
      </c>
      <c r="AJ145" s="114">
        <f t="shared" ca="1" si="533"/>
        <v>6009511640.54986</v>
      </c>
      <c r="AK145" s="114">
        <f t="shared" ca="1" si="533"/>
        <v>11831199988.660995</v>
      </c>
      <c r="AL145" s="114">
        <f t="shared" ca="1" si="533"/>
        <v>23327408125.776821</v>
      </c>
      <c r="AM145" s="114">
        <f t="shared" ca="1" si="533"/>
        <v>46056492434.620911</v>
      </c>
      <c r="AN145" s="114">
        <f t="shared" ca="1" si="533"/>
        <v>91042933932.431152</v>
      </c>
      <c r="AO145" s="114">
        <f t="shared" ca="1" si="533"/>
        <v>180169892113.76416</v>
      </c>
      <c r="AP145" s="114">
        <f t="shared" ca="1" si="533"/>
        <v>356905413266.5498</v>
      </c>
    </row>
    <row r="146" spans="1:42" s="63" customFormat="1" ht="15.75" x14ac:dyDescent="0.25">
      <c r="A146" s="81" t="s">
        <v>23</v>
      </c>
      <c r="B146" s="114">
        <f t="shared" ca="1" si="529"/>
        <v>1.6918286995346341</v>
      </c>
      <c r="C146" s="114">
        <f t="shared" ref="C146:AP146" ca="1" si="534">ABS(($C129*($B129*C$138)^5+$D129*($B129*C$138)^4+ $E129*($B129*C$138)^3+$F129*($B129*C$138)^2+$G129*($B129*C$138)^1+$H129))+B146*B$157+B146*B$154</f>
        <v>4.8381290944600774</v>
      </c>
      <c r="D146" s="114">
        <f t="shared" ca="1" si="534"/>
        <v>9.3650464638035231</v>
      </c>
      <c r="E146" s="114">
        <f t="shared" ca="1" si="534"/>
        <v>15.586206592536577</v>
      </c>
      <c r="F146" s="114">
        <f t="shared" ca="1" si="534"/>
        <v>24.476728941685742</v>
      </c>
      <c r="G146" s="114">
        <f t="shared" ca="1" si="534"/>
        <v>38.080793220677407</v>
      </c>
      <c r="H146" s="114">
        <f t="shared" ca="1" si="534"/>
        <v>60.170022730870002</v>
      </c>
      <c r="I146" s="114">
        <f t="shared" ca="1" si="534"/>
        <v>97.354032924096927</v>
      </c>
      <c r="J146" s="114">
        <f t="shared" ca="1" si="534"/>
        <v>161.00680023980996</v>
      </c>
      <c r="K146" s="114">
        <f t="shared" ca="1" si="534"/>
        <v>270.67649498577083</v>
      </c>
      <c r="L146" s="114">
        <f t="shared" ca="1" si="534"/>
        <v>460.21539866070827</v>
      </c>
      <c r="M146" s="114">
        <f t="shared" ca="1" si="534"/>
        <v>788.93605447271921</v>
      </c>
      <c r="N146" s="114">
        <f t="shared" ca="1" si="534"/>
        <v>1362.120233990725</v>
      </c>
      <c r="O146" s="114">
        <f t="shared" ca="1" si="534"/>
        <v>2369.0424787609645</v>
      </c>
      <c r="P146" s="114">
        <f t="shared" ca="1" si="534"/>
        <v>4153.9826566434649</v>
      </c>
      <c r="Q146" s="114">
        <f t="shared" ca="1" si="534"/>
        <v>7384.4536580334398</v>
      </c>
      <c r="R146" s="114">
        <f t="shared" ca="1" si="534"/>
        <v>13315.780865082172</v>
      </c>
      <c r="S146" s="114">
        <f t="shared" ca="1" si="534"/>
        <v>24289.05167543194</v>
      </c>
      <c r="T146" s="114">
        <f t="shared" ca="1" si="534"/>
        <v>44725.574319739972</v>
      </c>
      <c r="U146" s="114">
        <f t="shared" ca="1" si="534"/>
        <v>83015.372877052927</v>
      </c>
      <c r="V146" s="114">
        <f t="shared" ca="1" si="534"/>
        <v>155151.93434890592</v>
      </c>
      <c r="W146" s="114">
        <f t="shared" ca="1" si="534"/>
        <v>291752.31796148035</v>
      </c>
      <c r="X146" s="114">
        <f t="shared" ca="1" si="534"/>
        <v>551658.90783686959</v>
      </c>
      <c r="Y146" s="114">
        <f t="shared" ca="1" si="534"/>
        <v>1048369.9825557828</v>
      </c>
      <c r="Z146" s="114">
        <f t="shared" ca="1" si="534"/>
        <v>2001534.9945324352</v>
      </c>
      <c r="AA146" s="114">
        <f t="shared" ca="1" si="534"/>
        <v>3837526.1108337007</v>
      </c>
      <c r="AB146" s="114">
        <f t="shared" ca="1" si="534"/>
        <v>7386288.2908786163</v>
      </c>
      <c r="AC146" s="114">
        <f t="shared" ca="1" si="534"/>
        <v>14267406.420651129</v>
      </c>
      <c r="AD146" s="114">
        <f t="shared" ca="1" si="534"/>
        <v>27648644.755033121</v>
      </c>
      <c r="AE146" s="114">
        <f t="shared" ca="1" si="534"/>
        <v>53738774.938074008</v>
      </c>
      <c r="AF146" s="114">
        <f t="shared" ca="1" si="534"/>
        <v>104729911.21460068</v>
      </c>
      <c r="AG146" s="114">
        <f t="shared" ca="1" si="534"/>
        <v>204604694.21281463</v>
      </c>
      <c r="AH146" s="114">
        <f t="shared" ca="1" si="534"/>
        <v>400611897.73791742</v>
      </c>
      <c r="AI146" s="114">
        <f t="shared" ca="1" si="534"/>
        <v>785968888.39772105</v>
      </c>
      <c r="AJ146" s="114">
        <f t="shared" ca="1" si="534"/>
        <v>1544820175.460393</v>
      </c>
      <c r="AK146" s="114">
        <f t="shared" ca="1" si="534"/>
        <v>3041352830.0663462</v>
      </c>
      <c r="AL146" s="114">
        <f t="shared" ca="1" si="534"/>
        <v>5996586351.4989662</v>
      </c>
      <c r="AM146" s="114">
        <f t="shared" ca="1" si="534"/>
        <v>11839360458.215368</v>
      </c>
      <c r="AN146" s="114">
        <f t="shared" ca="1" si="534"/>
        <v>23403645354.369724</v>
      </c>
      <c r="AO146" s="114">
        <f t="shared" ca="1" si="534"/>
        <v>46314759993.989372</v>
      </c>
      <c r="AP146" s="114">
        <f t="shared" ca="1" si="534"/>
        <v>91746667845.951431</v>
      </c>
    </row>
    <row r="147" spans="1:42" s="63" customFormat="1" ht="15.75" x14ac:dyDescent="0.25">
      <c r="A147" s="81" t="s">
        <v>24</v>
      </c>
      <c r="B147" s="114">
        <f t="shared" ca="1" si="529"/>
        <v>0.63441020402595749</v>
      </c>
      <c r="C147" s="114">
        <f t="shared" ref="C147:AP147" ca="1" si="535">ABS(($C130*($B130*C$138)^5+$D130*($B130*C$138)^4+ $E130*($B130*C$138)^3+$F130*($B130*C$138)^2+$G130*($B130*C$138)^1+$H130))+B147*B$157+B147*B$154</f>
        <v>1.8142883977696735</v>
      </c>
      <c r="D147" s="114">
        <f t="shared" ca="1" si="535"/>
        <v>3.5120755782211193</v>
      </c>
      <c r="E147" s="114">
        <f t="shared" ca="1" si="535"/>
        <v>5.8456245698589333</v>
      </c>
      <c r="F147" s="114">
        <f t="shared" ca="1" si="535"/>
        <v>9.1810254353945471</v>
      </c>
      <c r="G147" s="114">
        <f t="shared" ca="1" si="535"/>
        <v>14.28556828104553</v>
      </c>
      <c r="H147" s="114">
        <f t="shared" ca="1" si="535"/>
        <v>22.574858182737898</v>
      </c>
      <c r="I147" s="114">
        <f t="shared" ca="1" si="535"/>
        <v>36.529663142997997</v>
      </c>
      <c r="J147" s="114">
        <f t="shared" ca="1" si="535"/>
        <v>60.419003574530208</v>
      </c>
      <c r="K147" s="114">
        <f t="shared" ca="1" si="535"/>
        <v>101.58010358580259</v>
      </c>
      <c r="L147" s="114">
        <f t="shared" ca="1" si="535"/>
        <v>172.71940723757746</v>
      </c>
      <c r="M147" s="114">
        <f t="shared" ca="1" si="535"/>
        <v>296.10034311302127</v>
      </c>
      <c r="N147" s="114">
        <f t="shared" ca="1" si="535"/>
        <v>511.24195219377873</v>
      </c>
      <c r="O147" s="114">
        <f t="shared" ca="1" si="535"/>
        <v>889.19214433004367</v>
      </c>
      <c r="P147" s="114">
        <f t="shared" ca="1" si="535"/>
        <v>1559.1843864795094</v>
      </c>
      <c r="Q147" s="114">
        <f t="shared" ca="1" si="535"/>
        <v>2771.6772388933564</v>
      </c>
      <c r="R147" s="114">
        <f t="shared" ca="1" si="535"/>
        <v>4997.8582001376635</v>
      </c>
      <c r="S147" s="114">
        <f t="shared" ca="1" si="535"/>
        <v>9116.3773054084995</v>
      </c>
      <c r="T147" s="114">
        <f t="shared" ca="1" si="535"/>
        <v>16786.624453609005</v>
      </c>
      <c r="U147" s="114">
        <f t="shared" ca="1" si="535"/>
        <v>31157.511115709232</v>
      </c>
      <c r="V147" s="114">
        <f t="shared" ca="1" si="535"/>
        <v>58231.647710734869</v>
      </c>
      <c r="W147" s="114">
        <f t="shared" ca="1" si="535"/>
        <v>109500.10029227556</v>
      </c>
      <c r="X147" s="114">
        <f t="shared" ca="1" si="535"/>
        <v>207047.34077096492</v>
      </c>
      <c r="Y147" s="114">
        <f t="shared" ca="1" si="535"/>
        <v>393471.05245199311</v>
      </c>
      <c r="Z147" s="114">
        <f t="shared" ca="1" si="535"/>
        <v>751209.1125771245</v>
      </c>
      <c r="AA147" s="114">
        <f t="shared" ca="1" si="535"/>
        <v>1440285.6621644064</v>
      </c>
      <c r="AB147" s="114">
        <f t="shared" ca="1" si="535"/>
        <v>2772192.0142300474</v>
      </c>
      <c r="AC147" s="114">
        <f t="shared" ca="1" si="535"/>
        <v>5354783.6781437527</v>
      </c>
      <c r="AD147" s="114">
        <f t="shared" ca="1" si="535"/>
        <v>10376972.057769839</v>
      </c>
      <c r="AE147" s="114">
        <f t="shared" ca="1" si="535"/>
        <v>20169006.119599201</v>
      </c>
      <c r="AF147" s="114">
        <f t="shared" ca="1" si="535"/>
        <v>39306776.745376363</v>
      </c>
      <c r="AG147" s="114">
        <f t="shared" ca="1" si="535"/>
        <v>76791343.491052985</v>
      </c>
      <c r="AH147" s="114">
        <f t="shared" ca="1" si="535"/>
        <v>150355909.02019015</v>
      </c>
      <c r="AI147" s="114">
        <f t="shared" ca="1" si="535"/>
        <v>294986406.72436476</v>
      </c>
      <c r="AJ147" s="114">
        <f t="shared" ca="1" si="535"/>
        <v>579795146.5600431</v>
      </c>
      <c r="AK147" s="114">
        <f t="shared" ca="1" si="535"/>
        <v>1141467223.5102005</v>
      </c>
      <c r="AL147" s="114">
        <f t="shared" ca="1" si="535"/>
        <v>2250612515.1561809</v>
      </c>
      <c r="AM147" s="114">
        <f t="shared" ca="1" si="535"/>
        <v>4443496880.6965084</v>
      </c>
      <c r="AN147" s="114">
        <f t="shared" ca="1" si="535"/>
        <v>8783753593.2091675</v>
      </c>
      <c r="AO147" s="114">
        <f t="shared" ca="1" si="535"/>
        <v>17382652701.458702</v>
      </c>
      <c r="AP147" s="114">
        <f t="shared" ca="1" si="535"/>
        <v>34433957188.576523</v>
      </c>
    </row>
    <row r="148" spans="1:42" s="63" customFormat="1" ht="15.75" x14ac:dyDescent="0.25">
      <c r="A148" s="81" t="s">
        <v>145</v>
      </c>
      <c r="B148" s="114">
        <f t="shared" ca="1" si="529"/>
        <v>1.7990884341615843</v>
      </c>
      <c r="C148" s="114">
        <f t="shared" ref="C148:AP148" ca="1" si="536">ABS(($C131*($B131*C$138)^5+$D131*($B131*C$138)^4+ $E131*($B131*C$138)^3+$F131*($B131*C$138)^2+$G131*($B131*C$138)^1+$H131))+B148*B$157+B148*B$154</f>
        <v>5.0479892088960039</v>
      </c>
      <c r="D148" s="114">
        <f t="shared" ca="1" si="536"/>
        <v>16.768360922725428</v>
      </c>
      <c r="E148" s="114">
        <f t="shared" ca="1" si="536"/>
        <v>53.001284882523265</v>
      </c>
      <c r="F148" s="114">
        <f t="shared" ca="1" si="536"/>
        <v>143.61510306442671</v>
      </c>
      <c r="G148" s="114">
        <f t="shared" ca="1" si="536"/>
        <v>341.39692715556856</v>
      </c>
      <c r="H148" s="114">
        <f t="shared" ca="1" si="536"/>
        <v>738.28096496693865</v>
      </c>
      <c r="I148" s="114">
        <f t="shared" ca="1" si="536"/>
        <v>1494.1705385079599</v>
      </c>
      <c r="J148" s="114">
        <f t="shared" ca="1" si="536"/>
        <v>2888.4323777602158</v>
      </c>
      <c r="K148" s="114">
        <f t="shared" ca="1" si="536"/>
        <v>5412.6582857378316</v>
      </c>
      <c r="L148" s="114">
        <f t="shared" ca="1" si="536"/>
        <v>9939.1744890756581</v>
      </c>
      <c r="M148" s="114">
        <f t="shared" ca="1" si="536"/>
        <v>18029.615116640653</v>
      </c>
      <c r="N148" s="114">
        <f t="shared" ca="1" si="536"/>
        <v>32504.228036463188</v>
      </c>
      <c r="O148" s="114">
        <f t="shared" ca="1" si="536"/>
        <v>58499.542135013675</v>
      </c>
      <c r="P148" s="114">
        <f t="shared" ca="1" si="536"/>
        <v>105445.96845332478</v>
      </c>
      <c r="Q148" s="114">
        <f t="shared" ca="1" si="536"/>
        <v>190787.39096833451</v>
      </c>
      <c r="R148" s="114">
        <f t="shared" ca="1" si="536"/>
        <v>347015.31559436681</v>
      </c>
      <c r="S148" s="114">
        <f t="shared" ca="1" si="536"/>
        <v>635037.71913487418</v>
      </c>
      <c r="T148" s="114">
        <f t="shared" ca="1" si="536"/>
        <v>1169703.8072642097</v>
      </c>
      <c r="U148" s="114">
        <f t="shared" ca="1" si="536"/>
        <v>2168742.0206187535</v>
      </c>
      <c r="V148" s="114">
        <f t="shared" ca="1" si="536"/>
        <v>4046947.285553162</v>
      </c>
      <c r="W148" s="114">
        <f t="shared" ca="1" si="536"/>
        <v>7598090.4343424905</v>
      </c>
      <c r="X148" s="114">
        <f t="shared" ca="1" si="536"/>
        <v>14347372.428373633</v>
      </c>
      <c r="Y148" s="114">
        <f t="shared" ca="1" si="536"/>
        <v>27236301.317853384</v>
      </c>
      <c r="Z148" s="114">
        <f t="shared" ca="1" si="536"/>
        <v>51957050.699874103</v>
      </c>
      <c r="AA148" s="114">
        <f t="shared" ca="1" si="536"/>
        <v>99558491.528986782</v>
      </c>
      <c r="AB148" s="114">
        <f t="shared" ca="1" si="536"/>
        <v>191547011.54844546</v>
      </c>
      <c r="AC148" s="114">
        <f t="shared" ca="1" si="536"/>
        <v>369890362.80502331</v>
      </c>
      <c r="AD148" s="114">
        <f t="shared" ca="1" si="536"/>
        <v>716673081.9205482</v>
      </c>
      <c r="AE148" s="114">
        <f t="shared" ca="1" si="536"/>
        <v>1392778934.6078887</v>
      </c>
      <c r="AF148" s="114">
        <f t="shared" ca="1" si="536"/>
        <v>2714133264.1647739</v>
      </c>
      <c r="AG148" s="114">
        <f t="shared" ca="1" si="536"/>
        <v>5302179836.9728756</v>
      </c>
      <c r="AH148" s="114">
        <f t="shared" ca="1" si="536"/>
        <v>10381238935.17247</v>
      </c>
      <c r="AI148" s="114">
        <f t="shared" ca="1" si="536"/>
        <v>20366777779.396824</v>
      </c>
      <c r="AJ148" s="114">
        <f t="shared" ca="1" si="536"/>
        <v>40030384963.264679</v>
      </c>
      <c r="AK148" s="114">
        <f t="shared" ca="1" si="536"/>
        <v>78808946022.841019</v>
      </c>
      <c r="AL148" s="114">
        <f t="shared" ca="1" si="536"/>
        <v>155385655830.13934</v>
      </c>
      <c r="AM148" s="114">
        <f t="shared" ca="1" si="536"/>
        <v>306784880499.43817</v>
      </c>
      <c r="AN148" s="114">
        <f t="shared" ca="1" si="536"/>
        <v>606440992660.01318</v>
      </c>
      <c r="AO148" s="114">
        <f t="shared" ca="1" si="536"/>
        <v>1200118320821.4751</v>
      </c>
      <c r="AP148" s="114">
        <f t="shared" ca="1" si="536"/>
        <v>2377358717782.5723</v>
      </c>
    </row>
    <row r="149" spans="1:42" s="63" customFormat="1" ht="15.75" x14ac:dyDescent="0.25">
      <c r="A149" s="81" t="s">
        <v>146</v>
      </c>
      <c r="B149" s="114">
        <f t="shared" ca="1" si="529"/>
        <v>0.59996644195040472</v>
      </c>
      <c r="C149" s="114">
        <f t="shared" ref="C149:AP149" ca="1" si="537">ABS(($C132*($B132*C$138)^5+$D132*($B132*C$138)^4+ $E132*($B132*C$138)^3+$F132*($B132*C$138)^2+$G132*($B132*C$138)^1+$H132))+B149*B$157+B149*B$154</f>
        <v>1.6836870436687985</v>
      </c>
      <c r="D149" s="114">
        <f t="shared" ca="1" si="537"/>
        <v>5.592036204383561</v>
      </c>
      <c r="E149" s="114">
        <f t="shared" ca="1" si="537"/>
        <v>17.67255236481558</v>
      </c>
      <c r="F149" s="114">
        <f t="shared" ca="1" si="537"/>
        <v>47.882183115516384</v>
      </c>
      <c r="G149" s="114">
        <f t="shared" ca="1" si="537"/>
        <v>113.81801458000139</v>
      </c>
      <c r="H149" s="114">
        <f t="shared" ca="1" si="537"/>
        <v>246.12710808071438</v>
      </c>
      <c r="I149" s="114">
        <f t="shared" ca="1" si="537"/>
        <v>498.11453583857713</v>
      </c>
      <c r="J149" s="114">
        <f t="shared" ca="1" si="537"/>
        <v>962.90938755250056</v>
      </c>
      <c r="K149" s="114">
        <f t="shared" ca="1" si="537"/>
        <v>1804.3875616847463</v>
      </c>
      <c r="L149" s="114">
        <f t="shared" ca="1" si="537"/>
        <v>3313.3456108539149</v>
      </c>
      <c r="M149" s="114">
        <f t="shared" ca="1" si="537"/>
        <v>6010.3660059032245</v>
      </c>
      <c r="N149" s="114">
        <f t="shared" ca="1" si="537"/>
        <v>10835.599470749607</v>
      </c>
      <c r="O149" s="114">
        <f t="shared" ca="1" si="537"/>
        <v>19501.346236215828</v>
      </c>
      <c r="P149" s="114">
        <f t="shared" ca="1" si="537"/>
        <v>35151.304087093995</v>
      </c>
      <c r="Q149" s="114">
        <f t="shared" ca="1" si="537"/>
        <v>63600.521613614765</v>
      </c>
      <c r="R149" s="114">
        <f t="shared" ca="1" si="537"/>
        <v>115680.28409788576</v>
      </c>
      <c r="S149" s="114">
        <f t="shared" ca="1" si="537"/>
        <v>211694.71874359139</v>
      </c>
      <c r="T149" s="114">
        <f t="shared" ca="1" si="537"/>
        <v>389929.66259141394</v>
      </c>
      <c r="U149" s="114">
        <f t="shared" ca="1" si="537"/>
        <v>722966.51082964498</v>
      </c>
      <c r="V149" s="114">
        <f t="shared" ca="1" si="537"/>
        <v>1349080.2373588509</v>
      </c>
      <c r="W149" s="114">
        <f t="shared" ca="1" si="537"/>
        <v>2532880.2529820809</v>
      </c>
      <c r="X149" s="114">
        <f t="shared" ca="1" si="537"/>
        <v>4782803.6421123827</v>
      </c>
      <c r="Y149" s="114">
        <f t="shared" ca="1" si="537"/>
        <v>9079423.9911192153</v>
      </c>
      <c r="Z149" s="114">
        <f t="shared" ca="1" si="537"/>
        <v>17320269.704723712</v>
      </c>
      <c r="AA149" s="114">
        <f t="shared" ca="1" si="537"/>
        <v>33188564.092626009</v>
      </c>
      <c r="AB149" s="114">
        <f t="shared" ca="1" si="537"/>
        <v>63853621.464668721</v>
      </c>
      <c r="AC149" s="114">
        <f t="shared" ca="1" si="537"/>
        <v>123305704.1043281</v>
      </c>
      <c r="AD149" s="114">
        <f t="shared" ca="1" si="537"/>
        <v>238908302.80501297</v>
      </c>
      <c r="AE149" s="114">
        <f t="shared" ca="1" si="537"/>
        <v>464293217.4532876</v>
      </c>
      <c r="AF149" s="114">
        <f t="shared" ca="1" si="537"/>
        <v>904776510.95793796</v>
      </c>
      <c r="AG149" s="114">
        <f t="shared" ca="1" si="537"/>
        <v>1767521084.880836</v>
      </c>
      <c r="AH149" s="114">
        <f t="shared" ca="1" si="537"/>
        <v>3460663211.2549739</v>
      </c>
      <c r="AI149" s="114">
        <f t="shared" ca="1" si="537"/>
        <v>6789416853.3119602</v>
      </c>
      <c r="AJ149" s="114">
        <f t="shared" ca="1" si="537"/>
        <v>13344426557.811949</v>
      </c>
      <c r="AK149" s="114">
        <f t="shared" ca="1" si="537"/>
        <v>26271548305.804008</v>
      </c>
      <c r="AL149" s="114">
        <f t="shared" ca="1" si="537"/>
        <v>51798964065.651382</v>
      </c>
      <c r="AM149" s="114">
        <f t="shared" ca="1" si="537"/>
        <v>102269021653.2753</v>
      </c>
      <c r="AN149" s="114">
        <f t="shared" ca="1" si="537"/>
        <v>202161615358.74829</v>
      </c>
      <c r="AO149" s="114">
        <f t="shared" ca="1" si="537"/>
        <v>400068368224.76685</v>
      </c>
      <c r="AP149" s="114">
        <f t="shared" ca="1" si="537"/>
        <v>792510210372.81165</v>
      </c>
    </row>
    <row r="150" spans="1:42" s="63" customFormat="1" ht="15.75" x14ac:dyDescent="0.25">
      <c r="A150" s="81" t="s">
        <v>147</v>
      </c>
      <c r="B150" s="114">
        <f t="shared" ca="1" si="529"/>
        <v>0.59996644195040472</v>
      </c>
      <c r="C150" s="114">
        <f t="shared" ref="C150:AP150" ca="1" si="538">ABS(($C133*($B133*C$138)^5+$D133*($B133*C$138)^4+ $E133*($B133*C$138)^3+$F133*($B133*C$138)^2+$G133*($B133*C$138)^1+$H133))+B150*B$157+B150*B$154</f>
        <v>1.6836870436687985</v>
      </c>
      <c r="D150" s="114">
        <f t="shared" ca="1" si="538"/>
        <v>5.592036204383561</v>
      </c>
      <c r="E150" s="114">
        <f t="shared" ca="1" si="538"/>
        <v>17.67255236481558</v>
      </c>
      <c r="F150" s="114">
        <f t="shared" ca="1" si="538"/>
        <v>47.882183115516384</v>
      </c>
      <c r="G150" s="114">
        <f t="shared" ca="1" si="538"/>
        <v>113.81801458000139</v>
      </c>
      <c r="H150" s="114">
        <f t="shared" ca="1" si="538"/>
        <v>246.12710808071438</v>
      </c>
      <c r="I150" s="114">
        <f t="shared" ca="1" si="538"/>
        <v>498.11453583857713</v>
      </c>
      <c r="J150" s="114">
        <f t="shared" ca="1" si="538"/>
        <v>962.90938755250056</v>
      </c>
      <c r="K150" s="114">
        <f t="shared" ca="1" si="538"/>
        <v>1804.3875616847463</v>
      </c>
      <c r="L150" s="114">
        <f t="shared" ca="1" si="538"/>
        <v>3313.3456108539149</v>
      </c>
      <c r="M150" s="114">
        <f t="shared" ca="1" si="538"/>
        <v>6010.3660059032245</v>
      </c>
      <c r="N150" s="114">
        <f t="shared" ca="1" si="538"/>
        <v>10835.599470749607</v>
      </c>
      <c r="O150" s="114">
        <f t="shared" ca="1" si="538"/>
        <v>19501.346236215828</v>
      </c>
      <c r="P150" s="114">
        <f t="shared" ca="1" si="538"/>
        <v>35151.304087093995</v>
      </c>
      <c r="Q150" s="114">
        <f t="shared" ca="1" si="538"/>
        <v>63600.521613614765</v>
      </c>
      <c r="R150" s="114">
        <f t="shared" ca="1" si="538"/>
        <v>115680.28409788576</v>
      </c>
      <c r="S150" s="114">
        <f t="shared" ca="1" si="538"/>
        <v>211694.71874359139</v>
      </c>
      <c r="T150" s="114">
        <f t="shared" ca="1" si="538"/>
        <v>389929.66259141394</v>
      </c>
      <c r="U150" s="114">
        <f t="shared" ca="1" si="538"/>
        <v>722966.51082964498</v>
      </c>
      <c r="V150" s="114">
        <f t="shared" ca="1" si="538"/>
        <v>1349080.2373588509</v>
      </c>
      <c r="W150" s="114">
        <f t="shared" ca="1" si="538"/>
        <v>2532880.2529820809</v>
      </c>
      <c r="X150" s="114">
        <f t="shared" ca="1" si="538"/>
        <v>4782803.6421123827</v>
      </c>
      <c r="Y150" s="114">
        <f t="shared" ca="1" si="538"/>
        <v>9079423.9911192153</v>
      </c>
      <c r="Z150" s="114">
        <f t="shared" ca="1" si="538"/>
        <v>17320269.704723712</v>
      </c>
      <c r="AA150" s="114">
        <f t="shared" ca="1" si="538"/>
        <v>33188564.092626009</v>
      </c>
      <c r="AB150" s="114">
        <f t="shared" ca="1" si="538"/>
        <v>63853621.464668721</v>
      </c>
      <c r="AC150" s="114">
        <f t="shared" ca="1" si="538"/>
        <v>123305704.1043281</v>
      </c>
      <c r="AD150" s="114">
        <f t="shared" ca="1" si="538"/>
        <v>238908302.80501297</v>
      </c>
      <c r="AE150" s="114">
        <f t="shared" ca="1" si="538"/>
        <v>464293217.4532876</v>
      </c>
      <c r="AF150" s="114">
        <f t="shared" ca="1" si="538"/>
        <v>904776510.95793796</v>
      </c>
      <c r="AG150" s="114">
        <f t="shared" ca="1" si="538"/>
        <v>1767521084.880836</v>
      </c>
      <c r="AH150" s="114">
        <f t="shared" ca="1" si="538"/>
        <v>3460663211.2549739</v>
      </c>
      <c r="AI150" s="114">
        <f t="shared" ca="1" si="538"/>
        <v>6789416853.3119602</v>
      </c>
      <c r="AJ150" s="114">
        <f t="shared" ca="1" si="538"/>
        <v>13344426557.811949</v>
      </c>
      <c r="AK150" s="114">
        <f t="shared" ca="1" si="538"/>
        <v>26271548305.804008</v>
      </c>
      <c r="AL150" s="114">
        <f t="shared" ca="1" si="538"/>
        <v>51798964065.651382</v>
      </c>
      <c r="AM150" s="114">
        <f t="shared" ca="1" si="538"/>
        <v>102269021653.2753</v>
      </c>
      <c r="AN150" s="114">
        <f t="shared" ca="1" si="538"/>
        <v>202161615358.74829</v>
      </c>
      <c r="AO150" s="114">
        <f t="shared" ca="1" si="538"/>
        <v>400068368224.76685</v>
      </c>
      <c r="AP150" s="114">
        <f t="shared" ca="1" si="538"/>
        <v>792510210372.81165</v>
      </c>
    </row>
    <row r="151" spans="1:42" s="63" customFormat="1" ht="31.5" x14ac:dyDescent="0.25">
      <c r="A151" s="39" t="s">
        <v>148</v>
      </c>
      <c r="B151" s="114">
        <f ca="1">ABS(($C$124*($B$124*B$138)^5+$D$124*($B$124*B$138)^4+ $E$124*($B$124*B$138)^3+$F$124*($B$124*B$138)^2+$G$124*($B$124*B$138)^1+$H$124))</f>
        <v>0</v>
      </c>
      <c r="C151" s="114">
        <f t="shared" ref="C151:AP151" ca="1" si="539">ABS(($C$124*($B$124*C$138)^5+$D$124*($B$124*C$138)^4+ $E$124*($B$124*C$138)^3+$F$124*($B$124*C$138)^2+$G$124*($B$124*C$138)^1+$H$124))</f>
        <v>0</v>
      </c>
      <c r="D151" s="114">
        <f t="shared" ca="1" si="539"/>
        <v>0</v>
      </c>
      <c r="E151" s="114">
        <f t="shared" ca="1" si="539"/>
        <v>0</v>
      </c>
      <c r="F151" s="114">
        <f t="shared" ca="1" si="539"/>
        <v>0</v>
      </c>
      <c r="G151" s="114">
        <f t="shared" ca="1" si="539"/>
        <v>0</v>
      </c>
      <c r="H151" s="114">
        <f t="shared" ca="1" si="539"/>
        <v>0</v>
      </c>
      <c r="I151" s="114">
        <f t="shared" ca="1" si="539"/>
        <v>0</v>
      </c>
      <c r="J151" s="114">
        <f t="shared" ca="1" si="539"/>
        <v>0</v>
      </c>
      <c r="K151" s="114">
        <f t="shared" ca="1" si="539"/>
        <v>0</v>
      </c>
      <c r="L151" s="114">
        <f t="shared" ca="1" si="539"/>
        <v>0</v>
      </c>
      <c r="M151" s="114">
        <f t="shared" ca="1" si="539"/>
        <v>0</v>
      </c>
      <c r="N151" s="114">
        <f t="shared" ca="1" si="539"/>
        <v>0</v>
      </c>
      <c r="O151" s="114">
        <f t="shared" ca="1" si="539"/>
        <v>0</v>
      </c>
      <c r="P151" s="114">
        <f t="shared" ca="1" si="539"/>
        <v>0</v>
      </c>
      <c r="Q151" s="114">
        <f t="shared" ca="1" si="539"/>
        <v>0</v>
      </c>
      <c r="R151" s="114">
        <f t="shared" ca="1" si="539"/>
        <v>0</v>
      </c>
      <c r="S151" s="114">
        <f t="shared" ca="1" si="539"/>
        <v>0</v>
      </c>
      <c r="T151" s="114">
        <f t="shared" ca="1" si="539"/>
        <v>0</v>
      </c>
      <c r="U151" s="114">
        <f t="shared" ca="1" si="539"/>
        <v>0</v>
      </c>
      <c r="V151" s="114">
        <f t="shared" ca="1" si="539"/>
        <v>0</v>
      </c>
      <c r="W151" s="114">
        <f t="shared" ca="1" si="539"/>
        <v>0</v>
      </c>
      <c r="X151" s="114">
        <f t="shared" ca="1" si="539"/>
        <v>0</v>
      </c>
      <c r="Y151" s="114">
        <f t="shared" ca="1" si="539"/>
        <v>0</v>
      </c>
      <c r="Z151" s="114">
        <f t="shared" ca="1" si="539"/>
        <v>0</v>
      </c>
      <c r="AA151" s="114">
        <f t="shared" ca="1" si="539"/>
        <v>0</v>
      </c>
      <c r="AB151" s="114">
        <f t="shared" ca="1" si="539"/>
        <v>0</v>
      </c>
      <c r="AC151" s="114">
        <f t="shared" ca="1" si="539"/>
        <v>0</v>
      </c>
      <c r="AD151" s="114">
        <f t="shared" ca="1" si="539"/>
        <v>0</v>
      </c>
      <c r="AE151" s="114">
        <f t="shared" ca="1" si="539"/>
        <v>0</v>
      </c>
      <c r="AF151" s="114">
        <f t="shared" ca="1" si="539"/>
        <v>0</v>
      </c>
      <c r="AG151" s="114">
        <f t="shared" ca="1" si="539"/>
        <v>0</v>
      </c>
      <c r="AH151" s="114">
        <f t="shared" ca="1" si="539"/>
        <v>0</v>
      </c>
      <c r="AI151" s="114">
        <f t="shared" ca="1" si="539"/>
        <v>0</v>
      </c>
      <c r="AJ151" s="114">
        <f t="shared" ca="1" si="539"/>
        <v>0</v>
      </c>
      <c r="AK151" s="114">
        <f t="shared" ca="1" si="539"/>
        <v>0</v>
      </c>
      <c r="AL151" s="114">
        <f t="shared" ca="1" si="539"/>
        <v>0</v>
      </c>
      <c r="AM151" s="114">
        <f t="shared" ca="1" si="539"/>
        <v>0</v>
      </c>
      <c r="AN151" s="114">
        <f t="shared" ca="1" si="539"/>
        <v>0</v>
      </c>
      <c r="AO151" s="114">
        <f t="shared" ca="1" si="539"/>
        <v>0</v>
      </c>
      <c r="AP151" s="114">
        <f t="shared" ca="1" si="539"/>
        <v>0</v>
      </c>
    </row>
    <row r="152" spans="1:42" ht="31.5" x14ac:dyDescent="0.25">
      <c r="A152" s="13" t="s">
        <v>156</v>
      </c>
      <c r="B152" s="115">
        <f t="shared" ref="B152:AP152" ca="1" si="540">B$139*$I$120+B$140*$I$121+B$141*$I$122+B$142*$I$125+B$143*$I$126+B$144*$I$127+B$145*$I$128+B$146*$I$129+B$147*$I$130+B$148*$I$131+B$149*$I$132+B$150*$I$133+B$151*$I$124+B$158*$I$123</f>
        <v>131.12846341270392</v>
      </c>
      <c r="C152" s="115">
        <f t="shared" ca="1" si="540"/>
        <v>671.69548696991478</v>
      </c>
      <c r="D152" s="115">
        <f t="shared" ca="1" si="540"/>
        <v>3488.9831250112525</v>
      </c>
      <c r="E152" s="115">
        <f t="shared" ca="1" si="540"/>
        <v>16403.72822516242</v>
      </c>
      <c r="F152" s="115">
        <f t="shared" ca="1" si="540"/>
        <v>61479.586197449607</v>
      </c>
      <c r="G152" s="115">
        <f t="shared" ca="1" si="540"/>
        <v>187181.55598915814</v>
      </c>
      <c r="H152" s="115">
        <f t="shared" ca="1" si="540"/>
        <v>484420.45931083831</v>
      </c>
      <c r="I152" s="115">
        <f t="shared" ca="1" si="540"/>
        <v>1106496.5609519128</v>
      </c>
      <c r="J152" s="115">
        <f t="shared" ca="1" si="540"/>
        <v>2293201.6205048077</v>
      </c>
      <c r="K152" s="115">
        <f t="shared" ca="1" si="540"/>
        <v>4398505.6340580983</v>
      </c>
      <c r="L152" s="115">
        <f t="shared" ca="1" si="540"/>
        <v>7922683.8598573543</v>
      </c>
      <c r="M152" s="115">
        <f t="shared" ca="1" si="540"/>
        <v>13548698.290558059</v>
      </c>
      <c r="N152" s="115">
        <f t="shared" ca="1" si="540"/>
        <v>22183320.975865882</v>
      </c>
      <c r="O152" s="115">
        <f t="shared" ca="1" si="540"/>
        <v>35003761.86676906</v>
      </c>
      <c r="P152" s="115">
        <f t="shared" ca="1" si="540"/>
        <v>53511246.387482308</v>
      </c>
      <c r="Q152" s="115">
        <f t="shared" ca="1" si="540"/>
        <v>79594799.410217345</v>
      </c>
      <c r="R152" s="115">
        <f t="shared" ca="1" si="540"/>
        <v>115609674.37375055</v>
      </c>
      <c r="S152" s="115">
        <f t="shared" ca="1" si="540"/>
        <v>164480950.45147586</v>
      </c>
      <c r="T152" s="115">
        <f t="shared" ca="1" si="540"/>
        <v>229852588.90873134</v>
      </c>
      <c r="U152" s="115">
        <f t="shared" ca="1" si="540"/>
        <v>316319553.76512575</v>
      </c>
      <c r="V152" s="115">
        <f t="shared" ca="1" si="540"/>
        <v>429817125.47541827</v>
      </c>
      <c r="W152" s="115">
        <f t="shared" ca="1" si="540"/>
        <v>578311324.16314995</v>
      </c>
      <c r="X152" s="115">
        <f t="shared" ca="1" si="540"/>
        <v>773071081.09558344</v>
      </c>
      <c r="Y152" s="115">
        <f t="shared" ca="1" si="540"/>
        <v>1031070670.4212115</v>
      </c>
      <c r="Z152" s="115">
        <f t="shared" ca="1" si="540"/>
        <v>1379596732.5319057</v>
      </c>
      <c r="AA152" s="115">
        <f t="shared" ca="1" si="540"/>
        <v>1865168142.471298</v>
      </c>
      <c r="AB152" s="115">
        <f t="shared" ca="1" si="540"/>
        <v>2570913160.2204075</v>
      </c>
      <c r="AC152" s="115">
        <f t="shared" ca="1" si="540"/>
        <v>3650564016.5962744</v>
      </c>
      <c r="AD152" s="115">
        <f t="shared" ca="1" si="540"/>
        <v>5395159045.0072012</v>
      </c>
      <c r="AE152" s="115">
        <f t="shared" ca="1" si="540"/>
        <v>8364220418.203455</v>
      </c>
      <c r="AF152" s="115">
        <f t="shared" ca="1" si="540"/>
        <v>13644204851.848831</v>
      </c>
      <c r="AG152" s="115">
        <f t="shared" ca="1" si="540"/>
        <v>23358496558.544346</v>
      </c>
      <c r="AH152" s="115">
        <f t="shared" ca="1" si="540"/>
        <v>41675100864.886566</v>
      </c>
      <c r="AI152" s="115">
        <f t="shared" ca="1" si="540"/>
        <v>76800077703.80455</v>
      </c>
      <c r="AJ152" s="115">
        <f t="shared" ca="1" si="540"/>
        <v>144925100030.798</v>
      </c>
      <c r="AK152" s="115">
        <f t="shared" ca="1" si="540"/>
        <v>278052061323.33508</v>
      </c>
      <c r="AL152" s="115">
        <f t="shared" ca="1" si="540"/>
        <v>539515646526.9856</v>
      </c>
      <c r="AM152" s="115">
        <f t="shared" ca="1" si="540"/>
        <v>1054800769037.3623</v>
      </c>
      <c r="AN152" s="115">
        <f t="shared" ca="1" si="540"/>
        <v>2072767690260.2058</v>
      </c>
      <c r="AO152" s="115">
        <f t="shared" ca="1" si="540"/>
        <v>4087364389855.5767</v>
      </c>
      <c r="AP152" s="115">
        <f t="shared" ca="1" si="540"/>
        <v>8079721782663.1807</v>
      </c>
    </row>
    <row r="153" spans="1:42" ht="31.5" x14ac:dyDescent="0.25">
      <c r="A153" s="13" t="s">
        <v>157</v>
      </c>
      <c r="B153" s="115">
        <f ca="1">B152</f>
        <v>131.12846341270392</v>
      </c>
      <c r="C153" s="115">
        <f t="shared" ref="C153:AP153" ca="1" si="541">C152</f>
        <v>671.69548696991478</v>
      </c>
      <c r="D153" s="115">
        <f t="shared" ca="1" si="541"/>
        <v>3488.9831250112525</v>
      </c>
      <c r="E153" s="115">
        <f t="shared" ca="1" si="541"/>
        <v>16403.72822516242</v>
      </c>
      <c r="F153" s="115">
        <f t="shared" ca="1" si="541"/>
        <v>61479.586197449607</v>
      </c>
      <c r="G153" s="115">
        <f t="shared" ca="1" si="541"/>
        <v>187181.55598915814</v>
      </c>
      <c r="H153" s="115">
        <f t="shared" ca="1" si="541"/>
        <v>484420.45931083831</v>
      </c>
      <c r="I153" s="115">
        <f t="shared" ca="1" si="541"/>
        <v>1106496.5609519128</v>
      </c>
      <c r="J153" s="115">
        <f t="shared" ca="1" si="541"/>
        <v>2293201.6205048077</v>
      </c>
      <c r="K153" s="115">
        <f t="shared" ca="1" si="541"/>
        <v>4398505.6340580983</v>
      </c>
      <c r="L153" s="115">
        <f t="shared" ca="1" si="541"/>
        <v>7922683.8598573543</v>
      </c>
      <c r="M153" s="115">
        <f t="shared" ca="1" si="541"/>
        <v>13548698.290558059</v>
      </c>
      <c r="N153" s="115">
        <f t="shared" ca="1" si="541"/>
        <v>22183320.975865882</v>
      </c>
      <c r="O153" s="115">
        <f t="shared" ca="1" si="541"/>
        <v>35003761.86676906</v>
      </c>
      <c r="P153" s="115">
        <f t="shared" ca="1" si="541"/>
        <v>53511246.387482308</v>
      </c>
      <c r="Q153" s="115">
        <f t="shared" ca="1" si="541"/>
        <v>79594799.410217345</v>
      </c>
      <c r="R153" s="115">
        <f t="shared" ca="1" si="541"/>
        <v>115609674.37375055</v>
      </c>
      <c r="S153" s="115">
        <f t="shared" ca="1" si="541"/>
        <v>164480950.45147586</v>
      </c>
      <c r="T153" s="115">
        <f t="shared" ca="1" si="541"/>
        <v>229852588.90873134</v>
      </c>
      <c r="U153" s="115">
        <f t="shared" ca="1" si="541"/>
        <v>316319553.76512575</v>
      </c>
      <c r="V153" s="115">
        <f t="shared" ca="1" si="541"/>
        <v>429817125.47541827</v>
      </c>
      <c r="W153" s="115">
        <f t="shared" ca="1" si="541"/>
        <v>578311324.16314995</v>
      </c>
      <c r="X153" s="115">
        <f t="shared" ca="1" si="541"/>
        <v>773071081.09558344</v>
      </c>
      <c r="Y153" s="115">
        <f t="shared" ca="1" si="541"/>
        <v>1031070670.4212115</v>
      </c>
      <c r="Z153" s="115">
        <f t="shared" ca="1" si="541"/>
        <v>1379596732.5319057</v>
      </c>
      <c r="AA153" s="115">
        <f t="shared" ca="1" si="541"/>
        <v>1865168142.471298</v>
      </c>
      <c r="AB153" s="115">
        <f t="shared" ca="1" si="541"/>
        <v>2570913160.2204075</v>
      </c>
      <c r="AC153" s="115">
        <f t="shared" ca="1" si="541"/>
        <v>3650564016.5962744</v>
      </c>
      <c r="AD153" s="115">
        <f t="shared" ca="1" si="541"/>
        <v>5395159045.0072012</v>
      </c>
      <c r="AE153" s="115">
        <f t="shared" ca="1" si="541"/>
        <v>8364220418.203455</v>
      </c>
      <c r="AF153" s="115">
        <f t="shared" ca="1" si="541"/>
        <v>13644204851.848831</v>
      </c>
      <c r="AG153" s="115">
        <f t="shared" ca="1" si="541"/>
        <v>23358496558.544346</v>
      </c>
      <c r="AH153" s="115">
        <f t="shared" ca="1" si="541"/>
        <v>41675100864.886566</v>
      </c>
      <c r="AI153" s="115">
        <f t="shared" ca="1" si="541"/>
        <v>76800077703.80455</v>
      </c>
      <c r="AJ153" s="115">
        <f t="shared" ca="1" si="541"/>
        <v>144925100030.798</v>
      </c>
      <c r="AK153" s="115">
        <f t="shared" ca="1" si="541"/>
        <v>278052061323.33508</v>
      </c>
      <c r="AL153" s="115">
        <f t="shared" ca="1" si="541"/>
        <v>539515646526.9856</v>
      </c>
      <c r="AM153" s="115">
        <f t="shared" ca="1" si="541"/>
        <v>1054800769037.3623</v>
      </c>
      <c r="AN153" s="115">
        <f t="shared" ca="1" si="541"/>
        <v>2072767690260.2058</v>
      </c>
      <c r="AO153" s="115">
        <f t="shared" ca="1" si="541"/>
        <v>4087364389855.5767</v>
      </c>
      <c r="AP153" s="115">
        <f t="shared" ca="1" si="541"/>
        <v>8079721782663.1807</v>
      </c>
    </row>
    <row r="154" spans="1:42" ht="31.5" x14ac:dyDescent="0.25">
      <c r="A154" s="13" t="s">
        <v>158</v>
      </c>
      <c r="B154" s="115">
        <f ca="1">B153/B152</f>
        <v>1</v>
      </c>
      <c r="C154" s="115">
        <f t="shared" ref="C154:AP154" ca="1" si="542">C153/C152</f>
        <v>1</v>
      </c>
      <c r="D154" s="115">
        <f t="shared" ca="1" si="542"/>
        <v>1</v>
      </c>
      <c r="E154" s="115">
        <f t="shared" ca="1" si="542"/>
        <v>1</v>
      </c>
      <c r="F154" s="115">
        <f t="shared" ca="1" si="542"/>
        <v>1</v>
      </c>
      <c r="G154" s="115">
        <f t="shared" ca="1" si="542"/>
        <v>1</v>
      </c>
      <c r="H154" s="115">
        <f t="shared" ca="1" si="542"/>
        <v>1</v>
      </c>
      <c r="I154" s="115">
        <f t="shared" ca="1" si="542"/>
        <v>1</v>
      </c>
      <c r="J154" s="115">
        <f t="shared" ca="1" si="542"/>
        <v>1</v>
      </c>
      <c r="K154" s="115">
        <f t="shared" ca="1" si="542"/>
        <v>1</v>
      </c>
      <c r="L154" s="115">
        <f t="shared" ca="1" si="542"/>
        <v>1</v>
      </c>
      <c r="M154" s="115">
        <f t="shared" ca="1" si="542"/>
        <v>1</v>
      </c>
      <c r="N154" s="115">
        <f t="shared" ca="1" si="542"/>
        <v>1</v>
      </c>
      <c r="O154" s="115">
        <f t="shared" ca="1" si="542"/>
        <v>1</v>
      </c>
      <c r="P154" s="115">
        <f t="shared" ca="1" si="542"/>
        <v>1</v>
      </c>
      <c r="Q154" s="115">
        <f t="shared" ca="1" si="542"/>
        <v>1</v>
      </c>
      <c r="R154" s="115">
        <f t="shared" ca="1" si="542"/>
        <v>1</v>
      </c>
      <c r="S154" s="115">
        <f t="shared" ca="1" si="542"/>
        <v>1</v>
      </c>
      <c r="T154" s="115">
        <f t="shared" ca="1" si="542"/>
        <v>1</v>
      </c>
      <c r="U154" s="115">
        <f t="shared" ca="1" si="542"/>
        <v>1</v>
      </c>
      <c r="V154" s="115">
        <f t="shared" ca="1" si="542"/>
        <v>1</v>
      </c>
      <c r="W154" s="115">
        <f t="shared" ca="1" si="542"/>
        <v>1</v>
      </c>
      <c r="X154" s="115">
        <f t="shared" ca="1" si="542"/>
        <v>1</v>
      </c>
      <c r="Y154" s="115">
        <f t="shared" ca="1" si="542"/>
        <v>1</v>
      </c>
      <c r="Z154" s="115">
        <f t="shared" ca="1" si="542"/>
        <v>1</v>
      </c>
      <c r="AA154" s="115">
        <f t="shared" ca="1" si="542"/>
        <v>1</v>
      </c>
      <c r="AB154" s="115">
        <f t="shared" ca="1" si="542"/>
        <v>1</v>
      </c>
      <c r="AC154" s="115">
        <f t="shared" ca="1" si="542"/>
        <v>1</v>
      </c>
      <c r="AD154" s="115">
        <f t="shared" ca="1" si="542"/>
        <v>1</v>
      </c>
      <c r="AE154" s="115">
        <f t="shared" ca="1" si="542"/>
        <v>1</v>
      </c>
      <c r="AF154" s="115">
        <f t="shared" ca="1" si="542"/>
        <v>1</v>
      </c>
      <c r="AG154" s="115">
        <f t="shared" ca="1" si="542"/>
        <v>1</v>
      </c>
      <c r="AH154" s="115">
        <f t="shared" ca="1" si="542"/>
        <v>1</v>
      </c>
      <c r="AI154" s="115">
        <f t="shared" ca="1" si="542"/>
        <v>1</v>
      </c>
      <c r="AJ154" s="115">
        <f t="shared" ca="1" si="542"/>
        <v>1</v>
      </c>
      <c r="AK154" s="115">
        <f t="shared" ca="1" si="542"/>
        <v>1</v>
      </c>
      <c r="AL154" s="115">
        <f t="shared" ca="1" si="542"/>
        <v>1</v>
      </c>
      <c r="AM154" s="115">
        <f t="shared" ca="1" si="542"/>
        <v>1</v>
      </c>
      <c r="AN154" s="115">
        <f t="shared" ca="1" si="542"/>
        <v>1</v>
      </c>
      <c r="AO154" s="115">
        <f t="shared" ca="1" si="542"/>
        <v>1</v>
      </c>
      <c r="AP154" s="115">
        <f t="shared" ca="1" si="542"/>
        <v>1</v>
      </c>
    </row>
    <row r="155" spans="1:42" ht="15.75" x14ac:dyDescent="0.25">
      <c r="A155" s="13" t="s">
        <v>86</v>
      </c>
      <c r="B155" s="115">
        <f t="shared" ref="B155:AP155" ca="1" si="543">1-(B$139*$J$120+B$140*$J$121+B$141*$J$122+B$142*$J$125+B$143*$J$126+B$144*$J$127+B$145*$J$128+B$146*$J$129*B$147*$J$130+B$148*$J$131+B$149*$J$132+B$150*$J$133+B$151*$J$124)</f>
        <v>0.88258912738924877</v>
      </c>
      <c r="C155" s="115">
        <f t="shared" ca="1" si="543"/>
        <v>0.39168505764996175</v>
      </c>
      <c r="D155" s="115">
        <f t="shared" ca="1" si="543"/>
        <v>-2.281620925297247</v>
      </c>
      <c r="E155" s="115">
        <f t="shared" ca="1" si="543"/>
        <v>-14.526873549546419</v>
      </c>
      <c r="F155" s="115">
        <f t="shared" ca="1" si="543"/>
        <v>-56.940984443762865</v>
      </c>
      <c r="G155" s="115">
        <f t="shared" ca="1" si="543"/>
        <v>-174.56573076520542</v>
      </c>
      <c r="H155" s="115">
        <f t="shared" ca="1" si="543"/>
        <v>-451.80787061378101</v>
      </c>
      <c r="I155" s="115">
        <f t="shared" ca="1" si="543"/>
        <v>-1031.1925857598944</v>
      </c>
      <c r="J155" s="115">
        <f t="shared" ca="1" si="543"/>
        <v>-2136.4429656471261</v>
      </c>
      <c r="K155" s="115">
        <f t="shared" ca="1" si="543"/>
        <v>-4100.2537207539735</v>
      </c>
      <c r="L155" s="115">
        <f t="shared" ca="1" si="543"/>
        <v>-7399.2492282264102</v>
      </c>
      <c r="M155" s="115">
        <f t="shared" ca="1" si="543"/>
        <v>-12701.181809855781</v>
      </c>
      <c r="N155" s="115">
        <f t="shared" ca="1" si="543"/>
        <v>-20939.584320622005</v>
      </c>
      <c r="O155" s="115">
        <f t="shared" ca="1" si="543"/>
        <v>-33461.376338831979</v>
      </c>
      <c r="P155" s="115">
        <f t="shared" ca="1" si="543"/>
        <v>-52390.096793859855</v>
      </c>
      <c r="Q155" s="115">
        <f t="shared" ca="1" si="543"/>
        <v>-81725.527833621818</v>
      </c>
      <c r="R155" s="115">
        <f t="shared" ca="1" si="543"/>
        <v>-130877.87762092143</v>
      </c>
      <c r="S155" s="115">
        <f t="shared" ca="1" si="543"/>
        <v>-226502.716957064</v>
      </c>
      <c r="T155" s="115">
        <f t="shared" ca="1" si="543"/>
        <v>-453474.91564252961</v>
      </c>
      <c r="U155" s="115">
        <f t="shared" ca="1" si="543"/>
        <v>-1099057.2258780124</v>
      </c>
      <c r="V155" s="115">
        <f t="shared" ca="1" si="543"/>
        <v>-3167142.5300089275</v>
      </c>
      <c r="W155" s="115">
        <f t="shared" ca="1" si="543"/>
        <v>-10233212.51525482</v>
      </c>
      <c r="X155" s="115">
        <f t="shared" ca="1" si="543"/>
        <v>-35201017.212136954</v>
      </c>
      <c r="Y155" s="115">
        <f t="shared" ca="1" si="543"/>
        <v>-125128545.56304598</v>
      </c>
      <c r="Z155" s="115">
        <f t="shared" ca="1" si="543"/>
        <v>-453164194.57221949</v>
      </c>
      <c r="AA155" s="115">
        <f t="shared" ca="1" si="543"/>
        <v>-1661441106.3897593</v>
      </c>
      <c r="AB155" s="115">
        <f t="shared" ca="1" si="543"/>
        <v>-6148286578.8831568</v>
      </c>
      <c r="AC155" s="115">
        <f t="shared" ca="1" si="543"/>
        <v>-22928938886.594578</v>
      </c>
      <c r="AD155" s="115">
        <f t="shared" ca="1" si="543"/>
        <v>-86089208669.508316</v>
      </c>
      <c r="AE155" s="115">
        <f t="shared" ca="1" si="543"/>
        <v>-325187330010.42383</v>
      </c>
      <c r="AF155" s="115">
        <f t="shared" ca="1" si="543"/>
        <v>-1235034664168.5571</v>
      </c>
      <c r="AG155" s="115">
        <f t="shared" ca="1" si="543"/>
        <v>-4713667382142.2471</v>
      </c>
      <c r="AH155" s="115">
        <f t="shared" ca="1" si="543"/>
        <v>-18070514783950.387</v>
      </c>
      <c r="AI155" s="115">
        <f t="shared" ca="1" si="543"/>
        <v>-69555439060943.805</v>
      </c>
      <c r="AJ155" s="115">
        <f t="shared" ca="1" si="543"/>
        <v>-268704548006900.41</v>
      </c>
      <c r="AK155" s="115">
        <f t="shared" ca="1" si="543"/>
        <v>-1041482892297970.5</v>
      </c>
      <c r="AL155" s="115">
        <f t="shared" ca="1" si="543"/>
        <v>-4048800678451918.5</v>
      </c>
      <c r="AM155" s="115">
        <f t="shared" ca="1" si="543"/>
        <v>-1.578245427581648E+16</v>
      </c>
      <c r="AN155" s="115">
        <f t="shared" ca="1" si="543"/>
        <v>-6.1671567836774112E+16</v>
      </c>
      <c r="AO155" s="115">
        <f t="shared" ca="1" si="543"/>
        <v>-2.4152203940792051E+17</v>
      </c>
      <c r="AP155" s="115">
        <f t="shared" ca="1" si="543"/>
        <v>-9.477602954457056E+17</v>
      </c>
    </row>
    <row r="156" spans="1:42" ht="15.75" x14ac:dyDescent="0.25">
      <c r="A156" s="38" t="s">
        <v>87</v>
      </c>
      <c r="B156" s="116">
        <v>0.85</v>
      </c>
      <c r="C156" s="116">
        <f>B156</f>
        <v>0.85</v>
      </c>
      <c r="D156" s="116">
        <f t="shared" ref="D156:AP156" si="544">C156</f>
        <v>0.85</v>
      </c>
      <c r="E156" s="116">
        <f t="shared" si="544"/>
        <v>0.85</v>
      </c>
      <c r="F156" s="116">
        <f t="shared" si="544"/>
        <v>0.85</v>
      </c>
      <c r="G156" s="116">
        <f t="shared" si="544"/>
        <v>0.85</v>
      </c>
      <c r="H156" s="116">
        <f t="shared" si="544"/>
        <v>0.85</v>
      </c>
      <c r="I156" s="116">
        <f t="shared" si="544"/>
        <v>0.85</v>
      </c>
      <c r="J156" s="116">
        <f t="shared" si="544"/>
        <v>0.85</v>
      </c>
      <c r="K156" s="117">
        <f t="shared" si="544"/>
        <v>0.85</v>
      </c>
      <c r="L156" s="116">
        <f t="shared" si="544"/>
        <v>0.85</v>
      </c>
      <c r="M156" s="116">
        <f t="shared" si="544"/>
        <v>0.85</v>
      </c>
      <c r="N156" s="116">
        <f t="shared" si="544"/>
        <v>0.85</v>
      </c>
      <c r="O156" s="116">
        <f t="shared" si="544"/>
        <v>0.85</v>
      </c>
      <c r="P156" s="116">
        <f t="shared" si="544"/>
        <v>0.85</v>
      </c>
      <c r="Q156" s="116">
        <f t="shared" si="544"/>
        <v>0.85</v>
      </c>
      <c r="R156" s="116">
        <f t="shared" si="544"/>
        <v>0.85</v>
      </c>
      <c r="S156" s="116">
        <f t="shared" si="544"/>
        <v>0.85</v>
      </c>
      <c r="T156" s="116">
        <f t="shared" si="544"/>
        <v>0.85</v>
      </c>
      <c r="U156" s="116">
        <f t="shared" si="544"/>
        <v>0.85</v>
      </c>
      <c r="V156" s="116">
        <f t="shared" si="544"/>
        <v>0.85</v>
      </c>
      <c r="W156" s="116">
        <f t="shared" si="544"/>
        <v>0.85</v>
      </c>
      <c r="X156" s="116">
        <f t="shared" si="544"/>
        <v>0.85</v>
      </c>
      <c r="Y156" s="116">
        <f t="shared" si="544"/>
        <v>0.85</v>
      </c>
      <c r="Z156" s="116">
        <f t="shared" si="544"/>
        <v>0.85</v>
      </c>
      <c r="AA156" s="116">
        <f t="shared" si="544"/>
        <v>0.85</v>
      </c>
      <c r="AB156" s="116">
        <f t="shared" si="544"/>
        <v>0.85</v>
      </c>
      <c r="AC156" s="116">
        <f t="shared" si="544"/>
        <v>0.85</v>
      </c>
      <c r="AD156" s="116">
        <f t="shared" si="544"/>
        <v>0.85</v>
      </c>
      <c r="AE156" s="116">
        <f t="shared" si="544"/>
        <v>0.85</v>
      </c>
      <c r="AF156" s="116">
        <f t="shared" si="544"/>
        <v>0.85</v>
      </c>
      <c r="AG156" s="116">
        <f t="shared" si="544"/>
        <v>0.85</v>
      </c>
      <c r="AH156" s="116">
        <f t="shared" si="544"/>
        <v>0.85</v>
      </c>
      <c r="AI156" s="116">
        <f t="shared" si="544"/>
        <v>0.85</v>
      </c>
      <c r="AJ156" s="116">
        <f t="shared" si="544"/>
        <v>0.85</v>
      </c>
      <c r="AK156" s="116">
        <f t="shared" si="544"/>
        <v>0.85</v>
      </c>
      <c r="AL156" s="116">
        <f t="shared" si="544"/>
        <v>0.85</v>
      </c>
      <c r="AM156" s="116">
        <f t="shared" si="544"/>
        <v>0.85</v>
      </c>
      <c r="AN156" s="116">
        <f t="shared" si="544"/>
        <v>0.85</v>
      </c>
      <c r="AO156" s="116">
        <f t="shared" si="544"/>
        <v>0.85</v>
      </c>
      <c r="AP156" s="116">
        <f t="shared" si="544"/>
        <v>0.85</v>
      </c>
    </row>
    <row r="157" spans="1:42" ht="31.5" x14ac:dyDescent="0.25">
      <c r="A157" s="13" t="s">
        <v>88</v>
      </c>
      <c r="B157" s="115">
        <f t="shared" ref="B157:AP157" si="545">1-(EXP(-0.00055*B136))</f>
        <v>9.4257291976451496E-2</v>
      </c>
      <c r="C157" s="115">
        <f t="shared" si="545"/>
        <v>0.17963014686216894</v>
      </c>
      <c r="D157" s="115">
        <f t="shared" si="545"/>
        <v>0.25695598763806016</v>
      </c>
      <c r="E157" s="115">
        <f t="shared" si="545"/>
        <v>0.32699330406261362</v>
      </c>
      <c r="F157" s="115">
        <f t="shared" si="545"/>
        <v>0.39042909270369075</v>
      </c>
      <c r="G157" s="115">
        <f t="shared" si="545"/>
        <v>0.4478855956930694</v>
      </c>
      <c r="H157" s="115">
        <f t="shared" si="545"/>
        <v>0.49992640430423241</v>
      </c>
      <c r="I157" s="115">
        <f t="shared" si="545"/>
        <v>0.54706198722344235</v>
      </c>
      <c r="J157" s="115">
        <f t="shared" si="545"/>
        <v>0.58975469774095601</v>
      </c>
      <c r="K157" s="115">
        <f t="shared" si="545"/>
        <v>0.62842330897795429</v>
      </c>
      <c r="L157" s="115">
        <f t="shared" si="545"/>
        <v>0.66344712163526298</v>
      </c>
      <c r="M157" s="115">
        <f t="shared" si="545"/>
        <v>0.69516968455680317</v>
      </c>
      <c r="N157" s="115">
        <f t="shared" si="545"/>
        <v>0.72390216460280643</v>
      </c>
      <c r="O157" s="115">
        <f t="shared" si="545"/>
        <v>0.74992639888790591</v>
      </c>
      <c r="P157" s="115">
        <f t="shared" si="545"/>
        <v>0.77349765932353121</v>
      </c>
      <c r="Q157" s="115">
        <f t="shared" si="545"/>
        <v>0.79484715658202287</v>
      </c>
      <c r="R157" s="115">
        <f t="shared" si="545"/>
        <v>0.81418430804387032</v>
      </c>
      <c r="S157" s="115">
        <f t="shared" si="545"/>
        <v>0.83169879197438568</v>
      </c>
      <c r="T157" s="115">
        <f t="shared" si="545"/>
        <v>0.84756240807924543</v>
      </c>
      <c r="U157" s="115">
        <f t="shared" si="545"/>
        <v>0.86193076268910718</v>
      </c>
      <c r="V157" s="115">
        <f t="shared" si="545"/>
        <v>0.87494479510328604</v>
      </c>
      <c r="W157" s="115">
        <f t="shared" si="545"/>
        <v>0.88673216006441047</v>
      </c>
      <c r="X157" s="115">
        <f t="shared" si="545"/>
        <v>0.89740847992476136</v>
      </c>
      <c r="Y157" s="115">
        <f t="shared" si="545"/>
        <v>0.90707847878680115</v>
      </c>
      <c r="Z157" s="115">
        <f t="shared" si="545"/>
        <v>0.91583700974268967</v>
      </c>
      <c r="AA157" s="115">
        <f t="shared" si="545"/>
        <v>0.92376998528898424</v>
      </c>
      <c r="AB157" s="115">
        <f t="shared" si="545"/>
        <v>0.9309552200429696</v>
      </c>
      <c r="AC157" s="115">
        <f t="shared" si="545"/>
        <v>0.93746319402682921</v>
      </c>
      <c r="AD157" s="115">
        <f t="shared" si="545"/>
        <v>0.94335774400671712</v>
      </c>
      <c r="AE157" s="115">
        <f t="shared" si="545"/>
        <v>0.94869668966808085</v>
      </c>
      <c r="AF157" s="115">
        <f t="shared" si="545"/>
        <v>0.95353240076939505</v>
      </c>
      <c r="AG157" s="115">
        <f t="shared" si="545"/>
        <v>0.95791231083751893</v>
      </c>
      <c r="AH157" s="115">
        <f t="shared" si="545"/>
        <v>0.96187938244352111</v>
      </c>
      <c r="AI157" s="115">
        <f t="shared" si="545"/>
        <v>0.9654725286228647</v>
      </c>
      <c r="AJ157" s="115">
        <f t="shared" si="545"/>
        <v>0.96872699457366795</v>
      </c>
      <c r="AK157" s="115">
        <f t="shared" si="545"/>
        <v>0.97167470337711892</v>
      </c>
      <c r="AL157" s="115">
        <f t="shared" si="545"/>
        <v>0.97434456913122136</v>
      </c>
      <c r="AM157" s="115">
        <f t="shared" si="545"/>
        <v>0.97676278056940147</v>
      </c>
      <c r="AN157" s="115">
        <f t="shared" si="545"/>
        <v>0.9789530579459923</v>
      </c>
      <c r="AO157" s="115">
        <f t="shared" si="545"/>
        <v>0.98093688570838833</v>
      </c>
      <c r="AP157" s="115">
        <f t="shared" si="545"/>
        <v>0.98273372323815322</v>
      </c>
    </row>
    <row r="158" spans="1:42" s="119" customFormat="1" ht="15.75" x14ac:dyDescent="0.25">
      <c r="A158" s="39" t="s">
        <v>89</v>
      </c>
      <c r="B158" s="118">
        <f ca="1">ABS(($C123*($B123*B$138)^5+$D123*($B123*B$138)^4+ $E123*($B123*B$138)^3+$F123*($B123*B$138)^2+$G123*($B123*B$138)^1+$H123))</f>
        <v>17.463829170907005</v>
      </c>
      <c r="C158" s="118">
        <f ca="1">ABS(($C123*($B123*C$138)^5+$D123*($B123*C$138)^4+ $E123*($B123*C$138)^3+$F123*($B123*C$138)^2+$G123*($B123*C$138)^1+$H123))</f>
        <v>25.538671265143158</v>
      </c>
      <c r="D158" s="118">
        <f t="shared" ref="D158:AP158" ca="1" si="546">ABS(($C123*($B123*D$138)^5+$D123*($B123*D$138)^4+ $E123*($B123*D$138)^3+$F123*($B123*D$138)^2+$G123*($B123*D$138)^1+$H123))</f>
        <v>28.738216854646986</v>
      </c>
      <c r="E158" s="118">
        <f t="shared" ca="1" si="546"/>
        <v>29.989518935464446</v>
      </c>
      <c r="F158" s="118">
        <f t="shared" ca="1" si="546"/>
        <v>30.929015705892752</v>
      </c>
      <c r="G158" s="118">
        <f t="shared" ca="1" si="546"/>
        <v>32.198553344624173</v>
      </c>
      <c r="H158" s="118">
        <f t="shared" ca="1" si="546"/>
        <v>33.741408788889999</v>
      </c>
      <c r="I158" s="118">
        <f t="shared" ca="1" si="546"/>
        <v>35.098312512604195</v>
      </c>
      <c r="J158" s="118">
        <f t="shared" ca="1" si="546"/>
        <v>35.703471304507502</v>
      </c>
      <c r="K158" s="118">
        <f t="shared" ca="1" si="546"/>
        <v>35.180591046310724</v>
      </c>
      <c r="L158" s="118">
        <f t="shared" ca="1" si="546"/>
        <v>33.638899490839606</v>
      </c>
      <c r="M158" s="118">
        <f t="shared" ca="1" si="546"/>
        <v>31.969169040176894</v>
      </c>
      <c r="N158" s="118">
        <f t="shared" ca="1" si="546"/>
        <v>32.139739523808771</v>
      </c>
      <c r="O158" s="118">
        <f t="shared" ca="1" si="546"/>
        <v>37.492540976766065</v>
      </c>
      <c r="P158" s="118">
        <f t="shared" ca="1" si="546"/>
        <v>53.039116417770913</v>
      </c>
      <c r="Q158" s="118">
        <f t="shared" ca="1" si="546"/>
        <v>85.756644627373703</v>
      </c>
      <c r="R158" s="118">
        <f t="shared" ca="1" si="546"/>
        <v>144.88396292611151</v>
      </c>
      <c r="S158" s="118">
        <f t="shared" ca="1" si="546"/>
        <v>242.21758995263406</v>
      </c>
      <c r="T158" s="118">
        <f t="shared" ca="1" si="546"/>
        <v>392.40774844185825</v>
      </c>
      <c r="U158" s="118">
        <f t="shared" ca="1" si="546"/>
        <v>613.25438800311213</v>
      </c>
      <c r="V158" s="118">
        <f t="shared" ca="1" si="546"/>
        <v>926.0032078982739</v>
      </c>
      <c r="W158" s="118">
        <f t="shared" ca="1" si="546"/>
        <v>1355.6416798199248</v>
      </c>
      <c r="X158" s="118">
        <f t="shared" ca="1" si="546"/>
        <v>1931.1950706694715</v>
      </c>
      <c r="Y158" s="118">
        <f t="shared" ca="1" si="546"/>
        <v>2686.0224653353157</v>
      </c>
      <c r="Z158" s="118">
        <f t="shared" ca="1" si="546"/>
        <v>3658.1127894709944</v>
      </c>
      <c r="AA158" s="118">
        <f t="shared" ca="1" si="546"/>
        <v>4890.380832273303</v>
      </c>
      <c r="AB158" s="118">
        <f t="shared" ca="1" si="546"/>
        <v>6430.9632692604482</v>
      </c>
      <c r="AC158" s="118">
        <f t="shared" ca="1" si="546"/>
        <v>8333.5146850502188</v>
      </c>
      <c r="AD158" s="118">
        <f t="shared" ca="1" si="546"/>
        <v>10657.503596138102</v>
      </c>
      <c r="AE158" s="118">
        <f t="shared" ca="1" si="546"/>
        <v>13468.508473675403</v>
      </c>
      <c r="AF158" s="118">
        <f t="shared" ca="1" si="546"/>
        <v>16838.513766247448</v>
      </c>
      <c r="AG158" s="118">
        <f t="shared" ca="1" si="546"/>
        <v>20846.20592265165</v>
      </c>
      <c r="AH158" s="118">
        <f t="shared" ca="1" si="546"/>
        <v>25577.269414675833</v>
      </c>
      <c r="AI158" s="118">
        <f t="shared" ca="1" si="546"/>
        <v>31124.682759876028</v>
      </c>
      <c r="AJ158" s="118">
        <f t="shared" ca="1" si="546"/>
        <v>37589.01454435513</v>
      </c>
      <c r="AK158" s="118">
        <f t="shared" ca="1" si="546"/>
        <v>45078.719445540337</v>
      </c>
      <c r="AL158" s="118">
        <f t="shared" ca="1" si="546"/>
        <v>53710.434254962114</v>
      </c>
      <c r="AM158" s="118">
        <f t="shared" ca="1" si="546"/>
        <v>63609.273901031651</v>
      </c>
      <c r="AN158" s="118">
        <f t="shared" ca="1" si="546"/>
        <v>74909.127471819404</v>
      </c>
      <c r="AO158" s="118">
        <f t="shared" ca="1" si="546"/>
        <v>87752.954237833052</v>
      </c>
      <c r="AP158" s="118">
        <f t="shared" ca="1" si="546"/>
        <v>102293.07967479588</v>
      </c>
    </row>
    <row r="159" spans="1:42" ht="15.75" x14ac:dyDescent="0.25">
      <c r="A159" s="39" t="s">
        <v>90</v>
      </c>
      <c r="B159" s="118">
        <f ca="1">1-B155</f>
        <v>0.11741087261075123</v>
      </c>
      <c r="C159" s="118">
        <f t="shared" ref="C159:AP159" ca="1" si="547">1-C155</f>
        <v>0.60831494235003825</v>
      </c>
      <c r="D159" s="118">
        <f t="shared" ca="1" si="547"/>
        <v>3.281620925297247</v>
      </c>
      <c r="E159" s="118">
        <f t="shared" ca="1" si="547"/>
        <v>15.526873549546419</v>
      </c>
      <c r="F159" s="118">
        <f t="shared" ca="1" si="547"/>
        <v>57.940984443762865</v>
      </c>
      <c r="G159" s="118">
        <f t="shared" ca="1" si="547"/>
        <v>175.56573076520542</v>
      </c>
      <c r="H159" s="118">
        <f t="shared" ca="1" si="547"/>
        <v>452.80787061378101</v>
      </c>
      <c r="I159" s="118">
        <f t="shared" ca="1" si="547"/>
        <v>1032.1925857598944</v>
      </c>
      <c r="J159" s="118">
        <f t="shared" ca="1" si="547"/>
        <v>2137.4429656471261</v>
      </c>
      <c r="K159" s="118">
        <f t="shared" ca="1" si="547"/>
        <v>4101.2537207539735</v>
      </c>
      <c r="L159" s="118">
        <f t="shared" ca="1" si="547"/>
        <v>7400.2492282264102</v>
      </c>
      <c r="M159" s="118">
        <f t="shared" ca="1" si="547"/>
        <v>12702.181809855781</v>
      </c>
      <c r="N159" s="118">
        <f t="shared" ca="1" si="547"/>
        <v>20940.584320622005</v>
      </c>
      <c r="O159" s="118">
        <f t="shared" ca="1" si="547"/>
        <v>33462.376338831979</v>
      </c>
      <c r="P159" s="118">
        <f t="shared" ca="1" si="547"/>
        <v>52391.096793859855</v>
      </c>
      <c r="Q159" s="118">
        <f t="shared" ca="1" si="547"/>
        <v>81726.527833621818</v>
      </c>
      <c r="R159" s="118">
        <f t="shared" ca="1" si="547"/>
        <v>130878.87762092143</v>
      </c>
      <c r="S159" s="118">
        <f t="shared" ca="1" si="547"/>
        <v>226503.716957064</v>
      </c>
      <c r="T159" s="118">
        <f t="shared" ca="1" si="547"/>
        <v>453475.91564252961</v>
      </c>
      <c r="U159" s="118">
        <f t="shared" ca="1" si="547"/>
        <v>1099058.2258780124</v>
      </c>
      <c r="V159" s="118">
        <f t="shared" ca="1" si="547"/>
        <v>3167143.5300089275</v>
      </c>
      <c r="W159" s="118">
        <f t="shared" ca="1" si="547"/>
        <v>10233213.51525482</v>
      </c>
      <c r="X159" s="118">
        <f t="shared" ca="1" si="547"/>
        <v>35201018.212136954</v>
      </c>
      <c r="Y159" s="118">
        <f t="shared" ca="1" si="547"/>
        <v>125128546.56304598</v>
      </c>
      <c r="Z159" s="118">
        <f t="shared" ca="1" si="547"/>
        <v>453164195.57221949</v>
      </c>
      <c r="AA159" s="118">
        <f t="shared" ca="1" si="547"/>
        <v>1661441107.3897593</v>
      </c>
      <c r="AB159" s="118">
        <f t="shared" ca="1" si="547"/>
        <v>6148286579.8831568</v>
      </c>
      <c r="AC159" s="118">
        <f t="shared" ca="1" si="547"/>
        <v>22928938887.594578</v>
      </c>
      <c r="AD159" s="118">
        <f t="shared" ca="1" si="547"/>
        <v>86089208670.508316</v>
      </c>
      <c r="AE159" s="118">
        <f t="shared" ca="1" si="547"/>
        <v>325187330011.42383</v>
      </c>
      <c r="AF159" s="118">
        <f t="shared" ca="1" si="547"/>
        <v>1235034664169.5571</v>
      </c>
      <c r="AG159" s="118">
        <f t="shared" ca="1" si="547"/>
        <v>4713667382143.2471</v>
      </c>
      <c r="AH159" s="118">
        <f t="shared" ca="1" si="547"/>
        <v>18070514783951.387</v>
      </c>
      <c r="AI159" s="118">
        <f t="shared" ca="1" si="547"/>
        <v>69555439060944.805</v>
      </c>
      <c r="AJ159" s="118">
        <f t="shared" ca="1" si="547"/>
        <v>268704548006901.41</v>
      </c>
      <c r="AK159" s="118">
        <f t="shared" ca="1" si="547"/>
        <v>1041482892297971.5</v>
      </c>
      <c r="AL159" s="118">
        <f t="shared" ca="1" si="547"/>
        <v>4048800678451919.5</v>
      </c>
      <c r="AM159" s="118">
        <f t="shared" ca="1" si="547"/>
        <v>1.578245427581648E+16</v>
      </c>
      <c r="AN159" s="118">
        <f t="shared" ca="1" si="547"/>
        <v>6.1671567836774112E+16</v>
      </c>
      <c r="AO159" s="118">
        <f t="shared" ca="1" si="547"/>
        <v>2.4152203940792051E+17</v>
      </c>
      <c r="AP159" s="118">
        <f t="shared" ca="1" si="547"/>
        <v>9.477602954457056E+17</v>
      </c>
    </row>
    <row r="160" spans="1:42" ht="15.75" x14ac:dyDescent="0.25">
      <c r="A160" s="39" t="s">
        <v>91</v>
      </c>
      <c r="B160" s="118">
        <f ca="1">B147+B144</f>
        <v>0.6456678468351752</v>
      </c>
      <c r="C160" s="118">
        <f t="shared" ref="C160:AP160" ca="1" si="548">C147+C144</f>
        <v>1.8520358957969778</v>
      </c>
      <c r="D160" s="118">
        <f t="shared" ca="1" si="548"/>
        <v>3.5996989201204039</v>
      </c>
      <c r="E160" s="118">
        <f t="shared" ca="1" si="548"/>
        <v>6.020543479701983</v>
      </c>
      <c r="F160" s="118">
        <f t="shared" ca="1" si="548"/>
        <v>9.5040894217455065</v>
      </c>
      <c r="G160" s="118">
        <f t="shared" ca="1" si="548"/>
        <v>14.856768905711885</v>
      </c>
      <c r="H160" s="118">
        <f t="shared" ca="1" si="548"/>
        <v>23.560183713149399</v>
      </c>
      <c r="I160" s="118">
        <f t="shared" ca="1" si="548"/>
        <v>38.207681968717992</v>
      </c>
      <c r="J160" s="118">
        <f t="shared" ca="1" si="548"/>
        <v>63.262666202489356</v>
      </c>
      <c r="K160" s="118">
        <f t="shared" ca="1" si="548"/>
        <v>106.40197279849765</v>
      </c>
      <c r="L160" s="118">
        <f t="shared" ca="1" si="548"/>
        <v>180.93210417239732</v>
      </c>
      <c r="M160" s="118">
        <f t="shared" ca="1" si="548"/>
        <v>310.18797389219111</v>
      </c>
      <c r="N160" s="118">
        <f t="shared" ca="1" si="548"/>
        <v>535.62078568069592</v>
      </c>
      <c r="O160" s="118">
        <f t="shared" ca="1" si="548"/>
        <v>931.79445013556744</v>
      </c>
      <c r="P160" s="118">
        <f t="shared" ca="1" si="548"/>
        <v>1634.3944240001747</v>
      </c>
      <c r="Q160" s="118">
        <f t="shared" ca="1" si="548"/>
        <v>2905.8104570489627</v>
      </c>
      <c r="R160" s="118">
        <f t="shared" ca="1" si="548"/>
        <v>5239.4499284992116</v>
      </c>
      <c r="S160" s="118">
        <f t="shared" ca="1" si="548"/>
        <v>9555.612195472313</v>
      </c>
      <c r="T160" s="118">
        <f t="shared" ca="1" si="548"/>
        <v>17592.218096046981</v>
      </c>
      <c r="U160" s="118">
        <f t="shared" ca="1" si="548"/>
        <v>32647.052301250096</v>
      </c>
      <c r="V160" s="118">
        <f t="shared" ca="1" si="548"/>
        <v>61006.339847226278</v>
      </c>
      <c r="W160" s="118">
        <f t="shared" ca="1" si="548"/>
        <v>114703.88073467543</v>
      </c>
      <c r="X160" s="118">
        <f t="shared" ca="1" si="548"/>
        <v>216866.98559129651</v>
      </c>
      <c r="Y160" s="118">
        <f t="shared" ca="1" si="548"/>
        <v>412104.55585733027</v>
      </c>
      <c r="Z160" s="118">
        <f t="shared" ca="1" si="548"/>
        <v>786746.41449747677</v>
      </c>
      <c r="AA160" s="118">
        <f t="shared" ca="1" si="548"/>
        <v>1508371.2121569756</v>
      </c>
      <c r="AB160" s="118">
        <f t="shared" ca="1" si="548"/>
        <v>2903174.946425376</v>
      </c>
      <c r="AC160" s="118">
        <f t="shared" ca="1" si="548"/>
        <v>5607707.9713250482</v>
      </c>
      <c r="AD160" s="118">
        <f t="shared" ca="1" si="548"/>
        <v>10867005.802984303</v>
      </c>
      <c r="AE160" s="118">
        <f t="shared" ca="1" si="548"/>
        <v>21121319.346199851</v>
      </c>
      <c r="AF160" s="118">
        <f t="shared" ca="1" si="548"/>
        <v>41162548.843173601</v>
      </c>
      <c r="AG160" s="118">
        <f t="shared" ca="1" si="548"/>
        <v>80416656.985457003</v>
      </c>
      <c r="AH160" s="118">
        <f t="shared" ca="1" si="548"/>
        <v>157453957.6153166</v>
      </c>
      <c r="AI160" s="118">
        <f t="shared" ca="1" si="548"/>
        <v>308911924.6856966</v>
      </c>
      <c r="AJ160" s="118">
        <f t="shared" ca="1" si="548"/>
        <v>607165372.41104567</v>
      </c>
      <c r="AK160" s="118">
        <f t="shared" ca="1" si="548"/>
        <v>1195351728.9156408</v>
      </c>
      <c r="AL160" s="118">
        <f t="shared" ca="1" si="548"/>
        <v>2356855234.355123</v>
      </c>
      <c r="AM160" s="118">
        <f t="shared" ca="1" si="548"/>
        <v>4653256619.3925171</v>
      </c>
      <c r="AN160" s="118">
        <f t="shared" ca="1" si="548"/>
        <v>9198398840.5952435</v>
      </c>
      <c r="AO160" s="118">
        <f t="shared" ca="1" si="548"/>
        <v>18203216184.823593</v>
      </c>
      <c r="AP160" s="118">
        <f t="shared" ca="1" si="548"/>
        <v>36059441662.926384</v>
      </c>
    </row>
    <row r="161" spans="1:42" ht="15.75" x14ac:dyDescent="0.25">
      <c r="A161" s="39" t="s">
        <v>92</v>
      </c>
      <c r="B161" s="118">
        <f ca="1">B152/'Единичные ставки+критерии'!$W$2</f>
        <v>3.1221062717310458E-2</v>
      </c>
      <c r="C161" s="118">
        <f ca="1">C152/'Единичные ставки+критерии'!$W$2</f>
        <v>0.15992749689759875</v>
      </c>
      <c r="D161" s="118">
        <f ca="1">D152/'Единичные ставки+критерии'!$W$2</f>
        <v>0.83071026785982205</v>
      </c>
      <c r="E161" s="118">
        <f ca="1">E152/'Единичные ставки+критерии'!$W$2</f>
        <v>3.905649577419624</v>
      </c>
      <c r="F161" s="118">
        <f ca="1">F152/'Единичные ставки+критерии'!$W$2</f>
        <v>14.637996713678477</v>
      </c>
      <c r="G161" s="118">
        <f ca="1">G152/'Единичные ставки+критерии'!$W$2</f>
        <v>44.567037140275744</v>
      </c>
      <c r="H161" s="118">
        <f ca="1">H152/'Единичные ставки+критерии'!$W$2</f>
        <v>115.33820459781865</v>
      </c>
      <c r="I161" s="118">
        <f ca="1">I152/'Единичные ставки+критерии'!$W$2</f>
        <v>263.4515621314078</v>
      </c>
      <c r="J161" s="118">
        <f ca="1">J152/'Единичные ставки+критерии'!$W$2</f>
        <v>546.00038583447804</v>
      </c>
      <c r="K161" s="118">
        <f ca="1">K152/'Единичные ставки+критерии'!$W$2</f>
        <v>1047.2632462043091</v>
      </c>
      <c r="L161" s="118">
        <f ca="1">L152/'Единичные ставки+критерии'!$W$2</f>
        <v>1886.3532999660367</v>
      </c>
      <c r="M161" s="118">
        <f ca="1">M152/'Единичные ставки+критерии'!$W$2</f>
        <v>3225.8805453709665</v>
      </c>
      <c r="N161" s="118">
        <f ca="1">N152/'Единичные ставки+критерии'!$W$2</f>
        <v>5281.7430894918771</v>
      </c>
      <c r="O161" s="118">
        <f ca="1">O152/'Единичные ставки+критерии'!$W$2</f>
        <v>8334.2290158973956</v>
      </c>
      <c r="P161" s="118">
        <f ca="1">P152/'Единичные ставки+критерии'!$W$2</f>
        <v>12740.772949400549</v>
      </c>
      <c r="Q161" s="118">
        <f ca="1">Q152/'Единичные ставки+критерии'!$W$2</f>
        <v>18951.142716718416</v>
      </c>
      <c r="R161" s="118">
        <f ca="1">R152/'Единичные ставки+критерии'!$W$2</f>
        <v>27526.112946131085</v>
      </c>
      <c r="S161" s="118">
        <f ca="1">S152/'Единичные ставки+критерии'!$W$2</f>
        <v>39162.131059875202</v>
      </c>
      <c r="T161" s="118">
        <f ca="1">T152/'Единичные ставки+критерии'!$W$2</f>
        <v>54726.80688303127</v>
      </c>
      <c r="U161" s="118">
        <f ca="1">U152/'Единичные ставки+критерии'!$W$2</f>
        <v>75314.179467887079</v>
      </c>
      <c r="V161" s="118">
        <f ca="1">V152/'Единичные ставки+критерии'!$W$2</f>
        <v>102337.41082748055</v>
      </c>
      <c r="W161" s="118">
        <f ca="1">W152/'Единичные ставки+критерии'!$W$2</f>
        <v>137693.1724197976</v>
      </c>
      <c r="X161" s="118">
        <f ca="1">X152/'Единичные ставки+критерии'!$W$2</f>
        <v>184064.54311799604</v>
      </c>
      <c r="Y161" s="118">
        <f ca="1">Y152/'Единичные ставки+критерии'!$W$2</f>
        <v>245493.01676695512</v>
      </c>
      <c r="Z161" s="118">
        <f ca="1">Z152/'Единичные ставки+критерии'!$W$2</f>
        <v>328475.4125075966</v>
      </c>
      <c r="AA161" s="118">
        <f ca="1">AA152/'Единичные ставки+критерии'!$W$2</f>
        <v>444087.65296935668</v>
      </c>
      <c r="AB161" s="118">
        <f ca="1">AB152/'Единичные ставки+критерии'!$W$2</f>
        <v>612122.18100485893</v>
      </c>
      <c r="AC161" s="118">
        <f ca="1">AC152/'Единичные ставки+критерии'!$W$2</f>
        <v>869181.90871339862</v>
      </c>
      <c r="AD161" s="118">
        <f ca="1">AD152/'Единичные ставки+критерии'!$W$2</f>
        <v>1284561.6773826669</v>
      </c>
      <c r="AE161" s="118">
        <f ca="1">AE152/'Единичные ставки+критерии'!$W$2</f>
        <v>1991481.0519532035</v>
      </c>
      <c r="AF161" s="118">
        <f ca="1">AF152/'Единичные ставки+критерии'!$W$2</f>
        <v>3248620.2028211504</v>
      </c>
      <c r="AG161" s="118">
        <f ca="1">AG152/'Единичные ставки+критерии'!$W$2</f>
        <v>5561546.7996534156</v>
      </c>
      <c r="AH161" s="118">
        <f ca="1">AH152/'Единичные ставки+критерии'!$W$2</f>
        <v>9922643.0630682297</v>
      </c>
      <c r="AI161" s="118">
        <f ca="1">AI152/'Единичные ставки+критерии'!$W$2</f>
        <v>18285732.786620133</v>
      </c>
      <c r="AJ161" s="118">
        <f ca="1">AJ152/'Единичные ставки+критерии'!$W$2</f>
        <v>34505976.197809048</v>
      </c>
      <c r="AK161" s="118">
        <f ca="1">AK152/'Единичные ставки+критерии'!$W$2</f>
        <v>66202871.743651211</v>
      </c>
      <c r="AL161" s="118">
        <f ca="1">AL152/'Единичные ставки+критерии'!$W$2</f>
        <v>128456106.31594895</v>
      </c>
      <c r="AM161" s="118">
        <f ca="1">AM152/'Единичные ставки+критерии'!$W$2</f>
        <v>251143040.24699104</v>
      </c>
      <c r="AN161" s="118">
        <f ca="1">AN152/'Единичные ставки+критерии'!$W$2</f>
        <v>493516116.72862041</v>
      </c>
      <c r="AO161" s="118">
        <f ca="1">AO152/'Единичные ставки+критерии'!$W$2</f>
        <v>973181997.58466113</v>
      </c>
      <c r="AP161" s="118">
        <f ca="1">AP152/'Единичные ставки+критерии'!$W$2</f>
        <v>1923743281.5864716</v>
      </c>
    </row>
    <row r="162" spans="1:42" ht="31.5" x14ac:dyDescent="0.25">
      <c r="A162" s="39" t="s">
        <v>93</v>
      </c>
      <c r="B162" s="118">
        <f ca="1">B152/'Единичные ставки+критерии'!$W$1</f>
        <v>3.746527526077255E-3</v>
      </c>
      <c r="C162" s="118">
        <f ca="1">C152/'Единичные ставки+критерии'!$W$1</f>
        <v>1.919129962771185E-2</v>
      </c>
      <c r="D162" s="118">
        <f ca="1">D152/'Единичные ставки+критерии'!$W$1</f>
        <v>9.9685232143178648E-2</v>
      </c>
      <c r="E162" s="118">
        <f ca="1">E152/'Единичные ставки+критерии'!$W$1</f>
        <v>0.46867794929035483</v>
      </c>
      <c r="F162" s="118">
        <f ca="1">F152/'Единичные ставки+критерии'!$W$1</f>
        <v>1.7565596056414174</v>
      </c>
      <c r="G162" s="118">
        <f ca="1">G152/'Единичные ставки+критерии'!$W$1</f>
        <v>5.3480444568330894</v>
      </c>
      <c r="H162" s="118">
        <f ca="1">H152/'Единичные ставки+критерии'!$W$1</f>
        <v>13.840584551738237</v>
      </c>
      <c r="I162" s="118">
        <f ca="1">I152/'Единичные ставки+критерии'!$W$1</f>
        <v>31.614187455768935</v>
      </c>
      <c r="J162" s="118">
        <f ca="1">J152/'Единичные ставки+критерии'!$W$1</f>
        <v>65.520046300137366</v>
      </c>
      <c r="K162" s="118">
        <f ca="1">K152/'Единичные ставки+критерии'!$W$1</f>
        <v>125.67158954451709</v>
      </c>
      <c r="L162" s="118">
        <f ca="1">L152/'Единичные ставки+критерии'!$W$1</f>
        <v>226.3623959959244</v>
      </c>
      <c r="M162" s="118">
        <f ca="1">M152/'Единичные ставки+критерии'!$W$1</f>
        <v>387.10566544451598</v>
      </c>
      <c r="N162" s="118">
        <f ca="1">N152/'Единичные ставки+критерии'!$W$1</f>
        <v>633.80917073902515</v>
      </c>
      <c r="O162" s="118">
        <f ca="1">O152/'Единичные ставки+критерии'!$W$1</f>
        <v>1000.1074819076874</v>
      </c>
      <c r="P162" s="118">
        <f ca="1">P152/'Единичные ставки+критерии'!$W$1</f>
        <v>1528.892753928066</v>
      </c>
      <c r="Q162" s="118">
        <f ca="1">Q152/'Единичные ставки+критерии'!$W$1</f>
        <v>2274.1371260062097</v>
      </c>
      <c r="R162" s="118">
        <f ca="1">R152/'Единичные ставки+критерии'!$W$1</f>
        <v>3303.1335535357302</v>
      </c>
      <c r="S162" s="118">
        <f ca="1">S152/'Единичные ставки+критерии'!$W$1</f>
        <v>4699.4557271850244</v>
      </c>
      <c r="T162" s="118">
        <f ca="1">T152/'Единичные ставки+критерии'!$W$1</f>
        <v>6567.2168259637529</v>
      </c>
      <c r="U162" s="118">
        <f ca="1">U152/'Единичные ставки+критерии'!$W$1</f>
        <v>9037.7015361464491</v>
      </c>
      <c r="V162" s="118">
        <f ca="1">V152/'Единичные ставки+критерии'!$W$1</f>
        <v>12280.489299297666</v>
      </c>
      <c r="W162" s="118">
        <f ca="1">W152/'Единичные ставки+критерии'!$W$1</f>
        <v>16523.180690375713</v>
      </c>
      <c r="X162" s="118">
        <f ca="1">X152/'Единичные ставки+критерии'!$W$1</f>
        <v>22087.745174159525</v>
      </c>
      <c r="Y162" s="118">
        <f ca="1">Y152/'Единичные ставки+критерии'!$W$1</f>
        <v>29459.162012034612</v>
      </c>
      <c r="Z162" s="118">
        <f ca="1">Z152/'Единичные ставки+критерии'!$W$1</f>
        <v>39417.049500911591</v>
      </c>
      <c r="AA162" s="118">
        <f ca="1">AA152/'Единичные ставки+критерии'!$W$1</f>
        <v>53290.518356322798</v>
      </c>
      <c r="AB162" s="118">
        <f ca="1">AB152/'Единичные ставки+критерии'!$W$1</f>
        <v>73454.66172058307</v>
      </c>
      <c r="AC162" s="118">
        <f ca="1">AC152/'Единичные ставки+критерии'!$W$1</f>
        <v>104301.82904560784</v>
      </c>
      <c r="AD162" s="118">
        <f ca="1">AD152/'Единичные ставки+критерии'!$W$1</f>
        <v>154147.40128592003</v>
      </c>
      <c r="AE162" s="118">
        <f ca="1">AE152/'Единичные ставки+критерии'!$W$1</f>
        <v>238977.72623438443</v>
      </c>
      <c r="AF162" s="118">
        <f ca="1">AF152/'Единичные ставки+критерии'!$W$1</f>
        <v>389834.42433853803</v>
      </c>
      <c r="AG162" s="118">
        <f ca="1">AG152/'Единичные ставки+критерии'!$W$1</f>
        <v>667385.61595840985</v>
      </c>
      <c r="AH162" s="118">
        <f ca="1">AH152/'Единичные ставки+критерии'!$W$1</f>
        <v>1190717.1675681877</v>
      </c>
      <c r="AI162" s="118">
        <f ca="1">AI152/'Единичные ставки+критерии'!$W$1</f>
        <v>2194287.9343944159</v>
      </c>
      <c r="AJ162" s="118">
        <f ca="1">AJ152/'Единичные ставки+критерии'!$W$1</f>
        <v>4140717.1437370856</v>
      </c>
      <c r="AK162" s="118">
        <f ca="1">AK152/'Единичные ставки+критерии'!$W$1</f>
        <v>7944344.6092381449</v>
      </c>
      <c r="AL162" s="118">
        <f ca="1">AL152/'Единичные ставки+критерии'!$W$1</f>
        <v>15414732.757913874</v>
      </c>
      <c r="AM162" s="118">
        <f ca="1">AM152/'Единичные ставки+критерии'!$W$1</f>
        <v>30137164.829638924</v>
      </c>
      <c r="AN162" s="118">
        <f ca="1">AN152/'Единичные ставки+критерии'!$W$1</f>
        <v>59221934.00743445</v>
      </c>
      <c r="AO162" s="118">
        <f ca="1">AO152/'Единичные ставки+критерии'!$W$1</f>
        <v>116781839.71015933</v>
      </c>
      <c r="AP162" s="118">
        <f ca="1">AP152/'Единичные ставки+критерии'!$W$1</f>
        <v>230849193.7903766</v>
      </c>
    </row>
    <row r="163" spans="1:42" ht="31.5" x14ac:dyDescent="0.25">
      <c r="A163" s="39" t="s">
        <v>253</v>
      </c>
      <c r="B163" s="120">
        <f ca="1">B140*100/(($B$105*1840+$B$106*2000+$B$107*2000)*4)</f>
        <v>9.8837035809851894E-3</v>
      </c>
      <c r="C163" s="120">
        <f t="shared" ref="C163:AO163" ca="1" si="549">C140*100/(($B$105*1840+$B$106*2000+$B$107*2000)*4)</f>
        <v>2.0812616650309725E-2</v>
      </c>
      <c r="D163" s="120">
        <f t="shared" ca="1" si="549"/>
        <v>7.513039640971296E-2</v>
      </c>
      <c r="E163" s="120">
        <f t="shared" ca="1" si="549"/>
        <v>0.18842179210987875</v>
      </c>
      <c r="F163" s="120">
        <f t="shared" ca="1" si="549"/>
        <v>0.37033995204773534</v>
      </c>
      <c r="G163" s="120">
        <f t="shared" ca="1" si="549"/>
        <v>0.62559765383467414</v>
      </c>
      <c r="H163" s="120">
        <f t="shared" ca="1" si="549"/>
        <v>0.95488986509765716</v>
      </c>
      <c r="I163" s="120">
        <f t="shared" ca="1" si="549"/>
        <v>1.3557476346132125</v>
      </c>
      <c r="J163" s="120">
        <f t="shared" ca="1" si="549"/>
        <v>1.8233233138743195</v>
      </c>
      <c r="K163" s="120">
        <f t="shared" ca="1" si="549"/>
        <v>2.3511071090901838</v>
      </c>
      <c r="L163" s="120">
        <f t="shared" ca="1" si="549"/>
        <v>2.9315749636188984</v>
      </c>
      <c r="M163" s="120">
        <f t="shared" ca="1" si="549"/>
        <v>3.5567677708329972</v>
      </c>
      <c r="N163" s="120">
        <f t="shared" ca="1" si="549"/>
        <v>4.2188019174178919</v>
      </c>
      <c r="O163" s="120">
        <f t="shared" ca="1" si="549"/>
        <v>4.910311157103207</v>
      </c>
      <c r="P163" s="120">
        <f t="shared" ca="1" si="549"/>
        <v>5.6248198148269903</v>
      </c>
      <c r="Q163" s="120">
        <f t="shared" ca="1" si="549"/>
        <v>6.3570473213328276</v>
      </c>
      <c r="R163" s="120">
        <f t="shared" ca="1" si="549"/>
        <v>7.103144078199831</v>
      </c>
      <c r="S163" s="120">
        <f t="shared" ca="1" si="549"/>
        <v>7.8608586533055327</v>
      </c>
      <c r="T163" s="120">
        <f t="shared" ca="1" si="549"/>
        <v>8.6296363067216504</v>
      </c>
      <c r="U163" s="120">
        <f t="shared" ca="1" si="549"/>
        <v>9.4106488470427472</v>
      </c>
      <c r="V163" s="120">
        <f t="shared" ca="1" si="549"/>
        <v>10.206755818147794</v>
      </c>
      <c r="W163" s="120">
        <f t="shared" ca="1" si="549"/>
        <v>11.022397016394606</v>
      </c>
      <c r="X163" s="120">
        <f t="shared" ca="1" si="549"/>
        <v>11.863416338247157</v>
      </c>
      <c r="Y163" s="120">
        <f t="shared" ca="1" si="549"/>
        <v>12.736816958335826</v>
      </c>
      <c r="Z163" s="120">
        <f t="shared" ca="1" si="549"/>
        <v>13.650447837950475</v>
      </c>
      <c r="AA163" s="120">
        <f t="shared" ca="1" si="549"/>
        <v>14.612621563966451</v>
      </c>
      <c r="AB163" s="120">
        <f t="shared" ca="1" si="549"/>
        <v>15.63166351820349</v>
      </c>
      <c r="AC163" s="120">
        <f t="shared" ca="1" si="549"/>
        <v>16.715392377217473</v>
      </c>
      <c r="AD163" s="120">
        <f t="shared" ca="1" si="549"/>
        <v>17.870531942525069</v>
      </c>
      <c r="AE163" s="120">
        <f t="shared" ca="1" si="549"/>
        <v>19.10205430126134</v>
      </c>
      <c r="AF163" s="120">
        <f t="shared" ca="1" si="549"/>
        <v>20.412454317270118</v>
      </c>
      <c r="AG163" s="120">
        <f t="shared" ca="1" si="549"/>
        <v>21.800955452627377</v>
      </c>
      <c r="AH163" s="120">
        <f t="shared" ca="1" si="549"/>
        <v>23.262646919597433</v>
      </c>
      <c r="AI163" s="120">
        <f t="shared" ca="1" si="549"/>
        <v>24.787552163022063</v>
      </c>
      <c r="AJ163" s="120">
        <f t="shared" ca="1" si="549"/>
        <v>26.359628673142502</v>
      </c>
      <c r="AK163" s="120">
        <f t="shared" ca="1" si="549"/>
        <v>27.955699128854249</v>
      </c>
      <c r="AL163" s="120">
        <f t="shared" ca="1" si="549"/>
        <v>29.544313871394984</v>
      </c>
      <c r="AM163" s="120">
        <f t="shared" ca="1" si="549"/>
        <v>31.084544708465142</v>
      </c>
      <c r="AN163" s="120">
        <f t="shared" ca="1" si="549"/>
        <v>32.524710048781401</v>
      </c>
      <c r="AO163" s="120">
        <f t="shared" ca="1" si="549"/>
        <v>33.80103136706326</v>
      </c>
      <c r="AP163" s="120">
        <f ca="1">AP140*100/(($B$105*1840+$B$106*2000+$B$107*2000)*4)</f>
        <v>34.836220999452308</v>
      </c>
    </row>
    <row r="164" spans="1:42" ht="15.75" x14ac:dyDescent="0.25">
      <c r="A164" s="39" t="s">
        <v>267</v>
      </c>
      <c r="B164" s="120">
        <f ca="1">0.1*B158</f>
        <v>1.7463829170907006</v>
      </c>
      <c r="C164" s="120">
        <f t="shared" ref="C164:AP164" ca="1" si="550">0.1*C158</f>
        <v>2.5538671265143158</v>
      </c>
      <c r="D164" s="120">
        <f t="shared" ca="1" si="550"/>
        <v>2.8738216854646987</v>
      </c>
      <c r="E164" s="120">
        <f t="shared" ca="1" si="550"/>
        <v>2.9989518935464448</v>
      </c>
      <c r="F164" s="120">
        <f t="shared" ca="1" si="550"/>
        <v>3.0929015705892753</v>
      </c>
      <c r="G164" s="120">
        <f t="shared" ca="1" si="550"/>
        <v>3.2198553344624177</v>
      </c>
      <c r="H164" s="120">
        <f t="shared" ca="1" si="550"/>
        <v>3.3741408788889999</v>
      </c>
      <c r="I164" s="120">
        <f t="shared" ca="1" si="550"/>
        <v>3.5098312512604197</v>
      </c>
      <c r="J164" s="120">
        <f t="shared" ca="1" si="550"/>
        <v>3.5703471304507506</v>
      </c>
      <c r="K164" s="120">
        <f t="shared" ca="1" si="550"/>
        <v>3.5180591046310727</v>
      </c>
      <c r="L164" s="120">
        <f t="shared" ca="1" si="550"/>
        <v>3.3638899490839607</v>
      </c>
      <c r="M164" s="120">
        <f t="shared" ca="1" si="550"/>
        <v>3.1969169040176895</v>
      </c>
      <c r="N164" s="120">
        <f t="shared" ca="1" si="550"/>
        <v>3.2139739523808775</v>
      </c>
      <c r="O164" s="120">
        <f t="shared" ca="1" si="550"/>
        <v>3.7492540976766069</v>
      </c>
      <c r="P164" s="120">
        <f t="shared" ca="1" si="550"/>
        <v>5.3039116417770913</v>
      </c>
      <c r="Q164" s="120">
        <f t="shared" ca="1" si="550"/>
        <v>8.5756644627373699</v>
      </c>
      <c r="R164" s="120">
        <f t="shared" ca="1" si="550"/>
        <v>14.488396292611151</v>
      </c>
      <c r="S164" s="120">
        <f t="shared" ca="1" si="550"/>
        <v>24.221758995263407</v>
      </c>
      <c r="T164" s="120">
        <f t="shared" ca="1" si="550"/>
        <v>39.240774844185829</v>
      </c>
      <c r="U164" s="120">
        <f t="shared" ca="1" si="550"/>
        <v>61.325438800311218</v>
      </c>
      <c r="V164" s="120">
        <f t="shared" ca="1" si="550"/>
        <v>92.600320789827393</v>
      </c>
      <c r="W164" s="120">
        <f t="shared" ca="1" si="550"/>
        <v>135.56416798199248</v>
      </c>
      <c r="X164" s="120">
        <f t="shared" ca="1" si="550"/>
        <v>193.11950706694716</v>
      </c>
      <c r="Y164" s="120">
        <f t="shared" ca="1" si="550"/>
        <v>268.60224653353157</v>
      </c>
      <c r="Z164" s="120">
        <f t="shared" ca="1" si="550"/>
        <v>365.81127894709948</v>
      </c>
      <c r="AA164" s="120">
        <f t="shared" ca="1" si="550"/>
        <v>489.03808322733033</v>
      </c>
      <c r="AB164" s="120">
        <f t="shared" ca="1" si="550"/>
        <v>643.09632692604487</v>
      </c>
      <c r="AC164" s="120">
        <f t="shared" ca="1" si="550"/>
        <v>833.3514685050219</v>
      </c>
      <c r="AD164" s="120">
        <f t="shared" ca="1" si="550"/>
        <v>1065.7503596138101</v>
      </c>
      <c r="AE164" s="120">
        <f t="shared" ca="1" si="550"/>
        <v>1346.8508473675404</v>
      </c>
      <c r="AF164" s="120">
        <f t="shared" ca="1" si="550"/>
        <v>1683.8513766247449</v>
      </c>
      <c r="AG164" s="120">
        <f t="shared" ca="1" si="550"/>
        <v>2084.6205922651652</v>
      </c>
      <c r="AH164" s="120">
        <f t="shared" ca="1" si="550"/>
        <v>2557.7269414675834</v>
      </c>
      <c r="AI164" s="120">
        <f t="shared" ca="1" si="550"/>
        <v>3112.4682759876032</v>
      </c>
      <c r="AJ164" s="120">
        <f t="shared" ca="1" si="550"/>
        <v>3758.9014544355132</v>
      </c>
      <c r="AK164" s="120">
        <f t="shared" ca="1" si="550"/>
        <v>4507.8719445540337</v>
      </c>
      <c r="AL164" s="120">
        <f t="shared" ca="1" si="550"/>
        <v>5371.043425496212</v>
      </c>
      <c r="AM164" s="120">
        <f t="shared" ca="1" si="550"/>
        <v>6360.9273901031656</v>
      </c>
      <c r="AN164" s="120">
        <f t="shared" ca="1" si="550"/>
        <v>7490.9127471819411</v>
      </c>
      <c r="AO164" s="120">
        <f t="shared" ca="1" si="550"/>
        <v>8775.2954237833055</v>
      </c>
      <c r="AP164" s="120">
        <f t="shared" ca="1" si="550"/>
        <v>10229.307967479588</v>
      </c>
    </row>
    <row r="166" spans="1:42" x14ac:dyDescent="0.25">
      <c r="B166" s="123">
        <f ca="1">SUM(B152:Q152)</f>
        <v>220316491.74306282</v>
      </c>
    </row>
    <row r="167" spans="1:42" x14ac:dyDescent="0.25">
      <c r="B167" s="89" t="e">
        <f ca="1">B166/'типовая конструкция'!B168</f>
        <v>#DIV/0!</v>
      </c>
      <c r="C167" s="123">
        <f ca="1">B166-'типовая конструкция'!B168</f>
        <v>220316491.74306282</v>
      </c>
    </row>
  </sheetData>
  <mergeCells count="115">
    <mergeCell ref="A1:A4"/>
    <mergeCell ref="B1:AK1"/>
    <mergeCell ref="AL1:BU1"/>
    <mergeCell ref="BV1:DE1"/>
    <mergeCell ref="DF1:EO1"/>
    <mergeCell ref="B2:G2"/>
    <mergeCell ref="H2:M2"/>
    <mergeCell ref="N2:S2"/>
    <mergeCell ref="T2:Y2"/>
    <mergeCell ref="Z2:AE2"/>
    <mergeCell ref="CB2:CG2"/>
    <mergeCell ref="CH2:CM2"/>
    <mergeCell ref="CN2:CS2"/>
    <mergeCell ref="CT2:CY2"/>
    <mergeCell ref="AF2:AK2"/>
    <mergeCell ref="AL2:AQ2"/>
    <mergeCell ref="AR2:AW2"/>
    <mergeCell ref="AX2:BC2"/>
    <mergeCell ref="BD2:BI2"/>
    <mergeCell ref="BJ2:BO2"/>
    <mergeCell ref="T3:U3"/>
    <mergeCell ref="V3:W3"/>
    <mergeCell ref="X3:Y3"/>
    <mergeCell ref="Z3:AA3"/>
    <mergeCell ref="AB3:AC3"/>
    <mergeCell ref="AD3:AE3"/>
    <mergeCell ref="EJ2:EO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CZ2:DE2"/>
    <mergeCell ref="DF2:DK2"/>
    <mergeCell ref="DL2:DQ2"/>
    <mergeCell ref="DR2:DW2"/>
    <mergeCell ref="DX2:EC2"/>
    <mergeCell ref="ED2:EI2"/>
    <mergeCell ref="BP2:BU2"/>
    <mergeCell ref="BV2:CA2"/>
    <mergeCell ref="AR3:AS3"/>
    <mergeCell ref="AT3:AU3"/>
    <mergeCell ref="AV3:AW3"/>
    <mergeCell ref="AX3:AY3"/>
    <mergeCell ref="AZ3:BA3"/>
    <mergeCell ref="BB3:BC3"/>
    <mergeCell ref="AF3:AG3"/>
    <mergeCell ref="AH3:AI3"/>
    <mergeCell ref="AJ3:AK3"/>
    <mergeCell ref="AL3:AM3"/>
    <mergeCell ref="AN3:AO3"/>
    <mergeCell ref="AP3:AQ3"/>
    <mergeCell ref="BR3:BS3"/>
    <mergeCell ref="BT3:BU3"/>
    <mergeCell ref="BV3:BW3"/>
    <mergeCell ref="BX3:BY3"/>
    <mergeCell ref="BZ3:CA3"/>
    <mergeCell ref="BD3:BE3"/>
    <mergeCell ref="BF3:BG3"/>
    <mergeCell ref="BH3:BI3"/>
    <mergeCell ref="BJ3:BK3"/>
    <mergeCell ref="BL3:BM3"/>
    <mergeCell ref="BN3:BO3"/>
    <mergeCell ref="EN3:EO3"/>
    <mergeCell ref="C105:C107"/>
    <mergeCell ref="A108:A109"/>
    <mergeCell ref="B108:B109"/>
    <mergeCell ref="C108:C109"/>
    <mergeCell ref="D108:D109"/>
    <mergeCell ref="E108:E109"/>
    <mergeCell ref="F108:F109"/>
    <mergeCell ref="DX3:DY3"/>
    <mergeCell ref="DZ3:EA3"/>
    <mergeCell ref="EB3:EC3"/>
    <mergeCell ref="ED3:EE3"/>
    <mergeCell ref="EF3:EG3"/>
    <mergeCell ref="EH3:EI3"/>
    <mergeCell ref="DL3:DM3"/>
    <mergeCell ref="DN3:DO3"/>
    <mergeCell ref="DP3:DQ3"/>
    <mergeCell ref="DR3:DS3"/>
    <mergeCell ref="DT3:DU3"/>
    <mergeCell ref="DV3:DW3"/>
    <mergeCell ref="CZ3:DA3"/>
    <mergeCell ref="DB3:DC3"/>
    <mergeCell ref="DD3:DE3"/>
    <mergeCell ref="DF3:DG3"/>
    <mergeCell ref="G108:G109"/>
    <mergeCell ref="H108:I108"/>
    <mergeCell ref="J108:K108"/>
    <mergeCell ref="B118:B119"/>
    <mergeCell ref="C118:H118"/>
    <mergeCell ref="I118:I119"/>
    <mergeCell ref="J118:J119"/>
    <mergeCell ref="EJ3:EK3"/>
    <mergeCell ref="EL3:EM3"/>
    <mergeCell ref="DH3:DI3"/>
    <mergeCell ref="DJ3:DK3"/>
    <mergeCell ref="CN3:CO3"/>
    <mergeCell ref="CP3:CQ3"/>
    <mergeCell ref="CR3:CS3"/>
    <mergeCell ref="CT3:CU3"/>
    <mergeCell ref="CV3:CW3"/>
    <mergeCell ref="CX3:CY3"/>
    <mergeCell ref="CB3:CC3"/>
    <mergeCell ref="CD3:CE3"/>
    <mergeCell ref="CF3:CG3"/>
    <mergeCell ref="CH3:CI3"/>
    <mergeCell ref="CJ3:CK3"/>
    <mergeCell ref="CL3:CM3"/>
    <mergeCell ref="BP3:BQ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K83"/>
  <sheetViews>
    <sheetView topLeftCell="M1" zoomScale="80" zoomScaleNormal="80" workbookViewId="0">
      <selection activeCell="V19" sqref="V19"/>
    </sheetView>
  </sheetViews>
  <sheetFormatPr defaultRowHeight="15" x14ac:dyDescent="0.25"/>
  <cols>
    <col min="1" max="1" width="17.42578125" customWidth="1"/>
    <col min="2" max="2" width="28.5703125" bestFit="1" customWidth="1"/>
    <col min="3" max="3" width="31.28515625" customWidth="1"/>
    <col min="4" max="4" width="28.85546875" customWidth="1"/>
    <col min="5" max="5" width="30.5703125" customWidth="1"/>
    <col min="6" max="6" width="33.28515625" customWidth="1"/>
    <col min="7" max="7" width="30.140625" customWidth="1"/>
    <col min="8" max="8" width="28.42578125" customWidth="1"/>
    <col min="9" max="9" width="18.85546875" customWidth="1"/>
    <col min="10" max="10" width="24.5703125" customWidth="1"/>
    <col min="11" max="11" width="24.42578125" customWidth="1"/>
    <col min="12" max="12" width="22.28515625" style="213" customWidth="1"/>
    <col min="13" max="13" width="21.140625" style="213" customWidth="1"/>
    <col min="14" max="14" width="21.28515625" style="213" customWidth="1"/>
    <col min="15" max="18" width="9.140625" style="213"/>
    <col min="19" max="19" width="25.85546875" customWidth="1"/>
    <col min="20" max="20" width="13.5703125" customWidth="1"/>
    <col min="21" max="21" width="23.5703125" customWidth="1"/>
    <col min="22" max="22" width="15.140625" customWidth="1"/>
    <col min="23" max="23" width="16.5703125" customWidth="1"/>
    <col min="24" max="24" width="15.140625" customWidth="1"/>
    <col min="25" max="25" width="14.85546875" customWidth="1"/>
    <col min="26" max="26" width="15.28515625" customWidth="1"/>
    <col min="27" max="27" width="17.7109375" customWidth="1"/>
    <col min="29" max="29" width="12.42578125" customWidth="1"/>
    <col min="33" max="33" width="24" customWidth="1"/>
    <col min="34" max="34" width="24.42578125" customWidth="1"/>
    <col min="35" max="35" width="25.7109375" customWidth="1"/>
    <col min="36" max="36" width="25.140625" customWidth="1"/>
    <col min="37" max="37" width="25.5703125" customWidth="1"/>
    <col min="38" max="38" width="26.5703125" customWidth="1"/>
  </cols>
  <sheetData>
    <row r="1" spans="1:63" x14ac:dyDescent="0.25">
      <c r="A1" s="305" t="s">
        <v>121</v>
      </c>
      <c r="B1" s="53">
        <v>0</v>
      </c>
      <c r="C1" s="51">
        <v>50</v>
      </c>
      <c r="D1" s="51">
        <v>150</v>
      </c>
      <c r="E1" s="51">
        <v>250</v>
      </c>
      <c r="F1" s="51">
        <v>350</v>
      </c>
      <c r="G1" s="51">
        <v>450</v>
      </c>
      <c r="H1" s="51">
        <v>550</v>
      </c>
      <c r="I1" s="51">
        <v>750</v>
      </c>
      <c r="J1" s="218">
        <v>1000</v>
      </c>
      <c r="K1" s="218">
        <v>1250</v>
      </c>
      <c r="L1" s="218">
        <v>1500</v>
      </c>
      <c r="M1" s="218">
        <v>1750</v>
      </c>
      <c r="N1" s="218">
        <v>2000</v>
      </c>
      <c r="T1" s="305" t="s">
        <v>121</v>
      </c>
      <c r="U1" s="53">
        <v>0</v>
      </c>
      <c r="V1" s="51">
        <v>50</v>
      </c>
      <c r="W1" s="51">
        <v>150</v>
      </c>
      <c r="X1" s="51">
        <v>250</v>
      </c>
      <c r="Y1" s="51">
        <v>350</v>
      </c>
      <c r="Z1" s="51">
        <v>450</v>
      </c>
      <c r="AA1" s="51">
        <v>550</v>
      </c>
      <c r="AB1" s="51">
        <v>650</v>
      </c>
      <c r="AC1" s="51">
        <v>750</v>
      </c>
      <c r="AD1" s="218">
        <v>1000</v>
      </c>
      <c r="AE1" s="218">
        <v>1250</v>
      </c>
      <c r="AF1" s="218">
        <v>1500</v>
      </c>
      <c r="AG1" s="218">
        <v>1750</v>
      </c>
      <c r="AH1" s="218">
        <v>2000</v>
      </c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27"/>
      <c r="BH1" s="27"/>
      <c r="BI1" s="27"/>
      <c r="BJ1" s="27"/>
      <c r="BK1" s="27"/>
    </row>
    <row r="2" spans="1:63" x14ac:dyDescent="0.25">
      <c r="A2" s="306"/>
      <c r="B2" s="53">
        <v>0</v>
      </c>
      <c r="C2" s="48" t="s">
        <v>122</v>
      </c>
      <c r="D2" s="48" t="s">
        <v>122</v>
      </c>
      <c r="E2" s="48" t="s">
        <v>122</v>
      </c>
      <c r="F2" s="48" t="s">
        <v>122</v>
      </c>
      <c r="G2" s="48" t="s">
        <v>122</v>
      </c>
      <c r="H2" s="48" t="s">
        <v>122</v>
      </c>
      <c r="I2" s="48" t="s">
        <v>122</v>
      </c>
      <c r="J2" s="48" t="s">
        <v>122</v>
      </c>
      <c r="K2" s="48" t="s">
        <v>122</v>
      </c>
      <c r="L2" s="48" t="s">
        <v>122</v>
      </c>
      <c r="M2" s="48" t="s">
        <v>122</v>
      </c>
      <c r="N2" s="48" t="s">
        <v>122</v>
      </c>
      <c r="T2" s="306"/>
      <c r="U2" s="53">
        <v>0</v>
      </c>
      <c r="V2" s="48" t="s">
        <v>123</v>
      </c>
      <c r="W2" s="48" t="s">
        <v>123</v>
      </c>
      <c r="X2" s="48" t="s">
        <v>123</v>
      </c>
      <c r="Y2" s="48" t="s">
        <v>123</v>
      </c>
      <c r="Z2" s="48" t="s">
        <v>123</v>
      </c>
      <c r="AA2" s="48" t="s">
        <v>123</v>
      </c>
      <c r="AB2" s="48" t="s">
        <v>123</v>
      </c>
      <c r="AC2" s="48" t="s">
        <v>123</v>
      </c>
      <c r="AD2" s="48" t="s">
        <v>123</v>
      </c>
      <c r="AE2" s="48" t="s">
        <v>123</v>
      </c>
      <c r="AF2" s="48" t="s">
        <v>123</v>
      </c>
      <c r="AG2" s="48" t="s">
        <v>123</v>
      </c>
      <c r="AH2" s="48" t="s">
        <v>123</v>
      </c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27"/>
      <c r="BH2" s="27"/>
      <c r="BI2" s="27"/>
      <c r="BJ2" s="27"/>
      <c r="BK2" s="27"/>
    </row>
    <row r="3" spans="1:63" x14ac:dyDescent="0.25">
      <c r="A3" s="49" t="s">
        <v>124</v>
      </c>
      <c r="B3" s="53">
        <v>0</v>
      </c>
      <c r="C3" s="142">
        <v>2.33333333333333E-2</v>
      </c>
      <c r="D3" s="142">
        <v>0.102666666666666</v>
      </c>
      <c r="E3" s="144">
        <v>0.203916666666666</v>
      </c>
      <c r="F3" s="142">
        <v>0.463166666666666</v>
      </c>
      <c r="G3" s="142">
        <v>0.39166666666666</v>
      </c>
      <c r="H3" s="142">
        <v>0.92500000000000004</v>
      </c>
      <c r="I3" s="142">
        <v>0.60833333333333328</v>
      </c>
      <c r="J3" s="143">
        <v>1.94116666666667</v>
      </c>
      <c r="K3" s="142">
        <v>2.2137013888888899</v>
      </c>
      <c r="L3" s="142">
        <v>2.48623611111111</v>
      </c>
      <c r="M3" s="144">
        <v>2.7587708333333301</v>
      </c>
      <c r="N3" s="142">
        <v>3.0313055555555501</v>
      </c>
      <c r="T3" s="49" t="s">
        <v>124</v>
      </c>
      <c r="U3" s="53">
        <v>0</v>
      </c>
      <c r="V3" s="50">
        <v>0</v>
      </c>
      <c r="W3" s="50">
        <v>3.3333333333333333E-2</v>
      </c>
      <c r="X3" s="50">
        <v>0.26666666666666666</v>
      </c>
      <c r="Y3" s="50">
        <v>0.1</v>
      </c>
      <c r="Z3" s="50">
        <v>0.31666666666666665</v>
      </c>
      <c r="AA3" s="50">
        <v>2.333333333333333</v>
      </c>
      <c r="AB3" s="50">
        <v>0.96666666666666656</v>
      </c>
      <c r="AC3" s="50">
        <v>0.55000000000000004</v>
      </c>
      <c r="AD3" s="142">
        <v>1.37083333333333</v>
      </c>
      <c r="AE3" s="142">
        <v>1.5486111111111101</v>
      </c>
      <c r="AF3" s="142">
        <v>1.7263888888888901</v>
      </c>
      <c r="AG3" s="142">
        <v>1.9041666666666699</v>
      </c>
      <c r="AH3" s="142">
        <v>2.0819444444444399</v>
      </c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</row>
    <row r="4" spans="1:63" x14ac:dyDescent="0.25">
      <c r="A4" s="49" t="s">
        <v>125</v>
      </c>
      <c r="B4" s="53">
        <v>0</v>
      </c>
      <c r="C4" s="144">
        <v>0.01</v>
      </c>
      <c r="D4" s="142">
        <v>2.5000000000000001E-2</v>
      </c>
      <c r="E4" s="142">
        <v>0.05</v>
      </c>
      <c r="F4" s="142">
        <v>0.31900000000000001</v>
      </c>
      <c r="G4" s="142">
        <v>0.27500000000000002</v>
      </c>
      <c r="H4" s="142">
        <v>0</v>
      </c>
      <c r="I4" s="142">
        <v>0.45</v>
      </c>
      <c r="J4" s="143">
        <v>0.36178571428571399</v>
      </c>
      <c r="K4" s="144">
        <v>0.410821428571429</v>
      </c>
      <c r="L4" s="142">
        <v>0.45985714285714302</v>
      </c>
      <c r="M4" s="142">
        <v>0.50889285714285704</v>
      </c>
      <c r="N4" s="142">
        <v>0.557928571428571</v>
      </c>
      <c r="T4" s="49" t="s">
        <v>125</v>
      </c>
      <c r="U4" s="53">
        <v>0</v>
      </c>
      <c r="V4" s="50">
        <v>0.1</v>
      </c>
      <c r="W4" s="50">
        <v>1.6666666666666666E-2</v>
      </c>
      <c r="X4" s="50">
        <v>0.1</v>
      </c>
      <c r="Y4" s="50">
        <v>0.1</v>
      </c>
      <c r="Z4" s="50">
        <v>0.13333333333333333</v>
      </c>
      <c r="AA4" s="50">
        <v>1.5</v>
      </c>
      <c r="AB4" s="50">
        <v>0.13333333333333333</v>
      </c>
      <c r="AC4" s="50">
        <v>0.43333333333333329</v>
      </c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</row>
    <row r="5" spans="1:63" x14ac:dyDescent="0.25">
      <c r="A5" s="49" t="s">
        <v>126</v>
      </c>
      <c r="B5" s="53">
        <v>0</v>
      </c>
      <c r="C5" s="142">
        <v>0.47499999999999998</v>
      </c>
      <c r="D5" s="142">
        <v>0.64166666666666672</v>
      </c>
      <c r="E5" s="142">
        <v>0.8</v>
      </c>
      <c r="F5" s="142">
        <v>0.68333333333333335</v>
      </c>
      <c r="G5" s="142">
        <v>2.0916666666666668</v>
      </c>
      <c r="H5" s="142">
        <v>1.1916666666666667</v>
      </c>
      <c r="I5" s="142">
        <v>2.1083333333333334</v>
      </c>
      <c r="J5" s="143">
        <v>2.2083333333333299</v>
      </c>
      <c r="K5" s="142">
        <v>2.4770833333333302</v>
      </c>
      <c r="L5" s="142">
        <v>2.74583333333333</v>
      </c>
      <c r="M5" s="142">
        <v>3.0145833333333298</v>
      </c>
      <c r="N5" s="142">
        <v>3.2833333333333301</v>
      </c>
      <c r="T5" s="49" t="s">
        <v>126</v>
      </c>
      <c r="U5" s="53">
        <v>0</v>
      </c>
      <c r="V5" s="50">
        <v>0.18333333333333332</v>
      </c>
      <c r="W5" s="50">
        <v>0.3</v>
      </c>
      <c r="X5" s="50">
        <v>0.86666666666666659</v>
      </c>
      <c r="Y5" s="50">
        <v>0.56666666666666665</v>
      </c>
      <c r="Z5" s="50">
        <v>1.75</v>
      </c>
      <c r="AA5" s="50">
        <v>1.0333333333333334</v>
      </c>
      <c r="AB5" s="50">
        <v>3.3833333333333337</v>
      </c>
      <c r="AC5" s="50">
        <v>2.4500000000000002</v>
      </c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</row>
    <row r="6" spans="1:63" x14ac:dyDescent="0.25">
      <c r="A6" s="49" t="s">
        <v>127</v>
      </c>
      <c r="B6" s="53">
        <v>0</v>
      </c>
      <c r="C6" s="142">
        <v>0.48333333333333328</v>
      </c>
      <c r="D6" s="142">
        <v>0.66666666666666674</v>
      </c>
      <c r="E6" s="142">
        <v>0.95833333333333337</v>
      </c>
      <c r="F6" s="142">
        <v>0.78333333333333333</v>
      </c>
      <c r="G6" s="142">
        <v>1.8416666666666668</v>
      </c>
      <c r="H6" s="142">
        <v>4.8666666666666663</v>
      </c>
      <c r="I6" s="142">
        <v>3.4</v>
      </c>
      <c r="J6" s="143">
        <v>4.2535714285714201</v>
      </c>
      <c r="K6" s="142">
        <v>4.8376984126984199</v>
      </c>
      <c r="L6" s="142">
        <v>5.4218253968254002</v>
      </c>
      <c r="M6" s="142">
        <v>6.0059523809523796</v>
      </c>
      <c r="N6" s="142">
        <v>6.5900793650793696</v>
      </c>
      <c r="T6" s="49" t="s">
        <v>127</v>
      </c>
      <c r="U6" s="53">
        <v>0</v>
      </c>
      <c r="V6" s="50">
        <v>0.38333333333333336</v>
      </c>
      <c r="W6" s="50">
        <v>0.55000000000000004</v>
      </c>
      <c r="X6" s="50">
        <v>1.0833333333333335</v>
      </c>
      <c r="Y6" s="50">
        <v>0.91666666666666663</v>
      </c>
      <c r="Z6" s="50">
        <v>2.3666666666666667</v>
      </c>
      <c r="AA6" s="50">
        <v>6.2833333333333332</v>
      </c>
      <c r="AB6" s="50">
        <v>5.95</v>
      </c>
      <c r="AC6" s="50">
        <v>4.1500000000000004</v>
      </c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</row>
    <row r="7" spans="1:63" x14ac:dyDescent="0.25">
      <c r="A7" s="49" t="s">
        <v>128</v>
      </c>
      <c r="B7" s="53">
        <v>0</v>
      </c>
      <c r="C7" s="142">
        <v>0.30833333333333335</v>
      </c>
      <c r="D7" s="142">
        <v>0.48333333333333328</v>
      </c>
      <c r="E7" s="142">
        <v>0.4916666666666667</v>
      </c>
      <c r="F7" s="142">
        <v>0.97499999999999998</v>
      </c>
      <c r="G7" s="142">
        <v>0.81666666666666665</v>
      </c>
      <c r="H7" s="142">
        <v>3.9333333333333336</v>
      </c>
      <c r="I7" s="142">
        <v>2.5583333333333331</v>
      </c>
      <c r="J7" s="143">
        <v>3.2056547619047602</v>
      </c>
      <c r="K7" s="142">
        <v>3.65228174603175</v>
      </c>
      <c r="L7" s="142">
        <v>4.0989087301587297</v>
      </c>
      <c r="M7" s="142">
        <v>4.5455357142857196</v>
      </c>
      <c r="N7" s="142">
        <v>4.9921626984126997</v>
      </c>
      <c r="T7" s="49" t="s">
        <v>128</v>
      </c>
      <c r="U7" s="53">
        <v>0</v>
      </c>
      <c r="V7" s="50">
        <v>0.25</v>
      </c>
      <c r="W7" s="50">
        <v>0.68333333333333335</v>
      </c>
      <c r="X7" s="50">
        <v>0.53333333333333333</v>
      </c>
      <c r="Y7" s="50">
        <v>1.0666666666666667</v>
      </c>
      <c r="Z7" s="50">
        <v>1.1333333333333333</v>
      </c>
      <c r="AA7" s="50">
        <v>5.7166666666666668</v>
      </c>
      <c r="AB7" s="50">
        <v>4.5833333333333339</v>
      </c>
      <c r="AC7" s="50">
        <v>3.1833333333333331</v>
      </c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</row>
    <row r="8" spans="1:63" x14ac:dyDescent="0.25">
      <c r="A8" s="49" t="s">
        <v>129</v>
      </c>
      <c r="B8" s="53">
        <v>0</v>
      </c>
      <c r="C8" s="142">
        <v>0.35833333333333334</v>
      </c>
      <c r="D8" s="142">
        <v>0.25</v>
      </c>
      <c r="E8" s="142">
        <v>0.45833333333333331</v>
      </c>
      <c r="F8" s="142">
        <v>0.65833333333333333</v>
      </c>
      <c r="G8" s="142">
        <v>0.19166666666666668</v>
      </c>
      <c r="H8" s="142">
        <v>1.95</v>
      </c>
      <c r="I8" s="142">
        <v>1.8416666666666668</v>
      </c>
      <c r="J8" s="143">
        <v>1.8318452380952399</v>
      </c>
      <c r="K8" s="142">
        <v>2.0803571428571401</v>
      </c>
      <c r="L8" s="142">
        <v>2.3288690476190501</v>
      </c>
      <c r="M8" s="142">
        <v>2.5773809523809499</v>
      </c>
      <c r="N8" s="142">
        <v>2.8258928571428599</v>
      </c>
      <c r="T8" s="49" t="s">
        <v>129</v>
      </c>
      <c r="U8" s="53">
        <v>0</v>
      </c>
      <c r="V8" s="50">
        <v>0.1</v>
      </c>
      <c r="W8" s="62">
        <v>0.38300000000000001</v>
      </c>
      <c r="X8" s="50">
        <v>0.6</v>
      </c>
      <c r="Y8" s="50">
        <v>0.6</v>
      </c>
      <c r="Z8" s="62">
        <v>1</v>
      </c>
      <c r="AA8" s="50">
        <v>2.2000000000000002</v>
      </c>
      <c r="AB8" s="50">
        <v>1.4166666666666665</v>
      </c>
      <c r="AC8" s="50">
        <v>2.15</v>
      </c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</row>
    <row r="9" spans="1:63" x14ac:dyDescent="0.25">
      <c r="A9" s="49" t="s">
        <v>130</v>
      </c>
      <c r="B9" s="53">
        <v>0</v>
      </c>
      <c r="C9" s="219">
        <f>C3+C4</f>
        <v>3.3333333333333298E-2</v>
      </c>
      <c r="D9" s="219">
        <f t="shared" ref="D9" si="0">D3+D4</f>
        <v>0.12766666666666601</v>
      </c>
      <c r="E9" s="219">
        <v>0.20699999999999999</v>
      </c>
      <c r="F9" s="219">
        <v>0.28199999999999997</v>
      </c>
      <c r="G9" s="219">
        <v>0.36699999999999999</v>
      </c>
      <c r="H9" s="219">
        <v>0.51400000000000001</v>
      </c>
      <c r="I9" s="219">
        <v>0.754</v>
      </c>
      <c r="J9" s="219">
        <v>1.103</v>
      </c>
      <c r="K9" s="219">
        <v>1.425</v>
      </c>
      <c r="L9" s="219">
        <v>1.746</v>
      </c>
      <c r="M9" s="219">
        <v>2.0680000000000001</v>
      </c>
      <c r="N9" s="219">
        <v>2.2890000000000001</v>
      </c>
      <c r="T9" s="49" t="s">
        <v>130</v>
      </c>
      <c r="U9" s="53">
        <v>0</v>
      </c>
      <c r="V9" s="50">
        <f t="shared" ref="V9:W9" si="1">V3+V4</f>
        <v>0.1</v>
      </c>
      <c r="W9" s="50">
        <f t="shared" si="1"/>
        <v>0.05</v>
      </c>
      <c r="X9" s="50">
        <f t="shared" ref="X9:AC9" si="2">X3+X4</f>
        <v>0.3666666666666667</v>
      </c>
      <c r="Y9" s="50">
        <f t="shared" si="2"/>
        <v>0.2</v>
      </c>
      <c r="Z9" s="50">
        <f t="shared" si="2"/>
        <v>0.44999999999999996</v>
      </c>
      <c r="AA9" s="50">
        <f t="shared" si="2"/>
        <v>3.833333333333333</v>
      </c>
      <c r="AB9" s="50">
        <f t="shared" si="2"/>
        <v>1.0999999999999999</v>
      </c>
      <c r="AC9" s="50">
        <f t="shared" si="2"/>
        <v>0.98333333333333339</v>
      </c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</row>
    <row r="10" spans="1:63" x14ac:dyDescent="0.25">
      <c r="A10" s="49" t="s">
        <v>131</v>
      </c>
      <c r="B10" s="53">
        <v>0</v>
      </c>
      <c r="C10" s="143">
        <f>C5+C6+C7</f>
        <v>1.2666666666666666</v>
      </c>
      <c r="D10" s="143">
        <f t="shared" ref="D10:N10" si="3">D5+D6+D7</f>
        <v>1.791666666666667</v>
      </c>
      <c r="E10" s="143">
        <f t="shared" si="3"/>
        <v>2.25</v>
      </c>
      <c r="F10" s="143">
        <f t="shared" si="3"/>
        <v>2.4416666666666669</v>
      </c>
      <c r="G10" s="143">
        <f t="shared" si="3"/>
        <v>4.75</v>
      </c>
      <c r="H10" s="143">
        <f t="shared" si="3"/>
        <v>9.9916666666666671</v>
      </c>
      <c r="I10" s="143">
        <f t="shared" si="3"/>
        <v>8.0666666666666664</v>
      </c>
      <c r="J10" s="143">
        <f t="shared" si="3"/>
        <v>9.6675595238095102</v>
      </c>
      <c r="K10" s="143">
        <f t="shared" si="3"/>
        <v>10.967063492063501</v>
      </c>
      <c r="L10" s="143">
        <f t="shared" si="3"/>
        <v>12.266567460317461</v>
      </c>
      <c r="M10" s="143">
        <f t="shared" si="3"/>
        <v>13.56607142857143</v>
      </c>
      <c r="N10" s="143">
        <f t="shared" si="3"/>
        <v>14.865575396825399</v>
      </c>
      <c r="T10" s="49" t="s">
        <v>131</v>
      </c>
      <c r="U10" s="53">
        <v>0</v>
      </c>
      <c r="V10" s="52">
        <f t="shared" ref="V10:W10" si="4">V6+V7+V5</f>
        <v>0.81666666666666665</v>
      </c>
      <c r="W10" s="52">
        <f t="shared" si="4"/>
        <v>1.5333333333333334</v>
      </c>
      <c r="X10" s="52">
        <f>X6+X7+X5</f>
        <v>2.4833333333333334</v>
      </c>
      <c r="Y10" s="52">
        <f>Y6+Y7+Y5</f>
        <v>2.5499999999999998</v>
      </c>
      <c r="Z10" s="52">
        <f>Z6+Z7+Z5</f>
        <v>5.25</v>
      </c>
      <c r="AA10" s="52">
        <f>AA6+AA7+AA5</f>
        <v>13.033333333333333</v>
      </c>
      <c r="AB10" s="52">
        <f>AB6+AB7+AB5</f>
        <v>13.916666666666668</v>
      </c>
      <c r="AC10" s="52">
        <f t="shared" ref="AC10" si="5">AC6+AC7+AC5</f>
        <v>9.783333333333335</v>
      </c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</row>
    <row r="11" spans="1:63" x14ac:dyDescent="0.25"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</row>
    <row r="12" spans="1:63" x14ac:dyDescent="0.25"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</row>
    <row r="13" spans="1:63" x14ac:dyDescent="0.25">
      <c r="A13" s="304" t="s">
        <v>140</v>
      </c>
      <c r="B13" s="304"/>
      <c r="C13" s="304"/>
      <c r="D13" s="304"/>
      <c r="E13" s="304"/>
      <c r="F13" s="304"/>
      <c r="G13" s="304"/>
      <c r="H13" s="304"/>
      <c r="T13" s="304" t="s">
        <v>141</v>
      </c>
      <c r="U13" s="304"/>
      <c r="V13" s="304"/>
      <c r="W13" s="304"/>
      <c r="X13" s="304"/>
      <c r="Y13" s="304"/>
      <c r="Z13" s="304"/>
      <c r="AA13" s="304"/>
      <c r="AE13" s="304" t="s">
        <v>142</v>
      </c>
      <c r="AF13" s="304"/>
      <c r="AG13" s="304"/>
      <c r="AH13" s="304"/>
      <c r="AI13" s="304"/>
      <c r="AJ13" s="304"/>
      <c r="AK13" s="304"/>
      <c r="AL13" s="304"/>
      <c r="AO13" s="27"/>
      <c r="AP13" s="27"/>
      <c r="AQ13" s="303"/>
      <c r="AR13" s="303"/>
      <c r="AS13" s="303"/>
      <c r="AT13" s="303"/>
      <c r="AU13" s="303"/>
      <c r="AV13" s="303"/>
      <c r="AW13" s="303"/>
      <c r="AX13" s="303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</row>
    <row r="14" spans="1:63" ht="60" x14ac:dyDescent="0.25">
      <c r="A14" s="55" t="s">
        <v>132</v>
      </c>
      <c r="B14" s="60">
        <v>0</v>
      </c>
      <c r="C14" s="58">
        <v>50000000</v>
      </c>
      <c r="D14" s="58">
        <v>150000000</v>
      </c>
      <c r="E14" s="58">
        <v>250000000</v>
      </c>
      <c r="F14" s="58">
        <v>500000000</v>
      </c>
      <c r="G14" s="58">
        <v>750000000</v>
      </c>
      <c r="H14" s="58">
        <v>1000000000</v>
      </c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56"/>
      <c r="T14" s="55" t="s">
        <v>132</v>
      </c>
      <c r="U14" s="60">
        <v>0</v>
      </c>
      <c r="V14" s="58">
        <v>50000000</v>
      </c>
      <c r="W14" s="58">
        <v>150000000</v>
      </c>
      <c r="X14" s="58">
        <v>250000000</v>
      </c>
      <c r="Y14" s="58">
        <v>500000000</v>
      </c>
      <c r="Z14" s="58">
        <v>750000000</v>
      </c>
      <c r="AA14" s="58">
        <v>1000000000</v>
      </c>
      <c r="AE14" s="55" t="s">
        <v>132</v>
      </c>
      <c r="AF14" s="60">
        <v>0</v>
      </c>
      <c r="AG14" s="58">
        <v>50000000</v>
      </c>
      <c r="AH14" s="58">
        <v>150000000</v>
      </c>
      <c r="AI14" s="58">
        <v>250000000</v>
      </c>
      <c r="AJ14" s="58">
        <v>500000000</v>
      </c>
      <c r="AK14" s="58">
        <v>750000000</v>
      </c>
      <c r="AL14" s="58">
        <v>1000000000</v>
      </c>
      <c r="AO14" s="27"/>
      <c r="AP14" s="27"/>
      <c r="AQ14" s="74"/>
      <c r="AR14" s="75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27"/>
    </row>
    <row r="15" spans="1:63" ht="60" x14ac:dyDescent="0.25">
      <c r="A15" s="55" t="s">
        <v>133</v>
      </c>
      <c r="B15" s="60">
        <v>0</v>
      </c>
      <c r="C15" s="57">
        <v>23.53</v>
      </c>
      <c r="D15" s="57">
        <v>23.5</v>
      </c>
      <c r="E15" s="57">
        <v>23.5</v>
      </c>
      <c r="F15" s="57">
        <v>23.53</v>
      </c>
      <c r="G15" s="57">
        <v>23.5</v>
      </c>
      <c r="H15" s="225">
        <v>23.5</v>
      </c>
      <c r="I15" s="64"/>
      <c r="J15" s="64"/>
      <c r="K15" s="64"/>
      <c r="L15" s="64"/>
      <c r="M15" s="64"/>
      <c r="N15" s="64"/>
      <c r="O15" s="214"/>
      <c r="P15" s="214"/>
      <c r="Q15" s="214"/>
      <c r="R15" s="214"/>
      <c r="S15" s="47"/>
      <c r="T15" s="55" t="s">
        <v>133</v>
      </c>
      <c r="U15" s="60">
        <v>0</v>
      </c>
      <c r="V15" s="57">
        <v>23.53</v>
      </c>
      <c r="W15" s="57">
        <v>23.5</v>
      </c>
      <c r="X15" s="57">
        <v>23.5</v>
      </c>
      <c r="Y15" s="57">
        <v>23.53</v>
      </c>
      <c r="Z15" s="57">
        <v>23.5</v>
      </c>
      <c r="AA15" s="57">
        <v>23.5</v>
      </c>
      <c r="AE15" s="55" t="s">
        <v>133</v>
      </c>
      <c r="AF15" s="60">
        <v>0</v>
      </c>
      <c r="AG15" s="57">
        <v>23.53</v>
      </c>
      <c r="AH15" s="57">
        <v>23.5</v>
      </c>
      <c r="AI15" s="57">
        <v>23.5</v>
      </c>
      <c r="AJ15" s="57">
        <v>23.53</v>
      </c>
      <c r="AK15" s="57">
        <v>23.5</v>
      </c>
      <c r="AL15" s="57">
        <v>23.5</v>
      </c>
      <c r="AO15" s="27"/>
      <c r="AP15" s="27"/>
      <c r="AQ15" s="74"/>
      <c r="AR15" s="75"/>
      <c r="AS15" s="64"/>
      <c r="AT15" s="64"/>
      <c r="AU15" s="64"/>
      <c r="AV15" s="64"/>
      <c r="AW15" s="64"/>
      <c r="AX15" s="64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</row>
    <row r="16" spans="1:63" ht="45" x14ac:dyDescent="0.25">
      <c r="A16" s="55" t="s">
        <v>134</v>
      </c>
      <c r="B16" s="60">
        <v>0</v>
      </c>
      <c r="C16" s="57">
        <f>C14/C15</f>
        <v>2124946.8763280916</v>
      </c>
      <c r="D16" s="57">
        <f t="shared" ref="D16:H16" si="6">D14/D15</f>
        <v>6382978.7234042557</v>
      </c>
      <c r="E16" s="57">
        <f t="shared" si="6"/>
        <v>10638297.872340426</v>
      </c>
      <c r="F16" s="57">
        <f t="shared" si="6"/>
        <v>21249468.763280917</v>
      </c>
      <c r="G16" s="57">
        <f t="shared" si="6"/>
        <v>31914893.617021278</v>
      </c>
      <c r="H16" s="225">
        <f t="shared" si="6"/>
        <v>42553191.489361703</v>
      </c>
      <c r="I16" s="64"/>
      <c r="J16" s="64"/>
      <c r="K16" s="64"/>
      <c r="L16" s="64"/>
      <c r="M16" s="64"/>
      <c r="N16" s="64"/>
      <c r="O16" s="214"/>
      <c r="P16" s="214"/>
      <c r="Q16" s="214"/>
      <c r="R16" s="214"/>
      <c r="S16" s="47"/>
      <c r="T16" s="55" t="s">
        <v>134</v>
      </c>
      <c r="U16" s="60">
        <v>0</v>
      </c>
      <c r="V16" s="57">
        <f>V14/V15</f>
        <v>2124946.8763280916</v>
      </c>
      <c r="W16" s="57">
        <f t="shared" ref="W16" si="7">W14/W15</f>
        <v>6382978.7234042557</v>
      </c>
      <c r="X16" s="57">
        <f t="shared" ref="X16" si="8">X14/X15</f>
        <v>10638297.872340426</v>
      </c>
      <c r="Y16" s="57">
        <f t="shared" ref="Y16" si="9">Y14/Y15</f>
        <v>21249468.763280917</v>
      </c>
      <c r="Z16" s="57">
        <f t="shared" ref="Z16" si="10">Z14/Z15</f>
        <v>31914893.617021278</v>
      </c>
      <c r="AA16" s="57">
        <f>AA14/AA15</f>
        <v>42553191.489361703</v>
      </c>
      <c r="AE16" s="55" t="s">
        <v>134</v>
      </c>
      <c r="AF16" s="60">
        <v>0</v>
      </c>
      <c r="AG16" s="57">
        <f>AG14/AG15</f>
        <v>2124946.8763280916</v>
      </c>
      <c r="AH16" s="57">
        <f t="shared" ref="AH16" si="11">AH14/AH15</f>
        <v>6382978.7234042557</v>
      </c>
      <c r="AI16" s="57">
        <f t="shared" ref="AI16" si="12">AI14/AI15</f>
        <v>10638297.872340426</v>
      </c>
      <c r="AJ16" s="57">
        <f t="shared" ref="AJ16" si="13">AJ14/AJ15</f>
        <v>21249468.763280917</v>
      </c>
      <c r="AK16" s="57">
        <f t="shared" ref="AK16" si="14">AK14/AK15</f>
        <v>31914893.617021278</v>
      </c>
      <c r="AL16" s="57">
        <f t="shared" ref="AL16" si="15">AL14/AL15</f>
        <v>42553191.489361703</v>
      </c>
      <c r="AO16" s="27"/>
      <c r="AP16" s="27"/>
      <c r="AQ16" s="74"/>
      <c r="AR16" s="75"/>
      <c r="AS16" s="64"/>
      <c r="AT16" s="64"/>
      <c r="AU16" s="64"/>
      <c r="AV16" s="64"/>
      <c r="AW16" s="64"/>
      <c r="AX16" s="64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</row>
    <row r="17" spans="1:63" ht="60" x14ac:dyDescent="0.25">
      <c r="A17" s="55" t="s">
        <v>135</v>
      </c>
      <c r="B17" s="60">
        <v>0</v>
      </c>
      <c r="C17" s="57">
        <v>6878251178.9791269</v>
      </c>
      <c r="D17" s="57">
        <v>6878251178.9791269</v>
      </c>
      <c r="E17" s="57">
        <v>6878251178.9791269</v>
      </c>
      <c r="F17" s="57">
        <v>6878251178.9791269</v>
      </c>
      <c r="G17" s="57">
        <v>6878251178.9791269</v>
      </c>
      <c r="H17" s="225">
        <v>6878251178.9791269</v>
      </c>
      <c r="I17" s="64"/>
      <c r="J17" s="64"/>
      <c r="K17" s="64"/>
      <c r="L17" s="64"/>
      <c r="M17" s="64"/>
      <c r="N17" s="64"/>
      <c r="O17" s="214"/>
      <c r="P17" s="214"/>
      <c r="Q17" s="214"/>
      <c r="R17" s="214"/>
      <c r="S17" s="47"/>
      <c r="T17" s="55" t="s">
        <v>135</v>
      </c>
      <c r="U17" s="135">
        <v>0.32536940356566812</v>
      </c>
      <c r="V17" s="135">
        <v>0.32536940356566812</v>
      </c>
      <c r="W17" s="135">
        <v>0.32536940356566812</v>
      </c>
      <c r="X17" s="135">
        <v>0.32536940356566812</v>
      </c>
      <c r="Y17" s="135">
        <v>0.32536940356566812</v>
      </c>
      <c r="Z17" s="135">
        <v>0.32536940356566812</v>
      </c>
      <c r="AA17" s="135">
        <v>0.32536940356566812</v>
      </c>
      <c r="AE17" s="55" t="s">
        <v>135</v>
      </c>
      <c r="AF17" s="60">
        <v>0</v>
      </c>
      <c r="AG17" s="57">
        <v>387665048.22585833</v>
      </c>
      <c r="AH17" s="57">
        <v>387665048.22585833</v>
      </c>
      <c r="AI17" s="57">
        <v>387665048.22585833</v>
      </c>
      <c r="AJ17" s="57">
        <v>387665048.22585833</v>
      </c>
      <c r="AK17" s="57">
        <v>387665048.22585833</v>
      </c>
      <c r="AL17" s="57">
        <v>387665048.22585833</v>
      </c>
      <c r="AO17" s="27"/>
      <c r="AP17" s="27"/>
      <c r="AQ17" s="74"/>
      <c r="AR17" s="75"/>
      <c r="AS17" s="64"/>
      <c r="AT17" s="64"/>
      <c r="AU17" s="64"/>
      <c r="AV17" s="64"/>
      <c r="AW17" s="64"/>
      <c r="AX17" s="64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</row>
    <row r="18" spans="1:63" ht="60" x14ac:dyDescent="0.25">
      <c r="A18" s="55" t="s">
        <v>136</v>
      </c>
      <c r="B18" s="141">
        <v>0</v>
      </c>
      <c r="C18" s="140">
        <f>C17*C16</f>
        <v>1.461591835737171E+16</v>
      </c>
      <c r="D18" s="140">
        <f t="shared" ref="D18:H18" si="16">D17*D16</f>
        <v>4.3903730929654008E+16</v>
      </c>
      <c r="E18" s="140">
        <f t="shared" si="16"/>
        <v>7.3172884882756672E+16</v>
      </c>
      <c r="F18" s="140">
        <f t="shared" si="16"/>
        <v>1.4615918357371709E+17</v>
      </c>
      <c r="G18" s="140">
        <f t="shared" si="16"/>
        <v>2.1951865464827002E+17</v>
      </c>
      <c r="H18" s="225">
        <f t="shared" si="16"/>
        <v>2.9269153953102669E+17</v>
      </c>
      <c r="I18" s="64"/>
      <c r="J18" s="64"/>
      <c r="K18" s="64"/>
      <c r="L18" s="64"/>
      <c r="M18" s="64"/>
      <c r="N18" s="64"/>
      <c r="O18" s="214"/>
      <c r="P18" s="214"/>
      <c r="Q18" s="214"/>
      <c r="R18" s="214"/>
      <c r="S18" s="47"/>
      <c r="T18" s="55" t="s">
        <v>136</v>
      </c>
      <c r="U18" s="60">
        <v>0</v>
      </c>
      <c r="V18" s="57">
        <f>V17*V16</f>
        <v>691392.69775960071</v>
      </c>
      <c r="W18" s="57">
        <f t="shared" ref="W18" si="17">W17*W16</f>
        <v>2076825.9802063925</v>
      </c>
      <c r="X18" s="57">
        <f t="shared" ref="X18" si="18">X17*X16</f>
        <v>3461376.6336773206</v>
      </c>
      <c r="Y18" s="57">
        <f t="shared" ref="Y18" si="19">Y17*Y16</f>
        <v>6913926.9775960073</v>
      </c>
      <c r="Z18" s="57">
        <f t="shared" ref="Z18" si="20">Z17*Z16</f>
        <v>10384129.901031962</v>
      </c>
      <c r="AA18" s="57">
        <f t="shared" ref="AA18" si="21">AA17*AA16</f>
        <v>13845506.534709282</v>
      </c>
      <c r="AE18" s="55" t="s">
        <v>136</v>
      </c>
      <c r="AF18" s="60">
        <v>0</v>
      </c>
      <c r="AG18" s="57">
        <f>AG17*AG16</f>
        <v>823767633289116.62</v>
      </c>
      <c r="AH18" s="57">
        <f t="shared" ref="AH18" si="22">AH17*AH16</f>
        <v>2474457754633138.5</v>
      </c>
      <c r="AI18" s="57">
        <f t="shared" ref="AI18" si="23">AI17*AI16</f>
        <v>4124096257721897.5</v>
      </c>
      <c r="AJ18" s="57">
        <f t="shared" ref="AJ18" si="24">AJ17*AJ16</f>
        <v>8237676332891167</v>
      </c>
      <c r="AK18" s="57">
        <f t="shared" ref="AK18" si="25">AK17*AK16</f>
        <v>1.2372288773165692E+16</v>
      </c>
      <c r="AL18" s="57">
        <f t="shared" ref="AL18" si="26">AL17*AL16</f>
        <v>1.649638503088759E+16</v>
      </c>
      <c r="AO18" s="27"/>
      <c r="AP18" s="27"/>
      <c r="AQ18" s="74"/>
      <c r="AR18" s="75"/>
      <c r="AS18" s="64"/>
      <c r="AT18" s="64"/>
      <c r="AU18" s="64"/>
      <c r="AV18" s="64"/>
      <c r="AW18" s="64"/>
      <c r="AX18" s="64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</row>
    <row r="19" spans="1:63" x14ac:dyDescent="0.25">
      <c r="A19" s="55" t="s">
        <v>137</v>
      </c>
      <c r="B19" s="76">
        <v>0</v>
      </c>
      <c r="C19" s="76">
        <v>9.9999999999999895E-2</v>
      </c>
      <c r="D19" s="76">
        <v>0.38299999999999801</v>
      </c>
      <c r="E19" s="76">
        <v>0.76174999999999804</v>
      </c>
      <c r="F19" s="76">
        <v>2.346499999999998</v>
      </c>
      <c r="G19" s="76">
        <v>4.9999999999999796</v>
      </c>
      <c r="H19" s="76">
        <v>8.7749999999999986</v>
      </c>
      <c r="I19" s="76"/>
      <c r="J19" s="76">
        <v>2</v>
      </c>
      <c r="K19" s="76"/>
      <c r="L19" s="76"/>
      <c r="M19" s="76"/>
      <c r="N19" s="76"/>
      <c r="O19" s="214"/>
      <c r="P19" s="214"/>
      <c r="Q19" s="214"/>
      <c r="R19" s="214"/>
      <c r="S19" s="47"/>
      <c r="T19" s="55" t="s">
        <v>137</v>
      </c>
      <c r="U19" s="87">
        <v>0</v>
      </c>
      <c r="V19" s="87">
        <f t="shared" ref="V19:AA19" si="27">((0.75*V8)*2)*2</f>
        <v>0.30000000000000004</v>
      </c>
      <c r="W19" s="87">
        <f t="shared" si="27"/>
        <v>1.149</v>
      </c>
      <c r="X19" s="87">
        <f t="shared" si="27"/>
        <v>1.7999999999999998</v>
      </c>
      <c r="Y19" s="87">
        <f t="shared" si="27"/>
        <v>1.7999999999999998</v>
      </c>
      <c r="Z19" s="87">
        <f t="shared" si="27"/>
        <v>3</v>
      </c>
      <c r="AA19" s="87">
        <f t="shared" si="27"/>
        <v>6.6000000000000005</v>
      </c>
      <c r="AC19">
        <v>2</v>
      </c>
      <c r="AE19" s="55" t="s">
        <v>137</v>
      </c>
      <c r="AF19" s="60">
        <v>0</v>
      </c>
      <c r="AG19" s="223">
        <f t="shared" ref="AG19:AL19" si="28">((0.75*V10)*3)*2</f>
        <v>3.6750000000000003</v>
      </c>
      <c r="AH19" s="223">
        <f t="shared" si="28"/>
        <v>6.9</v>
      </c>
      <c r="AI19" s="223">
        <f t="shared" si="28"/>
        <v>11.175000000000001</v>
      </c>
      <c r="AJ19" s="223">
        <f t="shared" si="28"/>
        <v>11.475</v>
      </c>
      <c r="AK19" s="223">
        <f t="shared" si="28"/>
        <v>23.625</v>
      </c>
      <c r="AL19" s="223">
        <f t="shared" si="28"/>
        <v>58.650000000000006</v>
      </c>
      <c r="AM19">
        <v>2</v>
      </c>
      <c r="AO19" s="27"/>
      <c r="AP19" s="27"/>
      <c r="AQ19" s="74"/>
      <c r="AR19" s="75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27"/>
    </row>
    <row r="20" spans="1:63" x14ac:dyDescent="0.25">
      <c r="A20" s="55" t="s">
        <v>138</v>
      </c>
      <c r="B20" s="76">
        <v>0</v>
      </c>
      <c r="C20" s="76">
        <v>3.3333333333333298E-2</v>
      </c>
      <c r="D20" s="76">
        <v>0.12766666666666601</v>
      </c>
      <c r="E20" s="76">
        <v>0.25391666666666601</v>
      </c>
      <c r="F20" s="76">
        <v>0.78216666666666601</v>
      </c>
      <c r="G20" s="76">
        <v>1.6666666666666599</v>
      </c>
      <c r="H20" s="76">
        <v>2.9249999999999998</v>
      </c>
      <c r="I20" s="76"/>
      <c r="J20" s="76"/>
      <c r="K20" s="76"/>
      <c r="L20" s="76"/>
      <c r="M20" s="76"/>
      <c r="N20" s="76"/>
      <c r="O20" s="214"/>
      <c r="P20" s="214"/>
      <c r="Q20" s="214"/>
      <c r="R20" s="214"/>
      <c r="S20" s="47"/>
      <c r="T20" s="55" t="s">
        <v>138</v>
      </c>
      <c r="U20" s="87">
        <v>0</v>
      </c>
      <c r="V20" s="87">
        <f t="shared" ref="V20:AA20" si="29">((0.25*V8)*2)*2</f>
        <v>0.1</v>
      </c>
      <c r="W20" s="87">
        <f t="shared" si="29"/>
        <v>0.38300000000000001</v>
      </c>
      <c r="X20" s="87">
        <f t="shared" si="29"/>
        <v>0.6</v>
      </c>
      <c r="Y20" s="87">
        <f t="shared" si="29"/>
        <v>0.6</v>
      </c>
      <c r="Z20" s="87">
        <f t="shared" si="29"/>
        <v>1</v>
      </c>
      <c r="AA20" s="87">
        <f t="shared" si="29"/>
        <v>2.2000000000000002</v>
      </c>
      <c r="AE20" s="55" t="s">
        <v>138</v>
      </c>
      <c r="AF20" s="141">
        <v>0</v>
      </c>
      <c r="AG20" s="223">
        <f t="shared" ref="AG20:AL20" si="30">((0.25*V10)*3)*2</f>
        <v>1.2250000000000001</v>
      </c>
      <c r="AH20" s="223">
        <f t="shared" si="30"/>
        <v>2.3000000000000003</v>
      </c>
      <c r="AI20" s="223">
        <f t="shared" si="30"/>
        <v>3.7250000000000001</v>
      </c>
      <c r="AJ20" s="223">
        <f t="shared" si="30"/>
        <v>3.8249999999999997</v>
      </c>
      <c r="AK20" s="223">
        <f t="shared" si="30"/>
        <v>7.875</v>
      </c>
      <c r="AL20" s="223">
        <f t="shared" si="30"/>
        <v>19.55</v>
      </c>
      <c r="AO20" s="27"/>
      <c r="AP20" s="27"/>
      <c r="AQ20" s="74"/>
      <c r="AR20" s="75"/>
      <c r="AS20" s="76"/>
      <c r="AT20" s="76"/>
      <c r="AU20" s="76"/>
      <c r="AV20" s="76"/>
      <c r="AW20" s="76"/>
      <c r="AX20" s="76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</row>
    <row r="21" spans="1:63" x14ac:dyDescent="0.25">
      <c r="A21" s="55" t="s">
        <v>139</v>
      </c>
      <c r="B21" s="76">
        <v>0</v>
      </c>
      <c r="C21" s="76">
        <v>8.3333333333333245E-3</v>
      </c>
      <c r="D21" s="76">
        <v>3.1916666666666503E-2</v>
      </c>
      <c r="E21" s="76">
        <v>6.3479166666666503E-2</v>
      </c>
      <c r="F21" s="76">
        <v>0.1955416666666665</v>
      </c>
      <c r="G21" s="76">
        <v>0.41666666666666496</v>
      </c>
      <c r="H21" s="76">
        <v>0.73124999999999996</v>
      </c>
      <c r="I21" s="76"/>
      <c r="J21" s="76"/>
      <c r="K21" s="76"/>
      <c r="L21" s="76"/>
      <c r="M21" s="76"/>
      <c r="N21" s="76"/>
      <c r="O21" s="214"/>
      <c r="P21" s="214"/>
      <c r="Q21" s="214"/>
      <c r="R21" s="214"/>
      <c r="S21" s="47"/>
      <c r="T21" s="55" t="s">
        <v>139</v>
      </c>
      <c r="U21" s="87">
        <v>0</v>
      </c>
      <c r="V21" s="87">
        <f t="shared" ref="V21:AA21" si="31">((0.25*V20)*2)*2</f>
        <v>0.1</v>
      </c>
      <c r="W21" s="87">
        <f t="shared" si="31"/>
        <v>0.38300000000000001</v>
      </c>
      <c r="X21" s="87">
        <f t="shared" si="31"/>
        <v>0.6</v>
      </c>
      <c r="Y21" s="87">
        <f t="shared" si="31"/>
        <v>0.6</v>
      </c>
      <c r="Z21" s="87">
        <f t="shared" si="31"/>
        <v>1</v>
      </c>
      <c r="AA21" s="87">
        <f t="shared" si="31"/>
        <v>2.2000000000000002</v>
      </c>
      <c r="AE21" s="55" t="s">
        <v>139</v>
      </c>
      <c r="AF21" s="141">
        <v>0</v>
      </c>
      <c r="AG21" s="223">
        <f t="shared" ref="AG21:AL21" si="32">((0.25*AG20)*3)*2</f>
        <v>1.8375000000000001</v>
      </c>
      <c r="AH21" s="223">
        <f t="shared" si="32"/>
        <v>3.45</v>
      </c>
      <c r="AI21" s="223">
        <f t="shared" si="32"/>
        <v>5.5875000000000004</v>
      </c>
      <c r="AJ21" s="223">
        <f t="shared" si="32"/>
        <v>5.7374999999999998</v>
      </c>
      <c r="AK21" s="223">
        <f t="shared" si="32"/>
        <v>11.8125</v>
      </c>
      <c r="AL21" s="223">
        <f t="shared" si="32"/>
        <v>29.325000000000003</v>
      </c>
      <c r="AO21" s="27"/>
      <c r="AP21" s="27"/>
      <c r="AQ21" s="74"/>
      <c r="AR21" s="75"/>
      <c r="AS21" s="76"/>
      <c r="AT21" s="76"/>
      <c r="AU21" s="76"/>
      <c r="AV21" s="76"/>
      <c r="AW21" s="76"/>
      <c r="AX21" s="76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</row>
    <row r="22" spans="1:63" x14ac:dyDescent="0.25">
      <c r="A22" s="54"/>
      <c r="B22" s="59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</row>
    <row r="23" spans="1:63" x14ac:dyDescent="0.25"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</row>
    <row r="24" spans="1:63" x14ac:dyDescent="0.25">
      <c r="AB24" s="46" t="s">
        <v>75</v>
      </c>
      <c r="AC24" s="66">
        <v>0</v>
      </c>
      <c r="AM24" s="46" t="s">
        <v>75</v>
      </c>
      <c r="AN24" s="216">
        <v>-4E-79</v>
      </c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</row>
    <row r="25" spans="1:63" ht="17.25" customHeight="1" x14ac:dyDescent="0.25">
      <c r="H25" s="46" t="s">
        <v>75</v>
      </c>
      <c r="I25" s="216">
        <v>0</v>
      </c>
      <c r="AB25" s="46" t="s">
        <v>76</v>
      </c>
      <c r="AC25" s="70">
        <v>-2.6739999999999998E-30</v>
      </c>
      <c r="AM25" s="46" t="s">
        <v>76</v>
      </c>
      <c r="AN25" s="226">
        <v>1E-62</v>
      </c>
    </row>
    <row r="26" spans="1:63" x14ac:dyDescent="0.25">
      <c r="H26" s="46" t="s">
        <v>76</v>
      </c>
      <c r="I26" s="211">
        <v>-2.511E-70</v>
      </c>
      <c r="AB26" s="46" t="s">
        <v>77</v>
      </c>
      <c r="AC26" s="226">
        <v>7.8929999999999993E-21</v>
      </c>
      <c r="AM26" s="46" t="s">
        <v>77</v>
      </c>
      <c r="AN26" s="65">
        <v>-1E-46</v>
      </c>
    </row>
    <row r="27" spans="1:63" x14ac:dyDescent="0.25">
      <c r="H27" s="46" t="s">
        <v>77</v>
      </c>
      <c r="I27" s="226">
        <v>2.1139999999999999E-52</v>
      </c>
      <c r="AB27" s="46" t="s">
        <v>78</v>
      </c>
      <c r="AC27" s="70">
        <v>-1.342E-13</v>
      </c>
      <c r="AM27" s="46" t="s">
        <v>78</v>
      </c>
      <c r="AN27" s="226">
        <v>2.0000000000000002E-31</v>
      </c>
    </row>
    <row r="28" spans="1:63" x14ac:dyDescent="0.25">
      <c r="H28" s="46" t="s">
        <v>78</v>
      </c>
      <c r="I28" s="226">
        <v>3.9890000000000001E-35</v>
      </c>
      <c r="AB28" s="46" t="s">
        <v>79</v>
      </c>
      <c r="AC28" s="226">
        <v>8.2939999999999995E-7</v>
      </c>
      <c r="AM28" s="46" t="s">
        <v>79</v>
      </c>
      <c r="AN28" s="226">
        <v>2.9999999999999998E-15</v>
      </c>
    </row>
    <row r="29" spans="1:63" x14ac:dyDescent="0.25">
      <c r="H29" s="46" t="s">
        <v>79</v>
      </c>
      <c r="I29" s="226">
        <v>6.4889999999999999E-18</v>
      </c>
      <c r="AB29" s="46" t="s">
        <v>80</v>
      </c>
      <c r="AC29" s="20">
        <v>0</v>
      </c>
      <c r="AM29" s="46" t="s">
        <v>80</v>
      </c>
      <c r="AN29" s="65">
        <v>0</v>
      </c>
    </row>
    <row r="30" spans="1:63" x14ac:dyDescent="0.25">
      <c r="H30" s="46" t="s">
        <v>80</v>
      </c>
      <c r="I30" s="210">
        <v>0</v>
      </c>
    </row>
    <row r="31" spans="1:63" x14ac:dyDescent="0.25">
      <c r="I31" s="213"/>
    </row>
    <row r="32" spans="1:63" x14ac:dyDescent="0.25">
      <c r="I32" s="213"/>
    </row>
    <row r="33" spans="9:9" x14ac:dyDescent="0.25">
      <c r="I33" s="213"/>
    </row>
    <row r="34" spans="9:9" x14ac:dyDescent="0.25">
      <c r="I34" s="213"/>
    </row>
    <row r="35" spans="9:9" x14ac:dyDescent="0.25">
      <c r="I35" s="213"/>
    </row>
    <row r="36" spans="9:9" x14ac:dyDescent="0.25">
      <c r="I36" s="213"/>
    </row>
    <row r="37" spans="9:9" x14ac:dyDescent="0.25">
      <c r="I37" s="213"/>
    </row>
    <row r="38" spans="9:9" x14ac:dyDescent="0.25">
      <c r="I38" s="213"/>
    </row>
    <row r="39" spans="9:9" x14ac:dyDescent="0.25">
      <c r="I39" s="213"/>
    </row>
    <row r="40" spans="9:9" x14ac:dyDescent="0.25">
      <c r="I40" s="213"/>
    </row>
    <row r="41" spans="9:9" x14ac:dyDescent="0.25">
      <c r="I41" s="213"/>
    </row>
    <row r="42" spans="9:9" x14ac:dyDescent="0.25">
      <c r="I42" s="213"/>
    </row>
    <row r="43" spans="9:9" x14ac:dyDescent="0.25">
      <c r="I43" s="213"/>
    </row>
    <row r="44" spans="9:9" x14ac:dyDescent="0.25">
      <c r="I44" s="213"/>
    </row>
    <row r="45" spans="9:9" x14ac:dyDescent="0.25">
      <c r="I45" s="213"/>
    </row>
    <row r="46" spans="9:9" x14ac:dyDescent="0.25">
      <c r="I46" s="213"/>
    </row>
    <row r="47" spans="9:9" x14ac:dyDescent="0.25">
      <c r="I47" s="213"/>
    </row>
    <row r="48" spans="9:9" x14ac:dyDescent="0.25">
      <c r="I48" s="213"/>
    </row>
    <row r="49" spans="8:40" x14ac:dyDescent="0.25">
      <c r="I49" s="213"/>
    </row>
    <row r="50" spans="8:40" x14ac:dyDescent="0.25">
      <c r="I50" s="213"/>
    </row>
    <row r="51" spans="8:40" x14ac:dyDescent="0.25">
      <c r="H51" s="46" t="s">
        <v>75</v>
      </c>
      <c r="I51" s="216">
        <v>0</v>
      </c>
      <c r="AB51" s="46" t="s">
        <v>75</v>
      </c>
      <c r="AC51" s="20">
        <v>0</v>
      </c>
      <c r="AM51" s="46" t="s">
        <v>75</v>
      </c>
      <c r="AN51" s="70">
        <v>-1.2278E-79</v>
      </c>
    </row>
    <row r="52" spans="8:40" x14ac:dyDescent="0.25">
      <c r="H52" s="46" t="s">
        <v>76</v>
      </c>
      <c r="I52" s="216">
        <v>-8.3690000000000008E-71</v>
      </c>
      <c r="AB52" s="46" t="s">
        <v>76</v>
      </c>
      <c r="AC52" s="70">
        <v>-8.9129999999999997E-31</v>
      </c>
      <c r="AM52" s="46" t="s">
        <v>76</v>
      </c>
      <c r="AN52" s="226">
        <v>4.6375000000000002E-63</v>
      </c>
    </row>
    <row r="53" spans="8:40" x14ac:dyDescent="0.25">
      <c r="H53" s="46" t="s">
        <v>77</v>
      </c>
      <c r="I53" s="226">
        <v>7.0469999999999997E-53</v>
      </c>
      <c r="AB53" s="46" t="s">
        <v>77</v>
      </c>
      <c r="AC53" s="226">
        <v>2.6309999999999999E-21</v>
      </c>
      <c r="AM53" s="46" t="s">
        <v>77</v>
      </c>
      <c r="AN53" s="65">
        <v>-4.6063000000000004E-47</v>
      </c>
    </row>
    <row r="54" spans="8:40" x14ac:dyDescent="0.25">
      <c r="H54" s="46" t="s">
        <v>78</v>
      </c>
      <c r="I54" s="226">
        <v>1.3299999999999999E-35</v>
      </c>
      <c r="AB54" s="46" t="s">
        <v>78</v>
      </c>
      <c r="AC54" s="70">
        <v>-4.4730000000000002E-14</v>
      </c>
      <c r="AM54" s="46" t="s">
        <v>78</v>
      </c>
      <c r="AN54" s="226">
        <v>5.1679999999999995E-32</v>
      </c>
    </row>
    <row r="55" spans="8:40" x14ac:dyDescent="0.25">
      <c r="H55" s="46" t="s">
        <v>79</v>
      </c>
      <c r="I55" s="226">
        <v>2.163E-18</v>
      </c>
      <c r="AB55" s="46" t="s">
        <v>79</v>
      </c>
      <c r="AC55" s="226">
        <v>2.7650000000000002E-7</v>
      </c>
      <c r="AM55" s="46" t="s">
        <v>79</v>
      </c>
      <c r="AN55" s="226">
        <v>1.1414E-15</v>
      </c>
    </row>
    <row r="56" spans="8:40" x14ac:dyDescent="0.25">
      <c r="H56" s="46" t="s">
        <v>80</v>
      </c>
      <c r="I56" s="66">
        <v>0</v>
      </c>
      <c r="AB56" s="46" t="s">
        <v>80</v>
      </c>
      <c r="AC56" s="20">
        <v>0</v>
      </c>
      <c r="AM56" s="46" t="s">
        <v>80</v>
      </c>
      <c r="AN56" s="20">
        <v>0</v>
      </c>
    </row>
    <row r="57" spans="8:40" x14ac:dyDescent="0.25">
      <c r="I57" s="213"/>
    </row>
    <row r="58" spans="8:40" x14ac:dyDescent="0.25">
      <c r="I58" s="213"/>
    </row>
    <row r="59" spans="8:40" x14ac:dyDescent="0.25">
      <c r="I59" s="213"/>
    </row>
    <row r="60" spans="8:40" x14ac:dyDescent="0.25">
      <c r="I60" s="213"/>
    </row>
    <row r="61" spans="8:40" x14ac:dyDescent="0.25">
      <c r="I61" s="213"/>
    </row>
    <row r="62" spans="8:40" x14ac:dyDescent="0.25">
      <c r="I62" s="213"/>
    </row>
    <row r="63" spans="8:40" x14ac:dyDescent="0.25">
      <c r="I63" s="213"/>
    </row>
    <row r="64" spans="8:40" x14ac:dyDescent="0.25">
      <c r="I64" s="213"/>
    </row>
    <row r="65" spans="8:40" x14ac:dyDescent="0.25">
      <c r="I65" s="213"/>
    </row>
    <row r="66" spans="8:40" x14ac:dyDescent="0.25">
      <c r="I66" s="213"/>
    </row>
    <row r="67" spans="8:40" x14ac:dyDescent="0.25">
      <c r="I67" s="213"/>
    </row>
    <row r="68" spans="8:40" x14ac:dyDescent="0.25">
      <c r="I68" s="213"/>
    </row>
    <row r="69" spans="8:40" x14ac:dyDescent="0.25">
      <c r="I69" s="213"/>
    </row>
    <row r="70" spans="8:40" x14ac:dyDescent="0.25">
      <c r="I70" s="213"/>
    </row>
    <row r="71" spans="8:40" x14ac:dyDescent="0.25">
      <c r="I71" s="213"/>
    </row>
    <row r="72" spans="8:40" x14ac:dyDescent="0.25">
      <c r="I72" s="213"/>
    </row>
    <row r="73" spans="8:40" x14ac:dyDescent="0.25">
      <c r="I73" s="213"/>
    </row>
    <row r="74" spans="8:40" x14ac:dyDescent="0.25">
      <c r="I74" s="213"/>
    </row>
    <row r="75" spans="8:40" x14ac:dyDescent="0.25">
      <c r="I75" s="213"/>
    </row>
    <row r="76" spans="8:40" x14ac:dyDescent="0.25">
      <c r="I76" s="213"/>
    </row>
    <row r="77" spans="8:40" x14ac:dyDescent="0.25">
      <c r="I77" s="213"/>
    </row>
    <row r="78" spans="8:40" x14ac:dyDescent="0.25">
      <c r="H78" s="46" t="s">
        <v>75</v>
      </c>
      <c r="I78" s="216">
        <v>0</v>
      </c>
      <c r="AB78" s="46" t="s">
        <v>75</v>
      </c>
      <c r="AC78" s="20">
        <v>0</v>
      </c>
      <c r="AM78" s="46" t="s">
        <v>75</v>
      </c>
      <c r="AN78" s="65">
        <v>-4.6040000000000002E-80</v>
      </c>
    </row>
    <row r="79" spans="8:40" x14ac:dyDescent="0.25">
      <c r="H79" s="46" t="s">
        <v>76</v>
      </c>
      <c r="I79" s="209">
        <v>-2.0919999999999999E-71</v>
      </c>
      <c r="AB79" s="46" t="s">
        <v>76</v>
      </c>
      <c r="AC79" s="70">
        <v>-8.9129999999999997E-31</v>
      </c>
      <c r="AM79" s="46" t="s">
        <v>76</v>
      </c>
      <c r="AN79" s="226">
        <v>1.7390000000000001E-63</v>
      </c>
    </row>
    <row r="80" spans="8:40" x14ac:dyDescent="0.25">
      <c r="H80" s="46" t="s">
        <v>77</v>
      </c>
      <c r="I80" s="226">
        <v>1.7619999999999999E-53</v>
      </c>
      <c r="AB80" s="46" t="s">
        <v>77</v>
      </c>
      <c r="AC80" s="226">
        <v>2.6309999999999999E-21</v>
      </c>
      <c r="AM80" s="46" t="s">
        <v>77</v>
      </c>
      <c r="AN80" s="65">
        <v>-1.727E-47</v>
      </c>
    </row>
    <row r="81" spans="8:40" x14ac:dyDescent="0.25">
      <c r="H81" s="46" t="s">
        <v>78</v>
      </c>
      <c r="I81" s="226">
        <v>3.3239999999999997E-36</v>
      </c>
      <c r="AB81" s="46" t="s">
        <v>78</v>
      </c>
      <c r="AC81" s="70">
        <v>-4.4730000000000002E-14</v>
      </c>
      <c r="AM81" s="46" t="s">
        <v>78</v>
      </c>
      <c r="AN81" s="65">
        <v>1.9380000000000001E-32</v>
      </c>
    </row>
    <row r="82" spans="8:40" x14ac:dyDescent="0.25">
      <c r="H82" s="46" t="s">
        <v>79</v>
      </c>
      <c r="I82" s="226">
        <v>5.4080000000000004E-19</v>
      </c>
      <c r="AB82" s="46" t="s">
        <v>79</v>
      </c>
      <c r="AC82" s="226">
        <v>2.7650000000000002E-7</v>
      </c>
      <c r="AM82" s="46" t="s">
        <v>79</v>
      </c>
      <c r="AN82" s="226">
        <v>4.28E-16</v>
      </c>
    </row>
    <row r="83" spans="8:40" x14ac:dyDescent="0.25">
      <c r="H83" s="46" t="s">
        <v>80</v>
      </c>
      <c r="I83" s="209">
        <v>0</v>
      </c>
      <c r="AB83" s="46" t="s">
        <v>80</v>
      </c>
      <c r="AC83" s="20">
        <v>0</v>
      </c>
      <c r="AM83" s="46" t="s">
        <v>80</v>
      </c>
      <c r="AN83" s="65">
        <v>0</v>
      </c>
    </row>
  </sheetData>
  <mergeCells count="6">
    <mergeCell ref="AQ13:AX13"/>
    <mergeCell ref="A13:H13"/>
    <mergeCell ref="T1:T2"/>
    <mergeCell ref="T13:AA13"/>
    <mergeCell ref="AE13:AL13"/>
    <mergeCell ref="A1:A2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Q42"/>
  <sheetViews>
    <sheetView tabSelected="1" workbookViewId="0">
      <selection activeCell="U2" sqref="U2"/>
    </sheetView>
  </sheetViews>
  <sheetFormatPr defaultRowHeight="15" x14ac:dyDescent="0.25"/>
  <cols>
    <col min="1" max="1" width="15.42578125" customWidth="1"/>
    <col min="2" max="2" width="9.5703125" bestFit="1" customWidth="1"/>
    <col min="3" max="3" width="15.28515625" customWidth="1"/>
    <col min="4" max="4" width="14.7109375" customWidth="1"/>
    <col min="5" max="7" width="9.5703125" bestFit="1" customWidth="1"/>
    <col min="8" max="8" width="26" customWidth="1"/>
    <col min="9" max="9" width="11.85546875" customWidth="1"/>
    <col min="10" max="20" width="9.5703125" bestFit="1" customWidth="1"/>
    <col min="21" max="21" width="11" bestFit="1" customWidth="1"/>
  </cols>
  <sheetData>
    <row r="1" spans="1:38" x14ac:dyDescent="0.25">
      <c r="A1" s="304" t="s">
        <v>151</v>
      </c>
      <c r="B1" s="304"/>
      <c r="C1" s="304"/>
      <c r="D1" s="304"/>
      <c r="E1" s="304"/>
      <c r="F1" s="304"/>
      <c r="G1" s="304"/>
      <c r="H1" s="304"/>
    </row>
    <row r="2" spans="1:38" ht="45" x14ac:dyDescent="0.25">
      <c r="A2" s="55" t="s">
        <v>132</v>
      </c>
      <c r="B2" s="60">
        <v>0</v>
      </c>
      <c r="C2">
        <v>387000000</v>
      </c>
      <c r="D2">
        <v>636000000</v>
      </c>
      <c r="E2">
        <v>781000000</v>
      </c>
      <c r="F2">
        <v>884000000</v>
      </c>
      <c r="G2">
        <v>964000000</v>
      </c>
      <c r="H2">
        <v>1030000000</v>
      </c>
      <c r="I2">
        <v>1085000000</v>
      </c>
      <c r="J2">
        <v>1133000000</v>
      </c>
      <c r="K2">
        <v>1175000000</v>
      </c>
      <c r="L2">
        <v>1213000000</v>
      </c>
      <c r="M2">
        <v>1247000000</v>
      </c>
      <c r="N2">
        <v>1279000000</v>
      </c>
      <c r="O2">
        <v>1307000000</v>
      </c>
      <c r="P2">
        <v>1334000000</v>
      </c>
      <c r="Q2">
        <v>1359000000</v>
      </c>
      <c r="R2">
        <v>1462000000</v>
      </c>
      <c r="S2">
        <v>1607000000</v>
      </c>
      <c r="T2">
        <v>1710000000</v>
      </c>
    </row>
    <row r="3" spans="1:38" ht="30" x14ac:dyDescent="0.25">
      <c r="A3" s="55" t="s">
        <v>133</v>
      </c>
      <c r="B3" s="60">
        <v>22.774999999999999</v>
      </c>
      <c r="C3" s="57">
        <v>22.774999999999999</v>
      </c>
      <c r="D3" s="57">
        <v>22.774999999999999</v>
      </c>
      <c r="E3" s="57">
        <v>22.774999999999999</v>
      </c>
      <c r="F3" s="57">
        <v>22.774999999999999</v>
      </c>
      <c r="G3" s="57">
        <v>22.774999999999999</v>
      </c>
      <c r="H3" s="57">
        <v>22.774999999999999</v>
      </c>
      <c r="I3" s="57">
        <v>22.774999999999999</v>
      </c>
      <c r="J3" s="57">
        <v>22.774999999999999</v>
      </c>
      <c r="K3" s="57">
        <v>22.774999999999999</v>
      </c>
      <c r="L3" s="57">
        <v>22.774999999999999</v>
      </c>
      <c r="M3" s="57">
        <v>22.774999999999999</v>
      </c>
      <c r="N3" s="57">
        <v>22.774999999999999</v>
      </c>
      <c r="O3" s="57">
        <v>22.774999999999999</v>
      </c>
      <c r="P3" s="57">
        <v>22.774999999999999</v>
      </c>
      <c r="Q3" s="57">
        <v>22.774999999999999</v>
      </c>
      <c r="R3" s="57">
        <v>22.774999999999999</v>
      </c>
      <c r="S3" s="57">
        <v>22.774999999999999</v>
      </c>
      <c r="T3" s="57">
        <v>22.774999999999999</v>
      </c>
    </row>
    <row r="4" spans="1:38" ht="30" x14ac:dyDescent="0.25">
      <c r="A4" s="55" t="s">
        <v>134</v>
      </c>
      <c r="B4" s="78">
        <v>0</v>
      </c>
      <c r="C4" s="78">
        <f>C2/C3</f>
        <v>16992316.136114161</v>
      </c>
      <c r="D4" s="78">
        <f t="shared" ref="D4:T4" si="0">D2/D3</f>
        <v>27925356.750823274</v>
      </c>
      <c r="E4" s="78">
        <f t="shared" si="0"/>
        <v>34291986.827661909</v>
      </c>
      <c r="F4" s="78">
        <f t="shared" si="0"/>
        <v>38814489.571899012</v>
      </c>
      <c r="G4" s="78">
        <f t="shared" si="0"/>
        <v>42327113.062568605</v>
      </c>
      <c r="H4" s="78">
        <f t="shared" si="0"/>
        <v>45225027.442371026</v>
      </c>
      <c r="I4" s="78">
        <f t="shared" si="0"/>
        <v>47639956.092206366</v>
      </c>
      <c r="J4" s="78">
        <f t="shared" si="0"/>
        <v>49747530.186608128</v>
      </c>
      <c r="K4" s="78">
        <f t="shared" si="0"/>
        <v>51591657.519209661</v>
      </c>
      <c r="L4" s="78">
        <f t="shared" si="0"/>
        <v>53260153.677277721</v>
      </c>
      <c r="M4" s="78">
        <f t="shared" si="0"/>
        <v>54753018.660812296</v>
      </c>
      <c r="N4" s="78">
        <f t="shared" si="0"/>
        <v>56158068.057080135</v>
      </c>
      <c r="O4" s="78">
        <f t="shared" si="0"/>
        <v>57387486.278814495</v>
      </c>
      <c r="P4" s="78">
        <f t="shared" si="0"/>
        <v>58572996.706915483</v>
      </c>
      <c r="Q4" s="78">
        <f t="shared" si="0"/>
        <v>59670691.547749728</v>
      </c>
      <c r="R4" s="78">
        <f t="shared" si="0"/>
        <v>64193194.291986831</v>
      </c>
      <c r="S4" s="78">
        <f t="shared" si="0"/>
        <v>70559824.368825465</v>
      </c>
      <c r="T4" s="78">
        <f t="shared" si="0"/>
        <v>75082327.113062575</v>
      </c>
    </row>
    <row r="5" spans="1:38" ht="45" x14ac:dyDescent="0.25">
      <c r="A5" s="55" t="s">
        <v>135</v>
      </c>
      <c r="B5" s="78">
        <v>6980598.6470917473</v>
      </c>
      <c r="C5" s="78">
        <v>6980598.6470917473</v>
      </c>
      <c r="D5" s="78">
        <v>6980598.6470917473</v>
      </c>
      <c r="E5" s="78">
        <v>6980598.6470917473</v>
      </c>
      <c r="F5" s="78">
        <v>6980598.6470917473</v>
      </c>
      <c r="G5" s="78">
        <v>6980598.6470917473</v>
      </c>
      <c r="H5" s="78">
        <v>6980598.6470917473</v>
      </c>
      <c r="I5" s="78">
        <v>6980598.6470917473</v>
      </c>
      <c r="J5" s="78">
        <v>6980598.6470917473</v>
      </c>
      <c r="K5" s="78">
        <v>6980598.6470917473</v>
      </c>
      <c r="L5" s="78">
        <v>6980598.6470917473</v>
      </c>
      <c r="M5" s="78">
        <v>6980598.6470917473</v>
      </c>
      <c r="N5" s="78">
        <v>6980598.6470917473</v>
      </c>
      <c r="O5" s="78">
        <v>6980598.6470917473</v>
      </c>
      <c r="P5" s="78">
        <v>6980598.6470917473</v>
      </c>
      <c r="Q5" s="78">
        <v>6980598.6470917473</v>
      </c>
      <c r="R5" s="78">
        <v>6980598.6470917473</v>
      </c>
      <c r="S5" s="78">
        <v>6980598.6470917473</v>
      </c>
      <c r="T5" s="78">
        <v>6980598.6470917473</v>
      </c>
    </row>
    <row r="6" spans="1:38" ht="45" x14ac:dyDescent="0.25">
      <c r="A6" s="77" t="s">
        <v>136</v>
      </c>
      <c r="B6" s="78">
        <f>B5*B4</f>
        <v>0</v>
      </c>
      <c r="C6" s="78">
        <f t="shared" ref="C6:T6" si="1">C5*C4</f>
        <v>118616539030713.78</v>
      </c>
      <c r="D6" s="78">
        <f t="shared" si="1"/>
        <v>194935707554351.34</v>
      </c>
      <c r="E6" s="78">
        <f t="shared" si="1"/>
        <v>239378596855264.75</v>
      </c>
      <c r="F6" s="78">
        <f t="shared" si="1"/>
        <v>270948373393154.97</v>
      </c>
      <c r="G6" s="78">
        <f t="shared" si="1"/>
        <v>295468588179865.81</v>
      </c>
      <c r="H6" s="78">
        <f t="shared" si="1"/>
        <v>315697765378902.31</v>
      </c>
      <c r="I6" s="78">
        <f t="shared" si="1"/>
        <v>332555413044766</v>
      </c>
      <c r="J6" s="78">
        <f t="shared" si="1"/>
        <v>347267541916792.56</v>
      </c>
      <c r="K6" s="78">
        <f t="shared" si="1"/>
        <v>360140654679815.75</v>
      </c>
      <c r="L6" s="78">
        <f t="shared" si="1"/>
        <v>371787756703503.44</v>
      </c>
      <c r="M6" s="78">
        <f t="shared" si="1"/>
        <v>382208847987855.5</v>
      </c>
      <c r="N6" s="78">
        <f t="shared" si="1"/>
        <v>392016933902539.87</v>
      </c>
      <c r="O6" s="78">
        <f t="shared" si="1"/>
        <v>400599009077888.69</v>
      </c>
      <c r="P6" s="78">
        <f t="shared" si="1"/>
        <v>408874581568403.56</v>
      </c>
      <c r="Q6" s="78">
        <f t="shared" si="1"/>
        <v>416537148689250.69</v>
      </c>
      <c r="R6" s="78">
        <f t="shared" si="1"/>
        <v>448106925227140.94</v>
      </c>
      <c r="S6" s="78">
        <f t="shared" si="1"/>
        <v>492549814528054.31</v>
      </c>
      <c r="T6" s="78">
        <f t="shared" si="1"/>
        <v>524119591065944.62</v>
      </c>
    </row>
    <row r="7" spans="1:38" ht="15.75" thickBot="1" x14ac:dyDescent="0.3">
      <c r="A7" s="55" t="s">
        <v>152</v>
      </c>
      <c r="B7" s="60">
        <v>0</v>
      </c>
      <c r="C7" s="72">
        <v>1</v>
      </c>
      <c r="D7" s="72">
        <v>2</v>
      </c>
      <c r="E7" s="72">
        <v>3</v>
      </c>
      <c r="F7" s="72">
        <v>4</v>
      </c>
      <c r="G7" s="72">
        <v>5</v>
      </c>
      <c r="H7" s="72">
        <v>6</v>
      </c>
      <c r="I7" s="72">
        <v>7</v>
      </c>
      <c r="J7" s="72">
        <v>8</v>
      </c>
      <c r="K7" s="72">
        <v>9</v>
      </c>
      <c r="L7" s="72">
        <v>10</v>
      </c>
      <c r="M7" s="72">
        <v>11</v>
      </c>
      <c r="N7" s="72">
        <v>12</v>
      </c>
      <c r="O7" s="72">
        <v>13</v>
      </c>
      <c r="P7" s="72">
        <v>14</v>
      </c>
      <c r="Q7" s="72">
        <v>15</v>
      </c>
      <c r="R7" s="72">
        <v>20</v>
      </c>
      <c r="S7" s="72">
        <v>30</v>
      </c>
      <c r="T7" s="72">
        <v>40</v>
      </c>
    </row>
    <row r="8" spans="1:38" x14ac:dyDescent="0.25">
      <c r="A8" s="55"/>
      <c r="B8" s="60">
        <f>B6*0.75</f>
        <v>0</v>
      </c>
      <c r="C8" s="141">
        <f t="shared" ref="C8:T8" si="2">C6*0.75</f>
        <v>88962404273035.344</v>
      </c>
      <c r="D8" s="141">
        <f t="shared" si="2"/>
        <v>146201780665763.5</v>
      </c>
      <c r="E8" s="141">
        <f t="shared" si="2"/>
        <v>179533947641448.56</v>
      </c>
      <c r="F8" s="141">
        <f t="shared" si="2"/>
        <v>203211280044866.22</v>
      </c>
      <c r="G8" s="141">
        <f t="shared" si="2"/>
        <v>221601441134899.37</v>
      </c>
      <c r="H8" s="141">
        <f t="shared" si="2"/>
        <v>236773324034176.75</v>
      </c>
      <c r="I8" s="141">
        <f t="shared" si="2"/>
        <v>249416559783574.5</v>
      </c>
      <c r="J8" s="141">
        <f t="shared" si="2"/>
        <v>260450656437594.44</v>
      </c>
      <c r="K8" s="141">
        <f t="shared" si="2"/>
        <v>270105491009861.81</v>
      </c>
      <c r="L8" s="141">
        <f t="shared" si="2"/>
        <v>278840817527627.56</v>
      </c>
      <c r="M8" s="141">
        <f t="shared" si="2"/>
        <v>286656635990891.62</v>
      </c>
      <c r="N8" s="141">
        <f t="shared" si="2"/>
        <v>294012700426904.87</v>
      </c>
      <c r="O8" s="141">
        <f t="shared" si="2"/>
        <v>300449256808416.5</v>
      </c>
      <c r="P8" s="141">
        <f t="shared" si="2"/>
        <v>306655936176302.69</v>
      </c>
      <c r="Q8" s="141">
        <f t="shared" si="2"/>
        <v>312402861516938</v>
      </c>
      <c r="R8" s="141">
        <f t="shared" si="2"/>
        <v>336080193920355.69</v>
      </c>
      <c r="S8" s="141">
        <f t="shared" si="2"/>
        <v>369412360896040.75</v>
      </c>
      <c r="T8" s="141">
        <f t="shared" si="2"/>
        <v>393089693299458.5</v>
      </c>
    </row>
    <row r="9" spans="1:38" x14ac:dyDescent="0.25">
      <c r="A9" s="55"/>
      <c r="B9" s="60"/>
      <c r="C9" s="61"/>
      <c r="D9" s="61"/>
      <c r="E9" s="61"/>
      <c r="F9" s="61"/>
      <c r="G9" s="61"/>
      <c r="H9" s="61"/>
    </row>
    <row r="13" spans="1:38" x14ac:dyDescent="0.25">
      <c r="N13" t="s">
        <v>285</v>
      </c>
      <c r="O13" t="s">
        <v>286</v>
      </c>
      <c r="Q13">
        <v>0.9</v>
      </c>
      <c r="R13" s="65">
        <v>1.193E-63</v>
      </c>
    </row>
    <row r="14" spans="1:38" x14ac:dyDescent="0.25">
      <c r="M14" s="69" t="s">
        <v>75</v>
      </c>
      <c r="N14" s="89">
        <v>1.0737000000000001E-63</v>
      </c>
      <c r="O14" s="70">
        <f>0.1*R13</f>
        <v>1.193E-64</v>
      </c>
      <c r="R14" s="65">
        <v>-2.0145999999999999E-50</v>
      </c>
      <c r="AH14" s="223"/>
      <c r="AI14" s="223" t="s">
        <v>285</v>
      </c>
      <c r="AJ14" s="223" t="s">
        <v>286</v>
      </c>
    </row>
    <row r="15" spans="1:38" x14ac:dyDescent="0.25">
      <c r="M15" s="69" t="s">
        <v>76</v>
      </c>
      <c r="N15" s="89">
        <v>-1.81314E-50</v>
      </c>
      <c r="O15" s="70">
        <f t="shared" ref="O15:O19" si="3">0.1*R14</f>
        <v>-2.0146E-51</v>
      </c>
      <c r="R15" s="65">
        <v>1.6231000000000001E-37</v>
      </c>
      <c r="AH15" s="232" t="s">
        <v>75</v>
      </c>
      <c r="AI15" s="226">
        <f>0.9*AL15</f>
        <v>1.1541600000000001E-71</v>
      </c>
      <c r="AJ15" s="226">
        <f>0.1*AL15</f>
        <v>1.2824E-72</v>
      </c>
      <c r="AL15" s="226">
        <v>1.2824E-71</v>
      </c>
    </row>
    <row r="16" spans="1:38" x14ac:dyDescent="0.25">
      <c r="M16" s="69" t="s">
        <v>77</v>
      </c>
      <c r="N16" s="89">
        <v>1.4607900000000001E-37</v>
      </c>
      <c r="O16" s="70">
        <f t="shared" si="3"/>
        <v>1.6231000000000001E-38</v>
      </c>
      <c r="R16" s="65">
        <v>-5.0003000000000004E-25</v>
      </c>
      <c r="AH16" s="232" t="s">
        <v>76</v>
      </c>
      <c r="AI16" s="226">
        <f t="shared" ref="AI16:AI20" si="4">0.9*AL16</f>
        <v>-7.6477499999999996E-57</v>
      </c>
      <c r="AJ16" s="226">
        <f t="shared" ref="AJ16:AJ20" si="5">0.1*AL16</f>
        <v>-8.4974999999999995E-58</v>
      </c>
      <c r="AL16" s="226">
        <v>-8.4974999999999995E-57</v>
      </c>
    </row>
    <row r="17" spans="13:38" x14ac:dyDescent="0.25">
      <c r="M17" s="69" t="s">
        <v>78</v>
      </c>
      <c r="N17" s="89">
        <v>-4.5002700000000004E-25</v>
      </c>
      <c r="O17" s="70">
        <f t="shared" si="3"/>
        <v>-5.0003000000000004E-26</v>
      </c>
      <c r="R17" s="65">
        <v>9.5052999999999999E-13</v>
      </c>
      <c r="AH17" s="232" t="s">
        <v>77</v>
      </c>
      <c r="AI17" s="226">
        <f t="shared" si="4"/>
        <v>2.4176699999999999E-42</v>
      </c>
      <c r="AJ17" s="226">
        <f t="shared" si="5"/>
        <v>2.6862999999999999E-43</v>
      </c>
      <c r="AL17" s="226">
        <v>2.6862999999999999E-42</v>
      </c>
    </row>
    <row r="18" spans="13:38" x14ac:dyDescent="0.25">
      <c r="M18" s="69" t="s">
        <v>79</v>
      </c>
      <c r="N18" s="89">
        <v>8.5547699999999999E-13</v>
      </c>
      <c r="O18" s="70">
        <f t="shared" si="3"/>
        <v>9.5052999999999999E-14</v>
      </c>
      <c r="R18" s="20">
        <v>0</v>
      </c>
      <c r="AH18" s="232" t="s">
        <v>78</v>
      </c>
      <c r="AI18" s="226">
        <f t="shared" si="4"/>
        <v>-2.9227500000000001E-28</v>
      </c>
      <c r="AJ18" s="226">
        <f t="shared" si="5"/>
        <v>-3.2475000000000001E-29</v>
      </c>
      <c r="AL18" s="226">
        <v>-3.2475000000000001E-28</v>
      </c>
    </row>
    <row r="19" spans="13:38" x14ac:dyDescent="0.25">
      <c r="M19" s="69" t="s">
        <v>80</v>
      </c>
      <c r="N19" s="89">
        <v>0</v>
      </c>
      <c r="O19" s="70">
        <f t="shared" si="3"/>
        <v>0</v>
      </c>
      <c r="AH19" s="232" t="s">
        <v>79</v>
      </c>
      <c r="AI19" s="226">
        <f t="shared" si="4"/>
        <v>2.1801599999999998E-14</v>
      </c>
      <c r="AJ19" s="226">
        <f t="shared" si="5"/>
        <v>2.4224000000000001E-15</v>
      </c>
      <c r="AL19" s="226">
        <v>2.4223999999999999E-14</v>
      </c>
    </row>
    <row r="20" spans="13:38" x14ac:dyDescent="0.25">
      <c r="AH20" s="232" t="s">
        <v>80</v>
      </c>
      <c r="AI20" s="226">
        <f t="shared" si="4"/>
        <v>0</v>
      </c>
      <c r="AJ20" s="226">
        <f t="shared" si="5"/>
        <v>0</v>
      </c>
    </row>
    <row r="33" spans="3:43" x14ac:dyDescent="0.25">
      <c r="C33">
        <v>40756309879.890167</v>
      </c>
      <c r="D33">
        <v>81512619759.780334</v>
      </c>
      <c r="E33">
        <v>122268929639.67052</v>
      </c>
      <c r="F33">
        <v>163025239519.56067</v>
      </c>
      <c r="G33">
        <v>203781549399.4509</v>
      </c>
      <c r="H33">
        <v>244537859279.34103</v>
      </c>
      <c r="I33">
        <v>285294169159.2312</v>
      </c>
      <c r="J33">
        <v>326050479039.12134</v>
      </c>
      <c r="K33">
        <v>366806788919.01166</v>
      </c>
      <c r="L33">
        <v>407563098798.90179</v>
      </c>
      <c r="M33">
        <v>448319408678.79193</v>
      </c>
      <c r="N33">
        <v>489075718558.68207</v>
      </c>
      <c r="O33">
        <v>529832028438.57227</v>
      </c>
      <c r="P33">
        <v>570588338318.4624</v>
      </c>
      <c r="Q33">
        <v>611344648198.35266</v>
      </c>
      <c r="R33">
        <v>652100958078.24268</v>
      </c>
      <c r="S33">
        <v>692857267958.13293</v>
      </c>
      <c r="T33">
        <v>733613577838.02332</v>
      </c>
      <c r="U33">
        <v>774369887717.91333</v>
      </c>
      <c r="V33">
        <v>815126197597.80359</v>
      </c>
      <c r="W33">
        <v>855882507477.6936</v>
      </c>
      <c r="X33">
        <v>896638817357.58386</v>
      </c>
      <c r="Y33">
        <v>937395127237.47412</v>
      </c>
      <c r="Z33">
        <v>978151437117.36414</v>
      </c>
      <c r="AA33">
        <v>1018907746997.2544</v>
      </c>
      <c r="AB33">
        <v>1059664056877.1445</v>
      </c>
      <c r="AC33">
        <v>1100420366757.0347</v>
      </c>
      <c r="AD33">
        <v>1141176676636.9248</v>
      </c>
      <c r="AE33">
        <v>1181932986516.8152</v>
      </c>
      <c r="AF33">
        <v>1222689296396.7053</v>
      </c>
      <c r="AG33">
        <v>1263445606276.5952</v>
      </c>
      <c r="AH33">
        <v>1304201916156.4854</v>
      </c>
      <c r="AI33">
        <v>1344958226036.3757</v>
      </c>
      <c r="AJ33">
        <v>1385714535916.2659</v>
      </c>
      <c r="AK33">
        <v>1426470845796.156</v>
      </c>
      <c r="AL33">
        <v>1467227155676.0466</v>
      </c>
      <c r="AM33">
        <v>1507983465555.9365</v>
      </c>
      <c r="AN33">
        <v>1548739775435.8267</v>
      </c>
      <c r="AO33">
        <v>1589496085315.717</v>
      </c>
      <c r="AP33">
        <v>1630252395195.6072</v>
      </c>
    </row>
    <row r="34" spans="3:43" ht="15.75" x14ac:dyDescent="0.25">
      <c r="C34" s="114">
        <v>3.4825362476210368E-2</v>
      </c>
      <c r="D34" s="114">
        <v>0.10298032870957177</v>
      </c>
      <c r="E34" s="114">
        <v>0.20303033494492201</v>
      </c>
      <c r="F34" s="114">
        <v>0.33360074041181642</v>
      </c>
      <c r="G34" s="114">
        <v>0.49337557141121424</v>
      </c>
      <c r="H34" s="114">
        <v>0.6810962814680307</v>
      </c>
      <c r="I34" s="114">
        <v>0.89556052754955462</v>
      </c>
      <c r="J34" s="114">
        <v>1.1356209623497324</v>
      </c>
      <c r="K34" s="114">
        <v>1.4001840426393168</v>
      </c>
      <c r="L34" s="114">
        <v>1.6882088536818827</v>
      </c>
      <c r="M34" s="114">
        <v>1.9987059497157069</v>
      </c>
      <c r="N34" s="114">
        <v>2.3307362105015157</v>
      </c>
      <c r="O34" s="114">
        <v>2.6834097139360975</v>
      </c>
      <c r="P34" s="114">
        <v>3.0558846247317795</v>
      </c>
      <c r="Q34" s="114">
        <v>3.4473660991617723</v>
      </c>
      <c r="R34" s="114">
        <v>3.8571052058713806</v>
      </c>
      <c r="S34" s="114">
        <v>4.2843978627550765</v>
      </c>
      <c r="T34" s="114">
        <v>4.7285837898994432</v>
      </c>
      <c r="U34" s="114">
        <v>5.1890454785919795</v>
      </c>
      <c r="V34" s="114">
        <v>5.6652071763957741</v>
      </c>
      <c r="W34" s="114">
        <v>6.1565338882900429</v>
      </c>
      <c r="X34" s="114">
        <v>6.6625303938765335</v>
      </c>
      <c r="Y34" s="114">
        <v>7.1827402806517959</v>
      </c>
      <c r="Z34" s="114">
        <v>7.7167449933453183</v>
      </c>
      <c r="AA34" s="114">
        <v>8.2641628993235265</v>
      </c>
      <c r="AB34" s="114">
        <v>8.8246483700596539</v>
      </c>
      <c r="AC34" s="114">
        <v>9.3978908786694717</v>
      </c>
      <c r="AD34" s="114">
        <v>9.9836141135128909</v>
      </c>
      <c r="AE34" s="114">
        <v>10.581575107861424</v>
      </c>
      <c r="AF34" s="114">
        <v>11.191563385631515</v>
      </c>
      <c r="AG34" s="114">
        <v>11.81340012318374</v>
      </c>
      <c r="AH34" s="114">
        <v>12.446937327187863</v>
      </c>
      <c r="AI34" s="114">
        <v>13.092057028553766</v>
      </c>
      <c r="AJ34" s="114">
        <v>13.748670492428245</v>
      </c>
      <c r="AK34" s="114">
        <v>14.416717444257664</v>
      </c>
      <c r="AL34" s="114">
        <v>15.096165311916483</v>
      </c>
      <c r="AM34" s="114">
        <v>15.78700848390165</v>
      </c>
      <c r="AN34" s="114">
        <v>16.489267583592849</v>
      </c>
      <c r="AO34" s="114">
        <v>17.202988759578638</v>
      </c>
      <c r="AP34" s="114">
        <v>17.928242992048418</v>
      </c>
      <c r="AQ34" s="114">
        <v>18.665125415250301</v>
      </c>
    </row>
    <row r="39" spans="3:43" x14ac:dyDescent="0.25">
      <c r="C39">
        <v>0</v>
      </c>
      <c r="D39">
        <v>118616539030713.78</v>
      </c>
      <c r="E39">
        <v>194935707554351.34</v>
      </c>
      <c r="F39">
        <v>239378596855264.75</v>
      </c>
      <c r="G39">
        <v>270948373393154.97</v>
      </c>
      <c r="H39">
        <v>295468588179865.81</v>
      </c>
      <c r="I39">
        <v>315697765378902.31</v>
      </c>
      <c r="J39">
        <v>332555413044766</v>
      </c>
      <c r="K39">
        <v>347267541916792.56</v>
      </c>
      <c r="L39">
        <v>360140654679815.75</v>
      </c>
      <c r="M39">
        <v>371787756703503.44</v>
      </c>
      <c r="N39">
        <v>382208847987855.5</v>
      </c>
      <c r="O39">
        <v>392016933902539.87</v>
      </c>
      <c r="P39">
        <v>400599009077888.69</v>
      </c>
      <c r="Q39">
        <v>408874581568403.56</v>
      </c>
      <c r="R39">
        <v>416537148689250.69</v>
      </c>
      <c r="S39">
        <v>448106925227140.94</v>
      </c>
      <c r="T39">
        <v>492549814528054.31</v>
      </c>
      <c r="U39">
        <v>524119591065944.62</v>
      </c>
    </row>
    <row r="40" spans="3:43" x14ac:dyDescent="0.25">
      <c r="C40" s="223">
        <f>($R$13*(C39^5)+($R$14*(C39^4))+$R$15*(C39^3)+($R$16*(C39^2))+$R$17*C39)/1000000000</f>
        <v>0</v>
      </c>
      <c r="D40" s="223">
        <f>($R$13*(D39^5)+($R$14*(D39^4))+$R$15*(D39^3)+($R$16*(D39^2))+$R$17*D39)/1000000000</f>
        <v>2.4289280780479025E-2</v>
      </c>
      <c r="E40" s="223">
        <f>($R$13*(E39^5)+($R$14*(E39^4))+$R$15*(E39^3)+($R$16*(E39^2))+$R$17*E39)/1000000000</f>
        <v>0.30790573370596441</v>
      </c>
      <c r="F40" s="223">
        <f>($R$13*(F39^5)+($R$14*(F39^4))+$R$15*(F39^3)+($R$16*(F39^2))+$R$17*F39)/1000000000</f>
        <v>0.87375464726908214</v>
      </c>
      <c r="G40" s="223">
        <f>($R$13*(G39^5)+($R$14*(G39^4))+$R$15*(G39^3)+($R$16*(G39^2))+$R$17*G39)/1000000000</f>
        <v>1.6367161987501138</v>
      </c>
      <c r="H40" s="223">
        <f>($R$13*(H39^5)+($R$14*(H39^4))+$R$15*(H39^3)+($R$16*(H39^2))+$R$17*H39)/1000000000</f>
        <v>2.5371619543423773</v>
      </c>
      <c r="I40" s="223">
        <f>($R$13*(I39^5)+($R$14*(I39^4))+$R$15*(I39^3)+($R$16*(I39^2))+$R$17*I39)/1000000000</f>
        <v>3.5460331025193312</v>
      </c>
      <c r="J40" s="223">
        <f>($R$13*(J39^5)+($R$14*(J39^4))+$R$15*(J39^3)+($R$16*(J39^2))+$R$17*J39)/1000000000</f>
        <v>4.6119563201171179</v>
      </c>
      <c r="K40" s="223">
        <f>($R$13*(K39^5)+($R$14*(K39^4))+$R$15*(K39^3)+($R$16*(K39^2))+$R$17*K39)/1000000000</f>
        <v>5.7388126552286405</v>
      </c>
      <c r="L40" s="223">
        <f>($R$13*(L39^5)+($R$14*(L39^4))+$R$15*(L39^3)+($R$16*(L39^2))+$R$17*L39)/1000000000</f>
        <v>6.8963304080595176</v>
      </c>
      <c r="M40" s="223">
        <f>($R$13*(M39^5)+($R$14*(M39^4))+$R$15*(M39^3)+($R$16*(M39^2))+$R$17*M39)/1000000000</f>
        <v>8.0978883611536823</v>
      </c>
      <c r="N40" s="223">
        <f>($R$13*(N39^5)+($R$14*(N39^4))+$R$15*(N39^3)+($R$16*(N39^2))+$R$17*N39)/1000000000</f>
        <v>9.3097666896674838</v>
      </c>
      <c r="O40" s="223">
        <f>($R$13*(O39^5)+($R$14*(O39^4))+$R$15*(O39^3)+($R$16*(O39^2))+$R$17*O39)/1000000000</f>
        <v>10.578890646262481</v>
      </c>
      <c r="P40" s="223">
        <f>($R$13*(P39^5)+($R$14*(P39^4))+$R$15*(P39^3)+($R$16*(P39^2))+$R$17*P39)/1000000000</f>
        <v>11.799586305573692</v>
      </c>
      <c r="Q40" s="223">
        <f>($R$13*(Q39^5)+($R$14*(Q39^4))+$R$15*(Q39^3)+($R$16*(Q39^2))+$R$17*Q39)/1000000000</f>
        <v>13.080945068181913</v>
      </c>
      <c r="R40" s="223">
        <f>($R$13*(R39^5)+($R$14*(R39^4))+$R$15*(R39^3)+($R$16*(R39^2))+$R$17*R39)/1000000000</f>
        <v>14.364408265218236</v>
      </c>
      <c r="S40" s="223">
        <f>($R$13*(S39^5)+($R$14*(S39^4))+$R$15*(S39^3)+($R$16*(S39^2))+$R$17*S39)/1000000000</f>
        <v>20.757241011781403</v>
      </c>
      <c r="T40" s="223">
        <f>($R$13*(T39^5)+($R$14*(T39^4))+$R$15*(T39^3)+($R$16*(T39^2))+$R$17*T39)/1000000000</f>
        <v>33.418810206767759</v>
      </c>
      <c r="U40" s="223">
        <f>($R$13*(U39^5)+($R$14*(U39^4))+$R$15*(U39^3)+($R$16*(U39^2))+$R$17*U39)/1000000000</f>
        <v>45.686743405594989</v>
      </c>
    </row>
    <row r="42" spans="3:43" x14ac:dyDescent="0.25">
      <c r="U42">
        <v>1000000000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X19"/>
  <sheetViews>
    <sheetView topLeftCell="A4" workbookViewId="0">
      <selection activeCell="P21" sqref="P21"/>
    </sheetView>
  </sheetViews>
  <sheetFormatPr defaultRowHeight="15" x14ac:dyDescent="0.25"/>
  <cols>
    <col min="1" max="1" width="9.140625" style="223"/>
    <col min="2" max="2" width="12.7109375" style="223" customWidth="1"/>
    <col min="3" max="3" width="14.140625" style="223" customWidth="1"/>
    <col min="4" max="4" width="14.7109375" style="223" customWidth="1"/>
    <col min="5" max="5" width="12.85546875" style="223" customWidth="1"/>
    <col min="6" max="6" width="12.28515625" style="223" customWidth="1"/>
    <col min="7" max="7" width="13.28515625" style="223" customWidth="1"/>
    <col min="8" max="8" width="14.85546875" style="223" customWidth="1"/>
    <col min="9" max="12" width="9.140625" style="223"/>
    <col min="13" max="13" width="11.85546875" style="223" customWidth="1"/>
    <col min="14" max="14" width="13" style="223" customWidth="1"/>
    <col min="15" max="15" width="10" style="223" bestFit="1" customWidth="1"/>
    <col min="16" max="16" width="13.7109375" style="223" bestFit="1" customWidth="1"/>
    <col min="17" max="17" width="14.7109375" style="223" customWidth="1"/>
    <col min="18" max="18" width="16.140625" style="223" customWidth="1"/>
    <col min="19" max="19" width="14.140625" style="223" customWidth="1"/>
    <col min="20" max="20" width="24.85546875" style="223" customWidth="1"/>
    <col min="21" max="21" width="17.7109375" style="223" customWidth="1"/>
    <col min="22" max="22" width="18.28515625" style="223" customWidth="1"/>
    <col min="23" max="16384" width="9.140625" style="223"/>
  </cols>
  <sheetData>
    <row r="1" spans="1:24" x14ac:dyDescent="0.25">
      <c r="A1" s="304" t="s">
        <v>153</v>
      </c>
      <c r="B1" s="303"/>
      <c r="C1" s="303"/>
      <c r="D1" s="303"/>
      <c r="E1" s="303"/>
      <c r="F1" s="303"/>
      <c r="G1" s="303"/>
      <c r="H1" s="303"/>
    </row>
    <row r="2" spans="1:24" ht="60" x14ac:dyDescent="0.25">
      <c r="A2" s="234" t="s">
        <v>132</v>
      </c>
      <c r="B2" s="141">
        <v>0</v>
      </c>
      <c r="C2" s="210">
        <v>50000000</v>
      </c>
      <c r="D2" s="141">
        <v>100000000</v>
      </c>
      <c r="E2" s="210">
        <v>150000000</v>
      </c>
      <c r="F2" s="141">
        <v>200000000</v>
      </c>
      <c r="G2" s="210">
        <v>250000000</v>
      </c>
      <c r="H2" s="141">
        <v>300000000</v>
      </c>
      <c r="I2" s="210">
        <v>350000000</v>
      </c>
      <c r="J2" s="141">
        <v>400000000</v>
      </c>
      <c r="K2" s="210">
        <v>450000000</v>
      </c>
      <c r="L2" s="141">
        <v>500000000</v>
      </c>
      <c r="M2" s="210">
        <v>550000000</v>
      </c>
      <c r="N2" s="141">
        <v>600000000</v>
      </c>
      <c r="O2" s="228">
        <v>750000000</v>
      </c>
      <c r="P2" s="221">
        <v>1000000000</v>
      </c>
      <c r="Q2" s="228">
        <v>1250000000</v>
      </c>
      <c r="R2" s="221">
        <v>1500000000</v>
      </c>
      <c r="S2" s="228">
        <v>1750000000</v>
      </c>
      <c r="T2" s="221">
        <v>2000000000</v>
      </c>
      <c r="U2" s="228">
        <v>2250000000</v>
      </c>
      <c r="V2" s="236">
        <v>2500000000</v>
      </c>
    </row>
    <row r="3" spans="1:24" ht="60" x14ac:dyDescent="0.25">
      <c r="A3" s="234" t="s">
        <v>133</v>
      </c>
      <c r="B3" s="141">
        <v>22.774999999999999</v>
      </c>
      <c r="C3" s="225">
        <v>22.774999999999999</v>
      </c>
      <c r="D3" s="225">
        <v>22.774999999999999</v>
      </c>
      <c r="E3" s="225">
        <v>22.774999999999999</v>
      </c>
      <c r="F3" s="225">
        <v>22.774999999999999</v>
      </c>
      <c r="G3" s="225">
        <v>22.774999999999999</v>
      </c>
      <c r="H3" s="225">
        <v>22.774999999999999</v>
      </c>
      <c r="I3" s="225">
        <v>22.774999999999999</v>
      </c>
      <c r="J3" s="225">
        <v>22.774999999999999</v>
      </c>
      <c r="K3" s="225">
        <v>22.774999999999999</v>
      </c>
      <c r="L3" s="225">
        <v>22.774999999999999</v>
      </c>
      <c r="M3" s="225">
        <v>22.774999999999999</v>
      </c>
      <c r="N3" s="225">
        <v>22.774999999999999</v>
      </c>
      <c r="O3" s="225">
        <v>22.774999999999999</v>
      </c>
      <c r="P3" s="225">
        <v>22.774999999999999</v>
      </c>
      <c r="Q3" s="225">
        <v>22.774999999999999</v>
      </c>
      <c r="R3" s="225">
        <v>22.774999999999999</v>
      </c>
      <c r="S3" s="225">
        <v>22.774999999999999</v>
      </c>
      <c r="T3" s="225">
        <v>22.774999999999999</v>
      </c>
      <c r="U3" s="225">
        <v>22.774999999999999</v>
      </c>
      <c r="V3" s="225">
        <v>22.774999999999999</v>
      </c>
    </row>
    <row r="4" spans="1:24" ht="45" x14ac:dyDescent="0.25">
      <c r="A4" s="234" t="s">
        <v>134</v>
      </c>
      <c r="B4" s="227">
        <v>0</v>
      </c>
      <c r="C4" s="227">
        <f>C2/C3</f>
        <v>2195389.6816684962</v>
      </c>
      <c r="D4" s="227">
        <f t="shared" ref="D4:V4" si="0">D2/D3</f>
        <v>4390779.3633369925</v>
      </c>
      <c r="E4" s="227">
        <f t="shared" si="0"/>
        <v>6586169.0450054891</v>
      </c>
      <c r="F4" s="227">
        <f t="shared" si="0"/>
        <v>8781558.7266739849</v>
      </c>
      <c r="G4" s="227">
        <f t="shared" si="0"/>
        <v>10976948.408342481</v>
      </c>
      <c r="H4" s="227">
        <f t="shared" si="0"/>
        <v>13172338.090010978</v>
      </c>
      <c r="I4" s="227">
        <f t="shared" si="0"/>
        <v>15367727.771679474</v>
      </c>
      <c r="J4" s="227">
        <f t="shared" si="0"/>
        <v>17563117.45334797</v>
      </c>
      <c r="K4" s="227">
        <f t="shared" si="0"/>
        <v>19758507.135016467</v>
      </c>
      <c r="L4" s="227">
        <f t="shared" si="0"/>
        <v>21953896.816684961</v>
      </c>
      <c r="M4" s="227">
        <f t="shared" si="0"/>
        <v>24149286.498353459</v>
      </c>
      <c r="N4" s="227">
        <f t="shared" si="0"/>
        <v>26344676.180021957</v>
      </c>
      <c r="O4" s="227">
        <f t="shared" si="0"/>
        <v>32930845.225027446</v>
      </c>
      <c r="P4" s="227">
        <f t="shared" si="0"/>
        <v>43907793.633369923</v>
      </c>
      <c r="Q4" s="227">
        <f t="shared" si="0"/>
        <v>54884742.041712411</v>
      </c>
      <c r="R4" s="227">
        <f t="shared" si="0"/>
        <v>65861690.450054891</v>
      </c>
      <c r="S4" s="227">
        <f t="shared" si="0"/>
        <v>76838638.858397365</v>
      </c>
      <c r="T4" s="227">
        <f t="shared" si="0"/>
        <v>87815587.266739845</v>
      </c>
      <c r="U4" s="227">
        <f t="shared" si="0"/>
        <v>98792535.675082326</v>
      </c>
      <c r="V4" s="227">
        <f t="shared" si="0"/>
        <v>109769484.08342482</v>
      </c>
    </row>
    <row r="5" spans="1:24" ht="60" x14ac:dyDescent="0.25">
      <c r="A5" s="234" t="s">
        <v>135</v>
      </c>
      <c r="B5" s="227">
        <v>6877368001.1303988</v>
      </c>
      <c r="C5" s="227">
        <v>6877368001.1303988</v>
      </c>
      <c r="D5" s="227">
        <v>6877368001.1303988</v>
      </c>
      <c r="E5" s="227">
        <v>6877368001.1303988</v>
      </c>
      <c r="F5" s="227">
        <v>6877368001.1303988</v>
      </c>
      <c r="G5" s="227">
        <v>6877368001.1303988</v>
      </c>
      <c r="H5" s="227">
        <v>6877368001.1303988</v>
      </c>
      <c r="I5" s="227">
        <v>6877368001.1303988</v>
      </c>
      <c r="J5" s="227">
        <v>6877368001.1303988</v>
      </c>
      <c r="K5" s="227">
        <v>6877368001.1303988</v>
      </c>
      <c r="L5" s="227">
        <v>6877368001.1303988</v>
      </c>
      <c r="M5" s="227">
        <v>6877368001.1303988</v>
      </c>
      <c r="N5" s="227">
        <v>6877368001.1303988</v>
      </c>
      <c r="O5" s="227">
        <v>6877368001.1303988</v>
      </c>
      <c r="P5" s="227">
        <v>6877368001.1303988</v>
      </c>
      <c r="Q5" s="227">
        <v>6877368001.1303988</v>
      </c>
      <c r="R5" s="227">
        <v>6877368001.1303988</v>
      </c>
      <c r="S5" s="227">
        <v>6877368001.1303988</v>
      </c>
      <c r="T5" s="227">
        <v>6877368001.1303988</v>
      </c>
      <c r="U5" s="227">
        <v>6877368001.1303997</v>
      </c>
      <c r="V5" s="227">
        <v>6877368001.1303997</v>
      </c>
    </row>
    <row r="6" spans="1:24" ht="60" x14ac:dyDescent="0.25">
      <c r="A6" s="77" t="s">
        <v>136</v>
      </c>
      <c r="B6" s="227">
        <f>B5*B4</f>
        <v>0</v>
      </c>
      <c r="C6" s="227">
        <f t="shared" ref="C6:V6" si="1">C5*C4</f>
        <v>1.5098502746718768E+16</v>
      </c>
      <c r="D6" s="227">
        <f t="shared" si="1"/>
        <v>3.0197005493437536E+16</v>
      </c>
      <c r="E6" s="227">
        <f t="shared" si="1"/>
        <v>4.5295508240156312E+16</v>
      </c>
      <c r="F6" s="227">
        <f t="shared" si="1"/>
        <v>6.0394010986875072E+16</v>
      </c>
      <c r="G6" s="227">
        <f t="shared" si="1"/>
        <v>7.549251373359384E+16</v>
      </c>
      <c r="H6" s="227">
        <f t="shared" si="1"/>
        <v>9.0591016480312624E+16</v>
      </c>
      <c r="I6" s="227">
        <f t="shared" si="1"/>
        <v>1.0568951922703138E+17</v>
      </c>
      <c r="J6" s="227">
        <f t="shared" si="1"/>
        <v>1.2078802197375014E+17</v>
      </c>
      <c r="K6" s="227">
        <f t="shared" si="1"/>
        <v>1.3588652472046893E+17</v>
      </c>
      <c r="L6" s="227">
        <f t="shared" si="1"/>
        <v>1.5098502746718768E+17</v>
      </c>
      <c r="M6" s="227">
        <f t="shared" si="1"/>
        <v>1.6608353021390646E+17</v>
      </c>
      <c r="N6" s="227">
        <f t="shared" si="1"/>
        <v>1.8118203296062525E+17</v>
      </c>
      <c r="O6" s="227">
        <f t="shared" si="1"/>
        <v>2.2647754120078154E+17</v>
      </c>
      <c r="P6" s="227">
        <f t="shared" si="1"/>
        <v>3.0197005493437536E+17</v>
      </c>
      <c r="Q6" s="227">
        <f t="shared" si="1"/>
        <v>3.7746256866796922E+17</v>
      </c>
      <c r="R6" s="227">
        <f t="shared" si="1"/>
        <v>4.5295508240156307E+17</v>
      </c>
      <c r="S6" s="227">
        <f t="shared" si="1"/>
        <v>5.2844759613515686E+17</v>
      </c>
      <c r="T6" s="227">
        <f t="shared" si="1"/>
        <v>6.0394010986875072E+17</v>
      </c>
      <c r="U6" s="227">
        <f t="shared" si="1"/>
        <v>6.7943262360234458E+17</v>
      </c>
      <c r="V6" s="227">
        <f t="shared" si="1"/>
        <v>7.5492513733593856E+17</v>
      </c>
    </row>
    <row r="7" spans="1:24" ht="30" x14ac:dyDescent="0.25">
      <c r="A7" s="234" t="s">
        <v>152</v>
      </c>
      <c r="B7" s="223">
        <v>0</v>
      </c>
      <c r="C7" s="223">
        <v>8.4438131313131312E-2</v>
      </c>
      <c r="D7" s="223">
        <v>0.1775568181818182</v>
      </c>
      <c r="E7" s="223">
        <v>0.36103219696969702</v>
      </c>
      <c r="F7" s="223">
        <v>0.60763888888888895</v>
      </c>
      <c r="G7" s="223">
        <v>0.84438131313131315</v>
      </c>
      <c r="H7" s="223">
        <v>1.2034406565656566</v>
      </c>
      <c r="I7" s="223">
        <v>1.6098484848484849</v>
      </c>
      <c r="J7" s="223">
        <v>2.0083333333333324</v>
      </c>
      <c r="K7" s="223">
        <v>2.3134154040403998</v>
      </c>
      <c r="L7" s="223">
        <v>2.6250315656565748</v>
      </c>
      <c r="M7" s="223">
        <v>2.93276515151515</v>
      </c>
      <c r="N7" s="223">
        <v>3.0151515151515249</v>
      </c>
      <c r="O7" s="223">
        <v>3.7689393939393998</v>
      </c>
      <c r="P7" s="223">
        <v>4.6327008429281253</v>
      </c>
      <c r="Q7" s="223">
        <v>4.8899557013903499</v>
      </c>
      <c r="R7" s="223">
        <v>5.7393822770243004</v>
      </c>
      <c r="S7" s="223">
        <v>6.7466371354865249</v>
      </c>
      <c r="T7" s="223">
        <v>7.7538919939488249</v>
      </c>
      <c r="U7" s="223">
        <v>8.6033185695828003</v>
      </c>
      <c r="V7" s="223">
        <v>9.6894875694591747</v>
      </c>
      <c r="X7" s="223">
        <v>4</v>
      </c>
    </row>
    <row r="8" spans="1:24" x14ac:dyDescent="0.25">
      <c r="A8" s="234"/>
      <c r="B8" s="141"/>
      <c r="C8" s="61"/>
      <c r="D8" s="61"/>
      <c r="E8" s="61"/>
      <c r="F8" s="61"/>
      <c r="G8" s="61"/>
      <c r="H8" s="61"/>
    </row>
    <row r="9" spans="1:24" x14ac:dyDescent="0.25">
      <c r="A9" s="234"/>
      <c r="B9" s="141"/>
      <c r="C9" s="61"/>
      <c r="D9" s="61"/>
      <c r="E9" s="61"/>
      <c r="F9" s="61"/>
      <c r="G9" s="61"/>
      <c r="H9" s="61"/>
      <c r="T9" s="223">
        <v>3</v>
      </c>
    </row>
    <row r="12" spans="1:24" x14ac:dyDescent="0.25">
      <c r="N12" s="223">
        <v>0.5</v>
      </c>
    </row>
    <row r="14" spans="1:24" x14ac:dyDescent="0.25">
      <c r="M14" s="235" t="s">
        <v>75</v>
      </c>
      <c r="N14" s="226">
        <v>-1.248E-86</v>
      </c>
      <c r="O14" s="226">
        <v>-5.4733999999999995E-88</v>
      </c>
    </row>
    <row r="15" spans="1:24" x14ac:dyDescent="0.25">
      <c r="M15" s="235" t="s">
        <v>76</v>
      </c>
      <c r="N15" s="226">
        <v>2.1293999999999999E-68</v>
      </c>
      <c r="O15" s="226">
        <v>1.0331E-69</v>
      </c>
    </row>
    <row r="16" spans="1:24" x14ac:dyDescent="0.25">
      <c r="M16" s="235" t="s">
        <v>77</v>
      </c>
      <c r="N16" s="226">
        <v>-1.2371E-50</v>
      </c>
      <c r="O16" s="226">
        <v>-6.5895E-52</v>
      </c>
    </row>
    <row r="17" spans="13:15" x14ac:dyDescent="0.25">
      <c r="M17" s="235" t="s">
        <v>78</v>
      </c>
      <c r="N17" s="226">
        <v>2.7604000000000001E-33</v>
      </c>
      <c r="O17" s="226">
        <v>1.5446999999999999E-34</v>
      </c>
    </row>
    <row r="18" spans="13:15" x14ac:dyDescent="0.25">
      <c r="M18" s="235" t="s">
        <v>79</v>
      </c>
      <c r="N18" s="226">
        <v>-7.2329000000000004E-17</v>
      </c>
      <c r="O18" s="226">
        <v>4.9162999999999998E-18</v>
      </c>
    </row>
    <row r="19" spans="13:15" x14ac:dyDescent="0.25">
      <c r="M19" s="235" t="s">
        <v>80</v>
      </c>
      <c r="N19" s="223"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V19"/>
  <sheetViews>
    <sheetView topLeftCell="A7" workbookViewId="0">
      <selection activeCell="T19" sqref="T19"/>
    </sheetView>
  </sheetViews>
  <sheetFormatPr defaultRowHeight="15" x14ac:dyDescent="0.25"/>
  <cols>
    <col min="2" max="2" width="12.7109375" customWidth="1"/>
    <col min="3" max="3" width="14.140625" customWidth="1"/>
    <col min="4" max="4" width="14.7109375" customWidth="1"/>
    <col min="5" max="5" width="12.85546875" customWidth="1"/>
    <col min="6" max="6" width="12.28515625" customWidth="1"/>
    <col min="7" max="7" width="13.28515625" customWidth="1"/>
    <col min="8" max="8" width="14.85546875" customWidth="1"/>
    <col min="13" max="13" width="11.85546875" customWidth="1"/>
    <col min="14" max="14" width="13" customWidth="1"/>
    <col min="15" max="15" width="10" bestFit="1" customWidth="1"/>
    <col min="16" max="16" width="13.7109375" bestFit="1" customWidth="1"/>
    <col min="17" max="17" width="14.7109375" customWidth="1"/>
    <col min="18" max="18" width="16.140625" customWidth="1"/>
    <col min="19" max="19" width="14.140625" customWidth="1"/>
    <col min="20" max="20" width="24.85546875" customWidth="1"/>
    <col min="21" max="21" width="17.7109375" customWidth="1"/>
    <col min="22" max="22" width="18.28515625" customWidth="1"/>
  </cols>
  <sheetData>
    <row r="1" spans="1:22" x14ac:dyDescent="0.25">
      <c r="A1" s="304" t="s">
        <v>153</v>
      </c>
      <c r="B1" s="303"/>
      <c r="C1" s="303"/>
      <c r="D1" s="303"/>
      <c r="E1" s="303"/>
      <c r="F1" s="303"/>
      <c r="G1" s="303"/>
      <c r="H1" s="303"/>
    </row>
    <row r="2" spans="1:22" ht="60" x14ac:dyDescent="0.25">
      <c r="A2" s="55" t="s">
        <v>132</v>
      </c>
      <c r="B2" s="60">
        <v>0</v>
      </c>
      <c r="C2" s="20">
        <v>50000000</v>
      </c>
      <c r="D2" s="60">
        <v>100000000</v>
      </c>
      <c r="E2" s="20">
        <v>150000000</v>
      </c>
      <c r="F2" s="60">
        <v>200000000</v>
      </c>
      <c r="G2" s="20">
        <v>250000000</v>
      </c>
      <c r="H2" s="60">
        <v>300000000</v>
      </c>
      <c r="I2" s="20">
        <v>350000000</v>
      </c>
      <c r="J2" s="60">
        <v>400000000</v>
      </c>
      <c r="K2" s="20">
        <v>450000000</v>
      </c>
      <c r="L2" s="60">
        <v>500000000</v>
      </c>
      <c r="M2" s="20">
        <v>550000000</v>
      </c>
      <c r="N2" s="60">
        <v>600000000</v>
      </c>
      <c r="O2" s="220">
        <v>750000000</v>
      </c>
      <c r="P2" s="221">
        <v>1000000000</v>
      </c>
      <c r="Q2" s="220">
        <v>1250000000</v>
      </c>
      <c r="R2" s="221">
        <v>1500000000</v>
      </c>
      <c r="S2" s="220">
        <v>1750000000</v>
      </c>
      <c r="T2" s="221">
        <v>2000000000</v>
      </c>
      <c r="U2" s="228">
        <v>2250000000</v>
      </c>
      <c r="V2" s="236">
        <v>2500000000</v>
      </c>
    </row>
    <row r="3" spans="1:22" ht="60" x14ac:dyDescent="0.25">
      <c r="A3" s="55" t="s">
        <v>133</v>
      </c>
      <c r="B3" s="60">
        <v>22.774999999999999</v>
      </c>
      <c r="C3" s="57">
        <v>22.774999999999999</v>
      </c>
      <c r="D3" s="57">
        <v>22.774999999999999</v>
      </c>
      <c r="E3" s="57">
        <v>22.774999999999999</v>
      </c>
      <c r="F3" s="57">
        <v>22.774999999999999</v>
      </c>
      <c r="G3" s="57">
        <v>22.774999999999999</v>
      </c>
      <c r="H3" s="57">
        <v>22.774999999999999</v>
      </c>
      <c r="I3" s="57">
        <v>22.774999999999999</v>
      </c>
      <c r="J3" s="57">
        <v>22.774999999999999</v>
      </c>
      <c r="K3" s="57">
        <v>22.774999999999999</v>
      </c>
      <c r="L3" s="57">
        <v>22.774999999999999</v>
      </c>
      <c r="M3" s="57">
        <v>22.774999999999999</v>
      </c>
      <c r="N3" s="57">
        <v>22.774999999999999</v>
      </c>
      <c r="O3" s="140">
        <v>22.774999999999999</v>
      </c>
      <c r="P3" s="140">
        <v>22.774999999999999</v>
      </c>
      <c r="Q3" s="140">
        <v>22.774999999999999</v>
      </c>
      <c r="R3" s="140">
        <v>22.774999999999999</v>
      </c>
      <c r="S3" s="140">
        <v>22.774999999999999</v>
      </c>
      <c r="T3" s="140">
        <v>22.774999999999999</v>
      </c>
      <c r="U3" s="225">
        <v>22.774999999999999</v>
      </c>
      <c r="V3" s="225">
        <v>22.774999999999999</v>
      </c>
    </row>
    <row r="4" spans="1:22" ht="45" x14ac:dyDescent="0.25">
      <c r="A4" s="55" t="s">
        <v>134</v>
      </c>
      <c r="B4" s="78">
        <v>0</v>
      </c>
      <c r="C4" s="78">
        <f>C2/C3</f>
        <v>2195389.6816684962</v>
      </c>
      <c r="D4" s="78">
        <f t="shared" ref="D4:V4" si="0">D2/D3</f>
        <v>4390779.3633369925</v>
      </c>
      <c r="E4" s="78">
        <f t="shared" si="0"/>
        <v>6586169.0450054891</v>
      </c>
      <c r="F4" s="78">
        <f t="shared" si="0"/>
        <v>8781558.7266739849</v>
      </c>
      <c r="G4" s="78">
        <f t="shared" si="0"/>
        <v>10976948.408342481</v>
      </c>
      <c r="H4" s="78">
        <f t="shared" si="0"/>
        <v>13172338.090010978</v>
      </c>
      <c r="I4" s="78">
        <f t="shared" si="0"/>
        <v>15367727.771679474</v>
      </c>
      <c r="J4" s="78">
        <f t="shared" si="0"/>
        <v>17563117.45334797</v>
      </c>
      <c r="K4" s="78">
        <f t="shared" si="0"/>
        <v>19758507.135016467</v>
      </c>
      <c r="L4" s="78">
        <f t="shared" si="0"/>
        <v>21953896.816684961</v>
      </c>
      <c r="M4" s="78">
        <f t="shared" si="0"/>
        <v>24149286.498353459</v>
      </c>
      <c r="N4" s="78">
        <f t="shared" si="0"/>
        <v>26344676.180021957</v>
      </c>
      <c r="O4" s="78">
        <f t="shared" si="0"/>
        <v>32930845.225027446</v>
      </c>
      <c r="P4" s="78">
        <f t="shared" si="0"/>
        <v>43907793.633369923</v>
      </c>
      <c r="Q4" s="78">
        <f t="shared" si="0"/>
        <v>54884742.041712411</v>
      </c>
      <c r="R4" s="78">
        <f t="shared" si="0"/>
        <v>65861690.450054891</v>
      </c>
      <c r="S4" s="78">
        <f t="shared" si="0"/>
        <v>76838638.858397365</v>
      </c>
      <c r="T4" s="78">
        <f t="shared" si="0"/>
        <v>87815587.266739845</v>
      </c>
      <c r="U4" s="227">
        <f t="shared" si="0"/>
        <v>98792535.675082326</v>
      </c>
      <c r="V4" s="227">
        <f t="shared" si="0"/>
        <v>109769484.08342482</v>
      </c>
    </row>
    <row r="5" spans="1:22" ht="60" x14ac:dyDescent="0.25">
      <c r="A5" s="55" t="s">
        <v>135</v>
      </c>
      <c r="B5" s="78">
        <v>6877368001.1303988</v>
      </c>
      <c r="C5" s="78">
        <v>6877368001.1303988</v>
      </c>
      <c r="D5" s="78">
        <v>6877368001.1303988</v>
      </c>
      <c r="E5" s="78">
        <v>6877368001.1303988</v>
      </c>
      <c r="F5" s="78">
        <v>6877368001.1303988</v>
      </c>
      <c r="G5" s="78">
        <v>6877368001.1303988</v>
      </c>
      <c r="H5" s="78">
        <v>6877368001.1303988</v>
      </c>
      <c r="I5" s="78">
        <v>6877368001.1303988</v>
      </c>
      <c r="J5" s="78">
        <v>6877368001.1303988</v>
      </c>
      <c r="K5" s="78">
        <v>6877368001.1303988</v>
      </c>
      <c r="L5" s="78">
        <v>6877368001.1303988</v>
      </c>
      <c r="M5" s="78">
        <v>6877368001.1303988</v>
      </c>
      <c r="N5" s="78">
        <v>6877368001.1303988</v>
      </c>
      <c r="O5" s="78">
        <v>6877368001.1303988</v>
      </c>
      <c r="P5" s="78">
        <v>6877368001.1303988</v>
      </c>
      <c r="Q5" s="78">
        <v>6877368001.1303988</v>
      </c>
      <c r="R5" s="78">
        <v>6877368001.1303988</v>
      </c>
      <c r="S5" s="78">
        <v>6877368001.1303988</v>
      </c>
      <c r="T5" s="78">
        <v>6877368001.1303988</v>
      </c>
      <c r="U5" s="227">
        <v>6877368001.1303997</v>
      </c>
      <c r="V5" s="227">
        <v>6877368001.1303997</v>
      </c>
    </row>
    <row r="6" spans="1:22" ht="60" x14ac:dyDescent="0.25">
      <c r="A6" s="77" t="s">
        <v>136</v>
      </c>
      <c r="B6" s="78">
        <f>B5*B4</f>
        <v>0</v>
      </c>
      <c r="C6" s="78">
        <f t="shared" ref="C6:V6" si="1">C5*C4</f>
        <v>1.5098502746718768E+16</v>
      </c>
      <c r="D6" s="78">
        <f t="shared" si="1"/>
        <v>3.0197005493437536E+16</v>
      </c>
      <c r="E6" s="78">
        <f t="shared" si="1"/>
        <v>4.5295508240156312E+16</v>
      </c>
      <c r="F6" s="78">
        <f t="shared" si="1"/>
        <v>6.0394010986875072E+16</v>
      </c>
      <c r="G6" s="78">
        <f t="shared" si="1"/>
        <v>7.549251373359384E+16</v>
      </c>
      <c r="H6" s="78">
        <f t="shared" si="1"/>
        <v>9.0591016480312624E+16</v>
      </c>
      <c r="I6" s="78">
        <f t="shared" si="1"/>
        <v>1.0568951922703138E+17</v>
      </c>
      <c r="J6" s="78">
        <f t="shared" si="1"/>
        <v>1.2078802197375014E+17</v>
      </c>
      <c r="K6" s="78">
        <f t="shared" si="1"/>
        <v>1.3588652472046893E+17</v>
      </c>
      <c r="L6" s="78">
        <f t="shared" si="1"/>
        <v>1.5098502746718768E+17</v>
      </c>
      <c r="M6" s="78">
        <f t="shared" si="1"/>
        <v>1.6608353021390646E+17</v>
      </c>
      <c r="N6" s="78">
        <f t="shared" si="1"/>
        <v>1.8118203296062525E+17</v>
      </c>
      <c r="O6" s="78">
        <f t="shared" si="1"/>
        <v>2.2647754120078154E+17</v>
      </c>
      <c r="P6" s="78">
        <f t="shared" si="1"/>
        <v>3.0197005493437536E+17</v>
      </c>
      <c r="Q6" s="78">
        <f t="shared" si="1"/>
        <v>3.7746256866796922E+17</v>
      </c>
      <c r="R6" s="78">
        <f t="shared" si="1"/>
        <v>4.5295508240156307E+17</v>
      </c>
      <c r="S6" s="78">
        <f t="shared" si="1"/>
        <v>5.2844759613515686E+17</v>
      </c>
      <c r="T6" s="78">
        <f t="shared" si="1"/>
        <v>6.0394010986875072E+17</v>
      </c>
      <c r="U6" s="227">
        <f t="shared" si="1"/>
        <v>6.7943262360234458E+17</v>
      </c>
      <c r="V6" s="227">
        <f t="shared" si="1"/>
        <v>7.5492513733593856E+17</v>
      </c>
    </row>
    <row r="7" spans="1:22" ht="30" x14ac:dyDescent="0.25">
      <c r="A7" s="55" t="s">
        <v>152</v>
      </c>
      <c r="B7" s="223">
        <v>0</v>
      </c>
      <c r="C7" s="223">
        <v>0.53500000000000003</v>
      </c>
      <c r="D7" s="223">
        <v>1.125</v>
      </c>
      <c r="E7" s="223">
        <v>2.2875000000000001</v>
      </c>
      <c r="F7" s="223">
        <v>3.8500000000000005</v>
      </c>
      <c r="G7" s="223">
        <v>5.35</v>
      </c>
      <c r="H7" s="223">
        <v>7.625</v>
      </c>
      <c r="I7" s="223">
        <v>10.199999999999999</v>
      </c>
      <c r="J7" s="223">
        <v>13.2</v>
      </c>
      <c r="K7" s="223">
        <v>15.92499999999999</v>
      </c>
      <c r="L7" s="223">
        <v>19.32500000000001</v>
      </c>
      <c r="M7" s="223">
        <v>21.75</v>
      </c>
      <c r="N7" s="223">
        <v>25.44</v>
      </c>
      <c r="O7" s="223">
        <v>31.799999999999997</v>
      </c>
      <c r="P7" s="223">
        <v>34.4407925407926</v>
      </c>
      <c r="Q7" s="223">
        <v>36.822759324009297</v>
      </c>
      <c r="R7" s="223">
        <v>42.204726107225994</v>
      </c>
      <c r="S7" s="223">
        <v>53.586692890442706</v>
      </c>
      <c r="T7" s="223">
        <v>67.968659673659701</v>
      </c>
      <c r="U7" s="223">
        <v>80.350626456876597</v>
      </c>
      <c r="V7" s="223">
        <v>93.232593240093394</v>
      </c>
    </row>
    <row r="8" spans="1:22" x14ac:dyDescent="0.25">
      <c r="A8" s="55"/>
      <c r="B8" s="60"/>
      <c r="C8" s="61"/>
      <c r="D8" s="61"/>
      <c r="E8" s="61"/>
      <c r="F8" s="61"/>
      <c r="G8" s="61"/>
      <c r="H8" s="61"/>
    </row>
    <row r="9" spans="1:22" x14ac:dyDescent="0.25">
      <c r="A9" s="55"/>
      <c r="B9" s="60"/>
      <c r="C9" s="61"/>
      <c r="D9" s="61"/>
      <c r="E9" s="61"/>
      <c r="F9" s="61"/>
      <c r="G9" s="61"/>
      <c r="H9" s="61"/>
      <c r="T9">
        <v>3</v>
      </c>
    </row>
    <row r="12" spans="1:22" x14ac:dyDescent="0.25">
      <c r="N12">
        <v>0.5</v>
      </c>
    </row>
    <row r="14" spans="1:22" x14ac:dyDescent="0.25">
      <c r="M14" s="71" t="s">
        <v>75</v>
      </c>
      <c r="N14" s="212">
        <v>-1.248E-86</v>
      </c>
      <c r="O14" s="226">
        <v>-7.4309000000000003E-87</v>
      </c>
    </row>
    <row r="15" spans="1:22" x14ac:dyDescent="0.25">
      <c r="M15" s="71" t="s">
        <v>76</v>
      </c>
      <c r="N15" s="226">
        <v>2.1293999999999999E-68</v>
      </c>
      <c r="O15" s="226">
        <v>1.3796000000000001E-68</v>
      </c>
    </row>
    <row r="16" spans="1:22" x14ac:dyDescent="0.25">
      <c r="M16" s="71" t="s">
        <v>77</v>
      </c>
      <c r="N16" s="70">
        <v>-1.2371E-50</v>
      </c>
      <c r="O16" s="226">
        <v>-8.6038999999999995E-51</v>
      </c>
    </row>
    <row r="17" spans="13:15" x14ac:dyDescent="0.25">
      <c r="M17" s="71" t="s">
        <v>78</v>
      </c>
      <c r="N17" s="226">
        <v>2.7604000000000001E-33</v>
      </c>
      <c r="O17" s="226">
        <v>2.0301E-33</v>
      </c>
    </row>
    <row r="18" spans="13:15" x14ac:dyDescent="0.25">
      <c r="M18" s="71" t="s">
        <v>79</v>
      </c>
      <c r="N18" s="70">
        <v>-7.2329000000000004E-17</v>
      </c>
      <c r="O18" s="226">
        <v>-2.8668000000000002E-17</v>
      </c>
    </row>
    <row r="19" spans="13:15" x14ac:dyDescent="0.25">
      <c r="M19" s="71" t="s">
        <v>80</v>
      </c>
      <c r="N19"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T19"/>
  <sheetViews>
    <sheetView workbookViewId="0">
      <selection activeCell="C6" sqref="C6"/>
    </sheetView>
  </sheetViews>
  <sheetFormatPr defaultRowHeight="15" x14ac:dyDescent="0.25"/>
  <cols>
    <col min="2" max="2" width="12.7109375" customWidth="1"/>
    <col min="3" max="3" width="11.85546875" customWidth="1"/>
    <col min="4" max="4" width="11.28515625" customWidth="1"/>
    <col min="5" max="5" width="12.85546875" customWidth="1"/>
    <col min="6" max="6" width="12.28515625" customWidth="1"/>
    <col min="13" max="13" width="11.85546875" customWidth="1"/>
    <col min="14" max="14" width="13" customWidth="1"/>
    <col min="20" max="20" width="21.28515625" customWidth="1"/>
  </cols>
  <sheetData>
    <row r="1" spans="1:20" x14ac:dyDescent="0.25">
      <c r="A1" s="304" t="s">
        <v>154</v>
      </c>
      <c r="B1" s="303"/>
      <c r="C1" s="303"/>
      <c r="D1" s="303"/>
      <c r="E1" s="303"/>
      <c r="F1" s="303"/>
      <c r="G1" s="303"/>
      <c r="H1" s="303"/>
    </row>
    <row r="2" spans="1:20" ht="60" x14ac:dyDescent="0.25">
      <c r="A2" s="55" t="s">
        <v>132</v>
      </c>
      <c r="B2" s="141">
        <v>0</v>
      </c>
      <c r="C2" s="20">
        <v>50000000</v>
      </c>
      <c r="D2" s="141">
        <v>100000000</v>
      </c>
      <c r="E2" s="20">
        <v>150000000</v>
      </c>
      <c r="F2" s="141">
        <v>200000000</v>
      </c>
      <c r="G2" s="20">
        <v>250000000</v>
      </c>
      <c r="H2" s="141">
        <v>300000000</v>
      </c>
      <c r="I2" s="20">
        <v>350000000</v>
      </c>
      <c r="J2" s="141">
        <v>400000000</v>
      </c>
      <c r="K2" s="20">
        <v>450000000</v>
      </c>
      <c r="L2" s="141">
        <v>500000000</v>
      </c>
      <c r="M2" s="20">
        <v>550000000</v>
      </c>
      <c r="N2" s="141">
        <v>600000000</v>
      </c>
      <c r="O2" s="228">
        <v>750000000</v>
      </c>
      <c r="P2" s="221">
        <v>1000000000</v>
      </c>
      <c r="Q2" s="228">
        <v>1250000000</v>
      </c>
      <c r="R2" s="221">
        <v>1500000000</v>
      </c>
      <c r="S2" s="228">
        <v>1750000000</v>
      </c>
      <c r="T2" s="221">
        <v>2000000000</v>
      </c>
    </row>
    <row r="3" spans="1:20" ht="60" x14ac:dyDescent="0.25">
      <c r="A3" s="55" t="s">
        <v>133</v>
      </c>
      <c r="B3" s="141">
        <v>22.774999999999999</v>
      </c>
      <c r="C3" s="140">
        <v>22.774999999999999</v>
      </c>
      <c r="D3" s="140">
        <v>22.774999999999999</v>
      </c>
      <c r="E3" s="140">
        <v>22.774999999999999</v>
      </c>
      <c r="F3" s="140">
        <v>22.774999999999999</v>
      </c>
      <c r="G3" s="140">
        <v>22.774999999999999</v>
      </c>
      <c r="H3" s="140">
        <v>22.774999999999999</v>
      </c>
      <c r="I3" s="140">
        <v>22.774999999999999</v>
      </c>
      <c r="J3" s="140">
        <v>22.774999999999999</v>
      </c>
      <c r="K3" s="140">
        <v>22.774999999999999</v>
      </c>
      <c r="L3" s="140">
        <v>22.774999999999999</v>
      </c>
      <c r="M3" s="140">
        <v>22.774999999999999</v>
      </c>
      <c r="N3" s="140">
        <v>22.774999999999999</v>
      </c>
      <c r="O3" s="225">
        <v>22.774999999999999</v>
      </c>
      <c r="P3" s="225">
        <v>22.774999999999999</v>
      </c>
      <c r="Q3" s="225">
        <v>22.774999999999999</v>
      </c>
      <c r="R3" s="225">
        <v>22.774999999999999</v>
      </c>
      <c r="S3" s="225">
        <v>22.774999999999999</v>
      </c>
      <c r="T3" s="225">
        <v>22.774999999999999</v>
      </c>
    </row>
    <row r="4" spans="1:20" ht="45" x14ac:dyDescent="0.25">
      <c r="A4" s="55" t="s">
        <v>134</v>
      </c>
      <c r="B4" s="78">
        <v>0</v>
      </c>
      <c r="C4" s="78">
        <f>C2/C3</f>
        <v>2195389.6816684962</v>
      </c>
      <c r="D4" s="78">
        <f t="shared" ref="D4:T4" si="0">D2/D3</f>
        <v>4390779.3633369925</v>
      </c>
      <c r="E4" s="78">
        <f t="shared" si="0"/>
        <v>6586169.0450054891</v>
      </c>
      <c r="F4" s="78">
        <f t="shared" si="0"/>
        <v>8781558.7266739849</v>
      </c>
      <c r="G4" s="78">
        <f t="shared" si="0"/>
        <v>10976948.408342481</v>
      </c>
      <c r="H4" s="78">
        <f t="shared" si="0"/>
        <v>13172338.090010978</v>
      </c>
      <c r="I4" s="78">
        <f t="shared" si="0"/>
        <v>15367727.771679474</v>
      </c>
      <c r="J4" s="78">
        <f t="shared" si="0"/>
        <v>17563117.45334797</v>
      </c>
      <c r="K4" s="78">
        <f t="shared" si="0"/>
        <v>19758507.135016467</v>
      </c>
      <c r="L4" s="78">
        <f t="shared" si="0"/>
        <v>21953896.816684961</v>
      </c>
      <c r="M4" s="78">
        <f t="shared" si="0"/>
        <v>24149286.498353459</v>
      </c>
      <c r="N4" s="78">
        <f t="shared" si="0"/>
        <v>26344676.180021957</v>
      </c>
      <c r="O4" s="227">
        <f t="shared" si="0"/>
        <v>32930845.225027446</v>
      </c>
      <c r="P4" s="227">
        <f t="shared" si="0"/>
        <v>43907793.633369923</v>
      </c>
      <c r="Q4" s="227">
        <f t="shared" si="0"/>
        <v>54884742.041712411</v>
      </c>
      <c r="R4" s="227">
        <f t="shared" si="0"/>
        <v>65861690.450054891</v>
      </c>
      <c r="S4" s="227">
        <f t="shared" si="0"/>
        <v>76838638.858397365</v>
      </c>
      <c r="T4" s="227">
        <f t="shared" si="0"/>
        <v>87815587.266739845</v>
      </c>
    </row>
    <row r="5" spans="1:20" ht="60" x14ac:dyDescent="0.25">
      <c r="A5" s="55" t="s">
        <v>135</v>
      </c>
      <c r="B5" s="78">
        <v>6875845566.1211271</v>
      </c>
      <c r="C5" s="78">
        <v>6875845566.1211271</v>
      </c>
      <c r="D5" s="78">
        <v>6875845566.1211271</v>
      </c>
      <c r="E5" s="78">
        <v>6875845566.1211271</v>
      </c>
      <c r="F5" s="78">
        <v>6875845566.1211271</v>
      </c>
      <c r="G5" s="78">
        <v>6875845566.1211271</v>
      </c>
      <c r="H5" s="78">
        <v>6875845566.1211271</v>
      </c>
      <c r="I5" s="78">
        <v>6875845566.1211271</v>
      </c>
      <c r="J5" s="78">
        <v>6875845566.1211271</v>
      </c>
      <c r="K5" s="78">
        <v>6875845566.1211271</v>
      </c>
      <c r="L5" s="78">
        <v>6875845566.1211271</v>
      </c>
      <c r="M5" s="78">
        <v>6875845566.1211271</v>
      </c>
      <c r="N5" s="78">
        <v>6875845566.1211271</v>
      </c>
      <c r="O5" s="227">
        <v>6877368001.1303988</v>
      </c>
      <c r="P5" s="227">
        <v>6877368001.1303988</v>
      </c>
      <c r="Q5" s="227">
        <v>6877368001.1303988</v>
      </c>
      <c r="R5" s="227">
        <v>6877368001.1303988</v>
      </c>
      <c r="S5" s="227">
        <v>6877368001.1303988</v>
      </c>
      <c r="T5" s="227">
        <v>6877368001.1303988</v>
      </c>
    </row>
    <row r="6" spans="1:20" ht="60" x14ac:dyDescent="0.25">
      <c r="A6" s="77" t="s">
        <v>136</v>
      </c>
      <c r="B6" s="78">
        <f>B5*B4</f>
        <v>0</v>
      </c>
      <c r="C6" s="78">
        <f t="shared" ref="C6:T6" si="1">C5*C4</f>
        <v>1.5095160408608402E+16</v>
      </c>
      <c r="D6" s="78">
        <f t="shared" si="1"/>
        <v>3.0190320817216804E+16</v>
      </c>
      <c r="E6" s="78">
        <f t="shared" si="1"/>
        <v>4.5285481225825208E+16</v>
      </c>
      <c r="F6" s="78">
        <f t="shared" si="1"/>
        <v>6.0380641634433608E+16</v>
      </c>
      <c r="G6" s="78">
        <f t="shared" si="1"/>
        <v>7.5475802043042016E+16</v>
      </c>
      <c r="H6" s="78">
        <f t="shared" si="1"/>
        <v>9.0570962451650416E+16</v>
      </c>
      <c r="I6" s="78">
        <f t="shared" si="1"/>
        <v>1.0566612286025882E+17</v>
      </c>
      <c r="J6" s="78">
        <f t="shared" si="1"/>
        <v>1.2076128326886722E+17</v>
      </c>
      <c r="K6" s="78">
        <f t="shared" si="1"/>
        <v>1.3585644367747563E+17</v>
      </c>
      <c r="L6" s="78">
        <f t="shared" si="1"/>
        <v>1.5095160408608403E+17</v>
      </c>
      <c r="M6" s="78">
        <f t="shared" si="1"/>
        <v>1.6604676449469242E+17</v>
      </c>
      <c r="N6" s="78">
        <f t="shared" si="1"/>
        <v>1.8114192490330083E+17</v>
      </c>
      <c r="O6" s="227">
        <f t="shared" si="1"/>
        <v>2.2647754120078154E+17</v>
      </c>
      <c r="P6" s="227">
        <f t="shared" si="1"/>
        <v>3.0197005493437536E+17</v>
      </c>
      <c r="Q6" s="227">
        <f t="shared" si="1"/>
        <v>3.7746256866796922E+17</v>
      </c>
      <c r="R6" s="227">
        <f t="shared" si="1"/>
        <v>4.5295508240156307E+17</v>
      </c>
      <c r="S6" s="227">
        <f t="shared" si="1"/>
        <v>5.2844759613515686E+17</v>
      </c>
      <c r="T6" s="227">
        <f t="shared" si="1"/>
        <v>6.0394010986875072E+17</v>
      </c>
    </row>
    <row r="7" spans="1:20" ht="30" x14ac:dyDescent="0.25">
      <c r="A7" s="55" t="s">
        <v>152</v>
      </c>
      <c r="B7" s="223">
        <v>0</v>
      </c>
      <c r="C7" s="223">
        <v>0.85600000000000009</v>
      </c>
      <c r="D7" s="223">
        <v>1.8000000000000003</v>
      </c>
      <c r="E7" s="223">
        <v>3.6600000000000006</v>
      </c>
      <c r="F7" s="223">
        <v>6.160000000000001</v>
      </c>
      <c r="G7" s="223">
        <v>8.56</v>
      </c>
      <c r="H7" s="223">
        <v>12.2</v>
      </c>
      <c r="I7" s="223">
        <v>16.32</v>
      </c>
      <c r="J7" s="223">
        <v>21.119999999999997</v>
      </c>
      <c r="K7" s="223">
        <v>25.479999999999986</v>
      </c>
      <c r="L7" s="223">
        <v>30.920000000000016</v>
      </c>
      <c r="M7" s="223">
        <v>34.800000000000004</v>
      </c>
      <c r="N7" s="223">
        <v>40.704000000000008</v>
      </c>
      <c r="O7" s="223">
        <v>50.88</v>
      </c>
      <c r="P7" s="223">
        <v>55.105268065268163</v>
      </c>
      <c r="Q7" s="223">
        <v>58.916414918414887</v>
      </c>
      <c r="R7" s="223">
        <v>67.527561771561608</v>
      </c>
      <c r="S7" s="223">
        <v>85.738708624708323</v>
      </c>
      <c r="T7" s="223">
        <v>108.74985547785553</v>
      </c>
    </row>
    <row r="8" spans="1:20" x14ac:dyDescent="0.25">
      <c r="A8" s="55"/>
      <c r="B8" s="60"/>
      <c r="C8" s="61"/>
      <c r="D8" s="61"/>
      <c r="E8" s="61"/>
      <c r="F8" s="61"/>
      <c r="G8" s="61"/>
      <c r="H8" s="61"/>
    </row>
    <row r="9" spans="1:20" x14ac:dyDescent="0.25">
      <c r="A9" s="55"/>
      <c r="B9" s="60"/>
      <c r="C9" s="61"/>
      <c r="D9" s="61"/>
      <c r="E9" s="61"/>
      <c r="F9" s="61"/>
      <c r="G9" s="61"/>
      <c r="H9" s="61"/>
      <c r="N9">
        <v>1.6</v>
      </c>
      <c r="T9">
        <v>3</v>
      </c>
    </row>
    <row r="14" spans="1:20" x14ac:dyDescent="0.25">
      <c r="M14" s="80" t="s">
        <v>75</v>
      </c>
      <c r="N14" s="216">
        <v>-1.9979000000000001E-86</v>
      </c>
    </row>
    <row r="15" spans="1:20" x14ac:dyDescent="0.25">
      <c r="M15" s="80" t="s">
        <v>76</v>
      </c>
      <c r="N15" s="226">
        <v>3.4085E-68</v>
      </c>
    </row>
    <row r="16" spans="1:20" x14ac:dyDescent="0.25">
      <c r="M16" s="80" t="s">
        <v>77</v>
      </c>
      <c r="N16" s="70">
        <v>-1.9800999999999999E-50</v>
      </c>
    </row>
    <row r="17" spans="13:14" x14ac:dyDescent="0.25">
      <c r="M17" s="80" t="s">
        <v>78</v>
      </c>
      <c r="N17" s="226">
        <v>4.4174000000000003E-33</v>
      </c>
    </row>
    <row r="18" spans="13:14" x14ac:dyDescent="0.25">
      <c r="M18" s="80" t="s">
        <v>79</v>
      </c>
      <c r="N18" s="216">
        <v>-1.1569000000000001E-16</v>
      </c>
    </row>
    <row r="19" spans="13:14" x14ac:dyDescent="0.25">
      <c r="M19" s="80" t="s">
        <v>80</v>
      </c>
      <c r="N19"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F19"/>
  <sheetViews>
    <sheetView topLeftCell="A7" workbookViewId="0">
      <selection activeCell="M10" sqref="M10"/>
    </sheetView>
  </sheetViews>
  <sheetFormatPr defaultRowHeight="15" x14ac:dyDescent="0.25"/>
  <cols>
    <col min="2" max="2" width="12.7109375" customWidth="1"/>
    <col min="3" max="3" width="11.85546875" customWidth="1"/>
    <col min="4" max="4" width="11.28515625" customWidth="1"/>
    <col min="5" max="5" width="12.85546875" customWidth="1"/>
    <col min="6" max="6" width="12.28515625" customWidth="1"/>
    <col min="13" max="13" width="11.85546875" customWidth="1"/>
    <col min="14" max="14" width="13" customWidth="1"/>
  </cols>
  <sheetData>
    <row r="1" spans="1:32" x14ac:dyDescent="0.25">
      <c r="A1" s="304" t="s">
        <v>155</v>
      </c>
      <c r="B1" s="303"/>
      <c r="C1" s="303"/>
      <c r="D1" s="303"/>
      <c r="E1" s="303"/>
      <c r="F1" s="303"/>
      <c r="G1" s="303"/>
      <c r="H1" s="303"/>
    </row>
    <row r="2" spans="1:32" ht="60" x14ac:dyDescent="0.25">
      <c r="A2" s="55" t="s">
        <v>132</v>
      </c>
      <c r="B2" s="60">
        <v>0</v>
      </c>
      <c r="C2" s="20">
        <v>50000000</v>
      </c>
      <c r="D2" s="60">
        <v>100000000</v>
      </c>
      <c r="E2" s="20">
        <v>150000000</v>
      </c>
      <c r="F2" s="60">
        <v>200000000</v>
      </c>
      <c r="G2" s="20">
        <v>250000000</v>
      </c>
      <c r="H2" s="60">
        <v>300000000</v>
      </c>
      <c r="I2" s="20">
        <v>350000000</v>
      </c>
      <c r="J2" s="60">
        <v>400000000</v>
      </c>
      <c r="K2" s="20">
        <v>450000000</v>
      </c>
      <c r="L2" s="60">
        <v>500000000</v>
      </c>
      <c r="M2" s="20">
        <v>550000000</v>
      </c>
      <c r="N2" s="60">
        <v>600000000</v>
      </c>
      <c r="O2" s="20">
        <v>650000000</v>
      </c>
      <c r="P2" s="60">
        <v>700000000</v>
      </c>
      <c r="Q2" s="20">
        <v>750000000</v>
      </c>
      <c r="R2" s="60">
        <v>800000000</v>
      </c>
      <c r="S2" s="20">
        <v>850000000</v>
      </c>
      <c r="T2" s="60">
        <v>900000000</v>
      </c>
      <c r="U2" s="20">
        <v>950000000</v>
      </c>
      <c r="V2" s="60">
        <v>1000000000</v>
      </c>
      <c r="W2" s="20">
        <v>1050000000</v>
      </c>
      <c r="X2" s="60">
        <v>1100000000</v>
      </c>
      <c r="Y2" s="20">
        <v>1150000000</v>
      </c>
      <c r="Z2" s="60">
        <v>1200000000</v>
      </c>
      <c r="AA2" s="20">
        <v>1250000000</v>
      </c>
      <c r="AB2" s="60">
        <v>1300000000</v>
      </c>
      <c r="AC2" s="20">
        <v>1350000000</v>
      </c>
      <c r="AD2" s="60">
        <v>1400000000</v>
      </c>
      <c r="AE2" s="20">
        <v>1450000000</v>
      </c>
      <c r="AF2" s="60">
        <v>1500000000</v>
      </c>
    </row>
    <row r="3" spans="1:32" ht="60" x14ac:dyDescent="0.25">
      <c r="A3" s="55" t="s">
        <v>133</v>
      </c>
      <c r="B3" s="60">
        <v>22.774999999999999</v>
      </c>
      <c r="C3" s="57">
        <v>22.774999999999999</v>
      </c>
      <c r="D3" s="57">
        <v>22.774999999999999</v>
      </c>
      <c r="E3" s="57">
        <v>22.774999999999999</v>
      </c>
      <c r="F3" s="57">
        <v>22.774999999999999</v>
      </c>
      <c r="G3" s="57">
        <v>22.774999999999999</v>
      </c>
      <c r="H3" s="57">
        <v>22.774999999999999</v>
      </c>
      <c r="I3" s="57">
        <v>22.774999999999999</v>
      </c>
      <c r="J3" s="57">
        <v>22.774999999999999</v>
      </c>
      <c r="K3" s="57">
        <v>22.774999999999999</v>
      </c>
      <c r="L3" s="57">
        <v>22.774999999999999</v>
      </c>
      <c r="M3" s="57">
        <v>22.774999999999999</v>
      </c>
      <c r="N3" s="57">
        <v>22.774999999999999</v>
      </c>
      <c r="O3" s="57">
        <v>22.774999999999999</v>
      </c>
      <c r="P3" s="57">
        <v>22.774999999999999</v>
      </c>
      <c r="Q3" s="57">
        <v>22.774999999999999</v>
      </c>
      <c r="R3" s="57">
        <v>22.774999999999999</v>
      </c>
      <c r="S3" s="57">
        <v>22.774999999999999</v>
      </c>
      <c r="T3" s="57">
        <v>22.774999999999999</v>
      </c>
      <c r="U3" s="60">
        <v>22.774999999999999</v>
      </c>
      <c r="V3" s="57">
        <v>22.774999999999999</v>
      </c>
      <c r="W3" s="57">
        <v>22.774999999999999</v>
      </c>
      <c r="X3" s="57">
        <v>22.774999999999999</v>
      </c>
      <c r="Y3" s="57">
        <v>22.774999999999999</v>
      </c>
      <c r="Z3" s="57">
        <v>22.774999999999999</v>
      </c>
      <c r="AA3" s="57">
        <v>22.774999999999999</v>
      </c>
      <c r="AB3" s="57">
        <v>22.774999999999999</v>
      </c>
      <c r="AC3" s="57">
        <v>22.774999999999999</v>
      </c>
      <c r="AD3" s="57">
        <v>22.774999999999999</v>
      </c>
      <c r="AE3" s="57">
        <v>22.774999999999999</v>
      </c>
      <c r="AF3" s="57">
        <v>22.774999999999999</v>
      </c>
    </row>
    <row r="4" spans="1:32" ht="45" x14ac:dyDescent="0.25">
      <c r="A4" s="55" t="s">
        <v>134</v>
      </c>
      <c r="B4" s="78">
        <v>0</v>
      </c>
      <c r="C4" s="78">
        <f>C2/C3</f>
        <v>2195389.6816684962</v>
      </c>
      <c r="D4" s="78">
        <f t="shared" ref="D4:AF4" si="0">D2/D3</f>
        <v>4390779.3633369925</v>
      </c>
      <c r="E4" s="78">
        <f t="shared" si="0"/>
        <v>6586169.0450054891</v>
      </c>
      <c r="F4" s="78">
        <f t="shared" si="0"/>
        <v>8781558.7266739849</v>
      </c>
      <c r="G4" s="78">
        <f t="shared" si="0"/>
        <v>10976948.408342481</v>
      </c>
      <c r="H4" s="78">
        <f t="shared" si="0"/>
        <v>13172338.090010978</v>
      </c>
      <c r="I4" s="78">
        <f t="shared" si="0"/>
        <v>15367727.771679474</v>
      </c>
      <c r="J4" s="78">
        <f t="shared" si="0"/>
        <v>17563117.45334797</v>
      </c>
      <c r="K4" s="78">
        <f t="shared" si="0"/>
        <v>19758507.135016467</v>
      </c>
      <c r="L4" s="78">
        <f t="shared" si="0"/>
        <v>21953896.816684961</v>
      </c>
      <c r="M4" s="78">
        <f t="shared" si="0"/>
        <v>24149286.498353459</v>
      </c>
      <c r="N4" s="78">
        <f t="shared" si="0"/>
        <v>26344676.180021957</v>
      </c>
      <c r="O4" s="78">
        <f t="shared" si="0"/>
        <v>28540065.86169045</v>
      </c>
      <c r="P4" s="78">
        <f t="shared" si="0"/>
        <v>30735455.543358948</v>
      </c>
      <c r="Q4" s="78">
        <f t="shared" si="0"/>
        <v>32930845.225027446</v>
      </c>
      <c r="R4" s="78">
        <f t="shared" si="0"/>
        <v>35126234.90669594</v>
      </c>
      <c r="S4" s="78">
        <f t="shared" si="0"/>
        <v>37321624.588364437</v>
      </c>
      <c r="T4" s="78">
        <f t="shared" si="0"/>
        <v>39517014.270032935</v>
      </c>
      <c r="U4" s="78">
        <f t="shared" si="0"/>
        <v>41712403.951701432</v>
      </c>
      <c r="V4" s="78">
        <f t="shared" si="0"/>
        <v>43907793.633369923</v>
      </c>
      <c r="W4" s="78">
        <f t="shared" si="0"/>
        <v>46103183.31503842</v>
      </c>
      <c r="X4" s="78">
        <f t="shared" si="0"/>
        <v>48298572.996706918</v>
      </c>
      <c r="Y4" s="78">
        <f t="shared" si="0"/>
        <v>50493962.678375416</v>
      </c>
      <c r="Z4" s="78">
        <f t="shared" si="0"/>
        <v>52689352.360043913</v>
      </c>
      <c r="AA4" s="78">
        <f t="shared" si="0"/>
        <v>54884742.041712411</v>
      </c>
      <c r="AB4" s="78">
        <f t="shared" si="0"/>
        <v>57080131.723380901</v>
      </c>
      <c r="AC4" s="78">
        <f t="shared" si="0"/>
        <v>59275521.405049399</v>
      </c>
      <c r="AD4" s="78">
        <f t="shared" si="0"/>
        <v>61470911.086717896</v>
      </c>
      <c r="AE4" s="78">
        <f t="shared" si="0"/>
        <v>63666300.768386394</v>
      </c>
      <c r="AF4" s="78">
        <f t="shared" si="0"/>
        <v>65861690.450054891</v>
      </c>
    </row>
    <row r="5" spans="1:32" ht="60" x14ac:dyDescent="0.25">
      <c r="A5" s="55" t="s">
        <v>135</v>
      </c>
      <c r="B5" s="78">
        <v>34484.097042031033</v>
      </c>
      <c r="C5" s="78">
        <v>34484.097042031033</v>
      </c>
      <c r="D5" s="78">
        <v>34484.097042031033</v>
      </c>
      <c r="E5" s="78">
        <v>34484.097042031033</v>
      </c>
      <c r="F5" s="78">
        <v>34484.097042031033</v>
      </c>
      <c r="G5" s="78">
        <v>34484.097042031033</v>
      </c>
      <c r="H5" s="78">
        <v>34484.097042031033</v>
      </c>
      <c r="I5" s="78">
        <v>34484.097042031033</v>
      </c>
      <c r="J5" s="78">
        <v>34484.097042031033</v>
      </c>
      <c r="K5" s="78">
        <v>34484.097042031033</v>
      </c>
      <c r="L5" s="78">
        <v>34484.097042031033</v>
      </c>
      <c r="M5" s="78">
        <v>34484.097042031033</v>
      </c>
      <c r="N5" s="78">
        <v>34484.097042031033</v>
      </c>
      <c r="O5" s="78">
        <v>34484.097042031033</v>
      </c>
      <c r="P5" s="78">
        <v>34484.097042031033</v>
      </c>
      <c r="Q5" s="78">
        <v>34484.097042031033</v>
      </c>
      <c r="R5" s="78">
        <v>34484.097042031033</v>
      </c>
      <c r="S5" s="78">
        <v>34484.097042031033</v>
      </c>
      <c r="T5" s="78">
        <v>34484.097042031033</v>
      </c>
      <c r="U5" s="78">
        <v>34484.097042031033</v>
      </c>
      <c r="V5" s="78">
        <v>34484.097042031033</v>
      </c>
      <c r="W5" s="78">
        <v>34484.097042031033</v>
      </c>
      <c r="X5" s="78">
        <v>34484.097042031033</v>
      </c>
      <c r="Y5" s="78">
        <v>34484.097042031033</v>
      </c>
      <c r="Z5" s="78">
        <v>34484.097042031033</v>
      </c>
      <c r="AA5" s="78">
        <v>34484.097042031033</v>
      </c>
      <c r="AB5" s="78">
        <v>34484.097042031033</v>
      </c>
      <c r="AC5" s="78">
        <v>34484.097042031033</v>
      </c>
      <c r="AD5" s="78">
        <v>34484.097042031033</v>
      </c>
      <c r="AE5" s="78">
        <v>34484.097042031033</v>
      </c>
      <c r="AF5" s="78">
        <v>34484.097042031033</v>
      </c>
    </row>
    <row r="6" spans="1:32" ht="60" x14ac:dyDescent="0.25">
      <c r="A6" s="77" t="s">
        <v>136</v>
      </c>
      <c r="B6" s="78">
        <f>B5*B4</f>
        <v>0</v>
      </c>
      <c r="C6" s="78">
        <f t="shared" ref="C6:AF6" si="1">C5*C4</f>
        <v>75706030827.730042</v>
      </c>
      <c r="D6" s="78">
        <f t="shared" si="1"/>
        <v>151412061655.46008</v>
      </c>
      <c r="E6" s="78">
        <f t="shared" si="1"/>
        <v>227118092483.19016</v>
      </c>
      <c r="F6" s="78">
        <f t="shared" si="1"/>
        <v>302824123310.92017</v>
      </c>
      <c r="G6" s="78">
        <f t="shared" si="1"/>
        <v>378530154138.65021</v>
      </c>
      <c r="H6" s="78">
        <f t="shared" si="1"/>
        <v>454236184966.38031</v>
      </c>
      <c r="I6" s="78">
        <f t="shared" si="1"/>
        <v>529942215794.11029</v>
      </c>
      <c r="J6" s="78">
        <f t="shared" si="1"/>
        <v>605648246621.84033</v>
      </c>
      <c r="K6" s="78">
        <f t="shared" si="1"/>
        <v>681354277449.57043</v>
      </c>
      <c r="L6" s="78">
        <f t="shared" si="1"/>
        <v>757060308277.30042</v>
      </c>
      <c r="M6" s="78">
        <f t="shared" si="1"/>
        <v>832766339105.03052</v>
      </c>
      <c r="N6" s="78">
        <f t="shared" si="1"/>
        <v>908472369932.76062</v>
      </c>
      <c r="O6" s="78">
        <f t="shared" si="1"/>
        <v>984178400760.49048</v>
      </c>
      <c r="P6" s="78">
        <f t="shared" si="1"/>
        <v>1059884431588.2206</v>
      </c>
      <c r="Q6" s="78">
        <f t="shared" si="1"/>
        <v>1135590462415.9507</v>
      </c>
      <c r="R6" s="78">
        <f t="shared" si="1"/>
        <v>1211296493243.6807</v>
      </c>
      <c r="S6" s="78">
        <f t="shared" si="1"/>
        <v>1287002524071.4106</v>
      </c>
      <c r="T6" s="78">
        <f t="shared" si="1"/>
        <v>1362708554899.1409</v>
      </c>
      <c r="U6" s="78">
        <f t="shared" si="1"/>
        <v>1438414585726.8708</v>
      </c>
      <c r="V6" s="78">
        <f t="shared" si="1"/>
        <v>1514120616554.6008</v>
      </c>
      <c r="W6" s="78">
        <f t="shared" si="1"/>
        <v>1589826647382.3308</v>
      </c>
      <c r="X6" s="78">
        <f t="shared" si="1"/>
        <v>1665532678210.061</v>
      </c>
      <c r="Y6" s="78">
        <f t="shared" si="1"/>
        <v>1741238709037.791</v>
      </c>
      <c r="Z6" s="78">
        <f t="shared" si="1"/>
        <v>1816944739865.5212</v>
      </c>
      <c r="AA6" s="78">
        <f t="shared" si="1"/>
        <v>1892650770693.2512</v>
      </c>
      <c r="AB6" s="78">
        <f t="shared" si="1"/>
        <v>1968356801520.981</v>
      </c>
      <c r="AC6" s="78">
        <f t="shared" si="1"/>
        <v>2044062832348.7112</v>
      </c>
      <c r="AD6" s="78">
        <f t="shared" si="1"/>
        <v>2119768863176.4412</v>
      </c>
      <c r="AE6" s="78">
        <f t="shared" si="1"/>
        <v>2195474894004.1714</v>
      </c>
      <c r="AF6" s="78">
        <f t="shared" si="1"/>
        <v>2271180924831.9014</v>
      </c>
    </row>
    <row r="7" spans="1:32" x14ac:dyDescent="0.25">
      <c r="A7" s="55" t="s">
        <v>266</v>
      </c>
      <c r="B7">
        <f>4.1512*(B2/1000000)^0.3249</f>
        <v>0</v>
      </c>
      <c r="C7">
        <f t="shared" ref="C7:AF7" si="2">4.1512*(C2/1000000)^0.3249</f>
        <v>14.796841170070483</v>
      </c>
      <c r="D7">
        <f t="shared" si="2"/>
        <v>18.53419200089872</v>
      </c>
      <c r="E7">
        <f t="shared" si="2"/>
        <v>21.143929777113719</v>
      </c>
      <c r="F7">
        <f t="shared" si="2"/>
        <v>23.215513985580046</v>
      </c>
      <c r="G7">
        <f t="shared" si="2"/>
        <v>24.961137148181685</v>
      </c>
      <c r="H7">
        <f t="shared" si="2"/>
        <v>26.484413101305098</v>
      </c>
      <c r="I7">
        <f t="shared" si="2"/>
        <v>27.844624482674543</v>
      </c>
      <c r="J7">
        <f t="shared" si="2"/>
        <v>29.079233105415597</v>
      </c>
      <c r="K7">
        <f t="shared" si="2"/>
        <v>30.213595001870715</v>
      </c>
      <c r="L7">
        <f t="shared" si="2"/>
        <v>31.265761600586334</v>
      </c>
      <c r="M7">
        <f t="shared" si="2"/>
        <v>32.249092317993046</v>
      </c>
      <c r="N7">
        <f t="shared" si="2"/>
        <v>33.173782958729156</v>
      </c>
      <c r="O7">
        <f t="shared" si="2"/>
        <v>34.047811921242555</v>
      </c>
      <c r="P7">
        <f t="shared" si="2"/>
        <v>34.877553284729672</v>
      </c>
      <c r="Q7">
        <f t="shared" si="2"/>
        <v>35.668189240659679</v>
      </c>
      <c r="R7">
        <f t="shared" si="2"/>
        <v>36.423996407072032</v>
      </c>
      <c r="S7">
        <f t="shared" si="2"/>
        <v>37.148549984115547</v>
      </c>
      <c r="T7">
        <f t="shared" si="2"/>
        <v>37.844872724236865</v>
      </c>
      <c r="U7">
        <f t="shared" si="2"/>
        <v>38.515545840806695</v>
      </c>
      <c r="V7">
        <f t="shared" si="2"/>
        <v>39.162793051514072</v>
      </c>
      <c r="W7">
        <f t="shared" si="2"/>
        <v>39.788545268879695</v>
      </c>
      <c r="X7">
        <f t="shared" si="2"/>
        <v>40.394491094854658</v>
      </c>
      <c r="Y7">
        <f t="shared" si="2"/>
        <v>40.982116732300732</v>
      </c>
      <c r="Z7">
        <f t="shared" si="2"/>
        <v>41.552737890900751</v>
      </c>
      <c r="AA7">
        <f t="shared" si="2"/>
        <v>42.107525556913693</v>
      </c>
      <c r="AB7">
        <f t="shared" si="2"/>
        <v>42.647527002940159</v>
      </c>
      <c r="AC7">
        <f t="shared" si="2"/>
        <v>43.17368306459057</v>
      </c>
      <c r="AD7">
        <f t="shared" si="2"/>
        <v>43.686842459881355</v>
      </c>
      <c r="AE7">
        <f t="shared" si="2"/>
        <v>44.187773744213779</v>
      </c>
      <c r="AF7">
        <f t="shared" si="2"/>
        <v>44.677175358747682</v>
      </c>
    </row>
    <row r="8" spans="1:32" x14ac:dyDescent="0.25">
      <c r="A8" s="55"/>
      <c r="B8" s="60"/>
      <c r="C8" s="61"/>
      <c r="D8" s="61"/>
      <c r="E8" s="61"/>
      <c r="F8" s="61"/>
      <c r="G8" s="61"/>
      <c r="H8" s="61"/>
    </row>
    <row r="9" spans="1:32" x14ac:dyDescent="0.25">
      <c r="A9" s="55"/>
      <c r="B9" s="60"/>
      <c r="C9" s="61"/>
      <c r="D9" s="61"/>
      <c r="E9" s="61"/>
      <c r="F9" s="61"/>
      <c r="G9" s="61"/>
      <c r="H9" s="61"/>
      <c r="N9">
        <v>4</v>
      </c>
    </row>
    <row r="14" spans="1:32" x14ac:dyDescent="0.25">
      <c r="M14" s="80" t="s">
        <v>75</v>
      </c>
      <c r="N14" s="70">
        <v>1.5542999999999999E-59</v>
      </c>
    </row>
    <row r="15" spans="1:32" x14ac:dyDescent="0.25">
      <c r="M15" s="80" t="s">
        <v>76</v>
      </c>
      <c r="N15" s="70">
        <v>-9.9424999999999991E-47</v>
      </c>
    </row>
    <row r="16" spans="1:32" x14ac:dyDescent="0.25">
      <c r="M16" s="80" t="s">
        <v>77</v>
      </c>
      <c r="N16" s="70">
        <v>2.3518E-34</v>
      </c>
    </row>
    <row r="17" spans="13:14" x14ac:dyDescent="0.25">
      <c r="M17" s="80" t="s">
        <v>78</v>
      </c>
      <c r="N17" s="70">
        <v>-2.5819999999999998E-22</v>
      </c>
    </row>
    <row r="18" spans="13:14" x14ac:dyDescent="0.25">
      <c r="M18" s="80" t="s">
        <v>79</v>
      </c>
      <c r="N18" s="70">
        <v>1.3875000000000001E-10</v>
      </c>
    </row>
    <row r="19" spans="13:14" x14ac:dyDescent="0.25">
      <c r="M19" s="80" t="s">
        <v>80</v>
      </c>
      <c r="N19"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W114"/>
  <sheetViews>
    <sheetView workbookViewId="0">
      <selection activeCell="G114" sqref="G114"/>
    </sheetView>
  </sheetViews>
  <sheetFormatPr defaultRowHeight="15" x14ac:dyDescent="0.25"/>
  <cols>
    <col min="1" max="1" width="22.7109375" customWidth="1"/>
    <col min="2" max="2" width="15.85546875" customWidth="1"/>
    <col min="3" max="3" width="17.85546875" customWidth="1"/>
    <col min="4" max="4" width="17" customWidth="1"/>
    <col min="5" max="5" width="11.85546875" customWidth="1"/>
    <col min="6" max="6" width="13.7109375" customWidth="1"/>
    <col min="7" max="7" width="12" customWidth="1"/>
    <col min="8" max="8" width="14" customWidth="1"/>
    <col min="9" max="9" width="12.85546875" customWidth="1"/>
    <col min="10" max="10" width="11.28515625" customWidth="1"/>
    <col min="11" max="11" width="13.5703125" customWidth="1"/>
    <col min="12" max="12" width="15.5703125" customWidth="1"/>
    <col min="13" max="13" width="15.5703125" style="89" customWidth="1"/>
    <col min="14" max="14" width="14.85546875" customWidth="1"/>
    <col min="15" max="15" width="15.42578125" style="89" customWidth="1"/>
    <col min="16" max="16" width="10.42578125" style="89" customWidth="1"/>
    <col min="17" max="17" width="11.85546875" style="89" customWidth="1"/>
    <col min="18" max="18" width="13.7109375" style="89" customWidth="1"/>
    <col min="19" max="19" width="13" customWidth="1"/>
  </cols>
  <sheetData>
    <row r="1" spans="1:23" ht="60" x14ac:dyDescent="0.25">
      <c r="A1" s="233">
        <v>2</v>
      </c>
      <c r="B1" s="233">
        <f>B3*0.75</f>
        <v>140.625</v>
      </c>
      <c r="F1" s="124" t="s">
        <v>265</v>
      </c>
      <c r="G1" s="124" t="s">
        <v>278</v>
      </c>
      <c r="H1" s="125" t="s">
        <v>279</v>
      </c>
      <c r="I1" s="125" t="s">
        <v>275</v>
      </c>
      <c r="J1" s="125" t="s">
        <v>276</v>
      </c>
      <c r="K1" s="125" t="s">
        <v>289</v>
      </c>
      <c r="L1" s="126" t="s">
        <v>277</v>
      </c>
      <c r="M1" s="126" t="s">
        <v>270</v>
      </c>
      <c r="N1" s="126" t="s">
        <v>280</v>
      </c>
      <c r="O1" s="126" t="s">
        <v>269</v>
      </c>
      <c r="P1" s="127" t="s">
        <v>271</v>
      </c>
      <c r="Q1" s="127" t="s">
        <v>272</v>
      </c>
      <c r="R1" s="127" t="s">
        <v>273</v>
      </c>
      <c r="S1" s="127" t="s">
        <v>274</v>
      </c>
      <c r="T1" s="308" t="s">
        <v>254</v>
      </c>
      <c r="U1" s="308"/>
      <c r="V1" s="308"/>
      <c r="W1" s="113">
        <f>G2</f>
        <v>35000</v>
      </c>
    </row>
    <row r="2" spans="1:23" ht="30" x14ac:dyDescent="0.25">
      <c r="A2" s="86" t="s">
        <v>160</v>
      </c>
      <c r="B2" s="55" t="s">
        <v>161</v>
      </c>
      <c r="C2" s="55" t="s">
        <v>162</v>
      </c>
      <c r="D2" s="55" t="s">
        <v>161</v>
      </c>
      <c r="F2" s="124" t="s">
        <v>263</v>
      </c>
      <c r="G2" s="125">
        <v>35000</v>
      </c>
      <c r="H2" s="128">
        <v>1500</v>
      </c>
      <c r="I2" s="128" t="s">
        <v>268</v>
      </c>
      <c r="J2" s="128">
        <v>30</v>
      </c>
      <c r="K2" s="128">
        <v>4</v>
      </c>
      <c r="L2" s="128">
        <v>4</v>
      </c>
      <c r="M2" s="128">
        <v>15</v>
      </c>
      <c r="N2" s="128">
        <v>15</v>
      </c>
      <c r="O2" s="20"/>
      <c r="P2" s="128"/>
      <c r="Q2" s="128">
        <v>0.2</v>
      </c>
      <c r="R2" s="128"/>
      <c r="S2" s="128">
        <v>0.5</v>
      </c>
      <c r="T2" s="308" t="s">
        <v>255</v>
      </c>
      <c r="U2" s="308"/>
      <c r="V2" s="308"/>
      <c r="W2" s="113">
        <f>W1/(H2/'типовая конструкция'!B102)</f>
        <v>4200</v>
      </c>
    </row>
    <row r="3" spans="1:23" ht="19.5" customHeight="1" x14ac:dyDescent="0.25">
      <c r="A3" s="83">
        <v>3</v>
      </c>
      <c r="B3" s="83">
        <v>187.5</v>
      </c>
      <c r="C3" s="83">
        <v>3</v>
      </c>
      <c r="D3" s="83">
        <v>200</v>
      </c>
      <c r="E3">
        <f>B3/B4</f>
        <v>0.75</v>
      </c>
      <c r="F3" s="128" t="s">
        <v>264</v>
      </c>
      <c r="G3" s="130">
        <v>9635.7450000000008</v>
      </c>
      <c r="H3" s="128">
        <v>1000</v>
      </c>
      <c r="I3" s="128" t="s">
        <v>268</v>
      </c>
      <c r="J3" s="128">
        <v>30</v>
      </c>
      <c r="K3" s="128">
        <v>4</v>
      </c>
      <c r="L3" s="128">
        <v>4</v>
      </c>
      <c r="M3" s="128">
        <v>15</v>
      </c>
      <c r="N3" s="128">
        <v>15</v>
      </c>
      <c r="O3" s="128"/>
      <c r="P3" s="128"/>
      <c r="Q3" s="128"/>
      <c r="R3" s="128"/>
      <c r="S3" s="128"/>
      <c r="T3" s="89"/>
      <c r="U3" s="89"/>
      <c r="V3" s="89"/>
    </row>
    <row r="4" spans="1:23" x14ac:dyDescent="0.25">
      <c r="A4" s="83">
        <v>4</v>
      </c>
      <c r="B4" s="83">
        <v>250</v>
      </c>
      <c r="C4" s="83">
        <v>4</v>
      </c>
      <c r="D4" s="83">
        <v>240</v>
      </c>
      <c r="F4" s="124" t="s">
        <v>256</v>
      </c>
      <c r="G4" s="124">
        <v>4259.2389999999996</v>
      </c>
      <c r="H4" s="128"/>
      <c r="I4" s="128"/>
      <c r="J4" s="128">
        <v>30</v>
      </c>
      <c r="K4" s="128"/>
      <c r="L4" s="128">
        <v>3</v>
      </c>
      <c r="M4" s="128">
        <v>10</v>
      </c>
      <c r="N4" s="128">
        <v>12</v>
      </c>
      <c r="O4" s="20"/>
      <c r="P4" s="128">
        <v>0.18</v>
      </c>
      <c r="Q4" s="128"/>
      <c r="R4" s="128">
        <v>0.15</v>
      </c>
      <c r="S4" s="128"/>
      <c r="T4" s="89"/>
      <c r="U4" s="89"/>
      <c r="V4" s="89"/>
    </row>
    <row r="5" spans="1:23" x14ac:dyDescent="0.25">
      <c r="A5" s="83">
        <v>5</v>
      </c>
      <c r="B5" s="83">
        <v>312.5</v>
      </c>
      <c r="C5" s="83">
        <v>5</v>
      </c>
      <c r="D5" s="83">
        <v>300</v>
      </c>
      <c r="F5" s="124" t="s">
        <v>257</v>
      </c>
      <c r="G5" s="124">
        <v>9747.7729999999992</v>
      </c>
      <c r="H5" s="128">
        <v>750</v>
      </c>
      <c r="I5" s="128"/>
      <c r="J5" s="128">
        <v>30</v>
      </c>
      <c r="K5" s="128">
        <v>4</v>
      </c>
      <c r="L5" s="128">
        <v>3</v>
      </c>
      <c r="M5" s="128">
        <v>10</v>
      </c>
      <c r="N5" s="128">
        <v>12</v>
      </c>
      <c r="O5" s="128"/>
      <c r="P5" s="128"/>
      <c r="Q5" s="128"/>
      <c r="R5" s="128"/>
      <c r="S5" s="128"/>
      <c r="T5" s="89"/>
      <c r="U5" s="15"/>
      <c r="V5" s="15"/>
    </row>
    <row r="6" spans="1:23" x14ac:dyDescent="0.25">
      <c r="A6" s="20"/>
      <c r="B6" s="20"/>
      <c r="C6" s="83">
        <v>6</v>
      </c>
      <c r="D6" s="83">
        <v>330</v>
      </c>
      <c r="F6" s="124" t="s">
        <v>258</v>
      </c>
      <c r="G6" s="125">
        <v>5000</v>
      </c>
      <c r="H6" s="128"/>
      <c r="I6" s="128">
        <v>30</v>
      </c>
      <c r="J6" s="128"/>
      <c r="K6" s="128"/>
      <c r="L6" s="128">
        <v>3</v>
      </c>
      <c r="M6" s="128">
        <v>13</v>
      </c>
      <c r="N6" s="128">
        <v>15</v>
      </c>
      <c r="O6" s="128">
        <v>35</v>
      </c>
      <c r="P6" s="128">
        <v>0.18</v>
      </c>
      <c r="Q6" s="128"/>
      <c r="R6" s="128">
        <v>0.15</v>
      </c>
      <c r="S6" s="128"/>
      <c r="T6" s="89"/>
      <c r="U6" s="89"/>
      <c r="V6" s="89"/>
    </row>
    <row r="7" spans="1:23" ht="30" x14ac:dyDescent="0.25">
      <c r="A7" s="85" t="s">
        <v>220</v>
      </c>
      <c r="B7" s="97">
        <v>150</v>
      </c>
      <c r="F7" s="131" t="s">
        <v>259</v>
      </c>
      <c r="G7" s="124">
        <v>5390.9080000000004</v>
      </c>
      <c r="H7" s="128">
        <v>750</v>
      </c>
      <c r="I7" s="128"/>
      <c r="J7" s="128"/>
      <c r="K7" s="128">
        <v>4</v>
      </c>
      <c r="L7" s="128"/>
      <c r="M7" s="128"/>
      <c r="N7" s="128"/>
      <c r="O7" s="128">
        <v>0</v>
      </c>
      <c r="P7" s="128"/>
      <c r="Q7" s="128"/>
      <c r="R7" s="128"/>
      <c r="S7" s="128"/>
      <c r="T7" s="89"/>
      <c r="U7" s="89"/>
      <c r="V7" s="89"/>
    </row>
    <row r="8" spans="1:23" x14ac:dyDescent="0.25">
      <c r="A8" s="278" t="s">
        <v>163</v>
      </c>
      <c r="B8" s="278"/>
      <c r="C8" s="278"/>
      <c r="D8" s="88"/>
      <c r="F8" s="131" t="s">
        <v>260</v>
      </c>
      <c r="G8" s="125">
        <v>2500</v>
      </c>
      <c r="H8" s="128"/>
      <c r="I8" s="128">
        <v>15</v>
      </c>
      <c r="J8" s="128">
        <v>30</v>
      </c>
      <c r="K8" s="128"/>
      <c r="L8" s="128">
        <v>3</v>
      </c>
      <c r="M8" s="128">
        <v>10</v>
      </c>
      <c r="N8" s="128">
        <v>10</v>
      </c>
      <c r="O8" s="128"/>
      <c r="P8" s="128">
        <v>0.18</v>
      </c>
      <c r="Q8" s="128"/>
      <c r="R8" s="128"/>
      <c r="S8" s="128"/>
      <c r="T8" s="89"/>
      <c r="U8" s="89"/>
      <c r="V8" s="89"/>
    </row>
    <row r="9" spans="1:23" x14ac:dyDescent="0.25">
      <c r="A9" s="54" t="s">
        <v>171</v>
      </c>
      <c r="B9" s="55" t="s">
        <v>168</v>
      </c>
      <c r="C9" s="55" t="s">
        <v>169</v>
      </c>
      <c r="F9" s="131" t="s">
        <v>261</v>
      </c>
      <c r="G9" s="124" t="s">
        <v>262</v>
      </c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89"/>
      <c r="U9" s="89"/>
      <c r="V9" s="89"/>
    </row>
    <row r="10" spans="1:23" x14ac:dyDescent="0.25">
      <c r="A10" s="55" t="s">
        <v>164</v>
      </c>
      <c r="B10" s="83" t="s">
        <v>170</v>
      </c>
      <c r="C10" s="83">
        <v>40000</v>
      </c>
      <c r="D10">
        <f>C10/1.625</f>
        <v>24615.384615384617</v>
      </c>
      <c r="T10" s="89"/>
      <c r="U10" s="89"/>
      <c r="V10" s="89"/>
    </row>
    <row r="11" spans="1:23" s="89" customFormat="1" x14ac:dyDescent="0.25">
      <c r="A11" s="274" t="s">
        <v>165</v>
      </c>
      <c r="B11" s="309" t="s">
        <v>170</v>
      </c>
      <c r="C11" s="83">
        <v>2500</v>
      </c>
      <c r="D11" s="89" t="s">
        <v>186</v>
      </c>
    </row>
    <row r="12" spans="1:23" ht="30" x14ac:dyDescent="0.25">
      <c r="A12" s="275"/>
      <c r="B12" s="310"/>
      <c r="C12" s="83">
        <v>1085</v>
      </c>
      <c r="D12" t="s">
        <v>185</v>
      </c>
      <c r="E12" s="91" t="s">
        <v>208</v>
      </c>
      <c r="F12" s="91" t="s">
        <v>209</v>
      </c>
      <c r="G12" s="91" t="s">
        <v>210</v>
      </c>
      <c r="H12" s="91" t="s">
        <v>211</v>
      </c>
      <c r="I12" s="91" t="s">
        <v>230</v>
      </c>
      <c r="J12" s="91" t="s">
        <v>231</v>
      </c>
      <c r="K12" s="91" t="s">
        <v>232</v>
      </c>
      <c r="L12" s="85"/>
      <c r="N12" s="129"/>
      <c r="P12" s="85"/>
      <c r="Q12" s="85"/>
      <c r="R12" s="85"/>
      <c r="S12" s="85"/>
    </row>
    <row r="13" spans="1:23" x14ac:dyDescent="0.25">
      <c r="A13" s="274" t="s">
        <v>166</v>
      </c>
      <c r="B13" s="309" t="s">
        <v>170</v>
      </c>
      <c r="C13" s="83">
        <v>2534</v>
      </c>
      <c r="D13" t="s">
        <v>187</v>
      </c>
      <c r="E13" s="67">
        <v>1030</v>
      </c>
      <c r="F13" s="67">
        <v>105</v>
      </c>
      <c r="G13" s="67">
        <v>40</v>
      </c>
      <c r="H13" s="67">
        <v>48</v>
      </c>
      <c r="I13" s="67">
        <v>50</v>
      </c>
      <c r="J13" s="67">
        <v>77</v>
      </c>
      <c r="K13" s="67">
        <v>36</v>
      </c>
      <c r="L13" t="s">
        <v>234</v>
      </c>
    </row>
    <row r="14" spans="1:23" s="89" customFormat="1" x14ac:dyDescent="0.25">
      <c r="A14" s="275"/>
      <c r="B14" s="310"/>
      <c r="C14" s="83">
        <v>2280</v>
      </c>
      <c r="D14" s="89" t="s">
        <v>190</v>
      </c>
      <c r="E14" s="82"/>
    </row>
    <row r="15" spans="1:23" ht="15.75" x14ac:dyDescent="0.25">
      <c r="A15" s="55" t="s">
        <v>167</v>
      </c>
      <c r="B15" s="90" t="s">
        <v>172</v>
      </c>
      <c r="C15" s="83">
        <v>2300</v>
      </c>
    </row>
    <row r="16" spans="1:23" x14ac:dyDescent="0.25">
      <c r="A16" s="307" t="s">
        <v>243</v>
      </c>
      <c r="B16" s="307"/>
      <c r="C16" s="307"/>
      <c r="D16" s="307"/>
      <c r="E16" s="307"/>
      <c r="F16" s="307"/>
      <c r="G16" s="307"/>
      <c r="H16" s="307"/>
      <c r="I16" s="307"/>
    </row>
    <row r="17" spans="1:12" ht="45" customHeight="1" x14ac:dyDescent="0.25">
      <c r="A17" s="266" t="s">
        <v>173</v>
      </c>
      <c r="B17" s="274" t="s">
        <v>176</v>
      </c>
      <c r="C17" s="274" t="s">
        <v>177</v>
      </c>
      <c r="D17" s="273" t="s">
        <v>181</v>
      </c>
      <c r="E17" s="273"/>
      <c r="F17" s="273" t="s">
        <v>180</v>
      </c>
      <c r="G17" s="273"/>
      <c r="H17" s="273"/>
      <c r="I17" s="273"/>
      <c r="J17" s="85"/>
    </row>
    <row r="18" spans="1:12" s="89" customFormat="1" x14ac:dyDescent="0.25">
      <c r="A18" s="267"/>
      <c r="B18" s="275"/>
      <c r="C18" s="275"/>
      <c r="D18" s="55" t="s">
        <v>159</v>
      </c>
      <c r="E18" s="55" t="s">
        <v>179</v>
      </c>
      <c r="F18" s="55" t="s">
        <v>164</v>
      </c>
      <c r="G18" s="55" t="s">
        <v>165</v>
      </c>
      <c r="H18" s="55" t="s">
        <v>182</v>
      </c>
      <c r="I18" s="55" t="s">
        <v>167</v>
      </c>
      <c r="J18" s="85"/>
      <c r="L18" s="15"/>
    </row>
    <row r="19" spans="1:12" ht="30" x14ac:dyDescent="0.25">
      <c r="A19" s="55" t="s">
        <v>174</v>
      </c>
      <c r="B19" s="55">
        <v>4</v>
      </c>
      <c r="C19" s="55" t="s">
        <v>178</v>
      </c>
      <c r="D19" s="55">
        <v>2.17</v>
      </c>
      <c r="E19" s="55">
        <v>0.36199999999999999</v>
      </c>
      <c r="F19" s="55">
        <v>0</v>
      </c>
      <c r="G19" s="55">
        <v>0</v>
      </c>
      <c r="H19" s="55">
        <v>0</v>
      </c>
      <c r="I19" s="55">
        <v>0.3</v>
      </c>
      <c r="J19" s="85"/>
    </row>
    <row r="20" spans="1:12" ht="30" x14ac:dyDescent="0.25">
      <c r="A20" s="55" t="s">
        <v>175</v>
      </c>
      <c r="B20" s="55">
        <v>4</v>
      </c>
      <c r="C20" s="55" t="s">
        <v>178</v>
      </c>
      <c r="D20" s="55">
        <v>1.77</v>
      </c>
      <c r="E20" s="55">
        <v>0.29499999999999998</v>
      </c>
      <c r="F20" s="55">
        <v>0</v>
      </c>
      <c r="G20" s="55">
        <v>0</v>
      </c>
      <c r="H20" s="55">
        <v>0</v>
      </c>
      <c r="I20" s="55">
        <v>0.3</v>
      </c>
      <c r="J20" s="85"/>
    </row>
    <row r="21" spans="1:12" ht="45" x14ac:dyDescent="0.25">
      <c r="A21" s="85"/>
      <c r="B21" s="91" t="s">
        <v>233</v>
      </c>
      <c r="C21" s="87" t="s">
        <v>239</v>
      </c>
      <c r="D21" s="28" t="s">
        <v>237</v>
      </c>
      <c r="E21" s="85"/>
      <c r="F21" s="85"/>
      <c r="G21" s="85"/>
      <c r="H21" s="85"/>
      <c r="I21" s="85"/>
      <c r="J21" s="85"/>
    </row>
    <row r="22" spans="1:12" x14ac:dyDescent="0.25">
      <c r="A22" s="101" t="s">
        <v>183</v>
      </c>
      <c r="B22" s="104">
        <f>D19*B4+E19*D4+$F19*$C$10+$G19*$C11+$H19*$C13+$I19*$C$15</f>
        <v>1319.38</v>
      </c>
      <c r="C22" s="102">
        <f>B22*5/1000*1.5</f>
        <v>9.8953500000000005</v>
      </c>
      <c r="D22" s="105">
        <f>(D19*5*B4+E19*5*D4+I19*5*C15)*1.5/1000</f>
        <v>9.8953499999999988</v>
      </c>
      <c r="E22" s="85"/>
      <c r="F22" s="85"/>
      <c r="G22" s="85"/>
      <c r="H22" s="85"/>
      <c r="I22" s="85"/>
      <c r="J22" s="85"/>
    </row>
    <row r="23" spans="1:12" x14ac:dyDescent="0.25">
      <c r="A23" s="101" t="s">
        <v>184</v>
      </c>
      <c r="B23" s="104">
        <f>D20*$B$4+E20*$D$4+$F20*$C$10+$G20*$C12+$H20*$C14+$I20*$C$15</f>
        <v>1203.3</v>
      </c>
      <c r="C23" s="102">
        <f>B23*5/1000*1.5</f>
        <v>9.0247499999999992</v>
      </c>
      <c r="D23" s="105">
        <f>(D20*5*B4+E20*5*D4+I20*5*C15)*1.5/1000</f>
        <v>9.0247499999999992</v>
      </c>
      <c r="E23" s="85"/>
      <c r="F23" s="85"/>
      <c r="G23" s="85"/>
      <c r="H23" s="85"/>
      <c r="I23" s="85"/>
      <c r="J23" s="85"/>
    </row>
    <row r="24" spans="1:12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</row>
    <row r="25" spans="1:12" x14ac:dyDescent="0.25">
      <c r="A25" s="307" t="s">
        <v>244</v>
      </c>
      <c r="B25" s="307"/>
      <c r="C25" s="307"/>
      <c r="D25" s="307"/>
      <c r="E25" s="307"/>
      <c r="F25" s="307"/>
      <c r="G25" s="307"/>
      <c r="H25" s="307"/>
      <c r="I25" s="307"/>
      <c r="J25" s="85"/>
    </row>
    <row r="26" spans="1:12" x14ac:dyDescent="0.25">
      <c r="A26" s="266" t="s">
        <v>173</v>
      </c>
      <c r="B26" s="274" t="s">
        <v>176</v>
      </c>
      <c r="C26" s="274" t="s">
        <v>177</v>
      </c>
      <c r="D26" s="273" t="s">
        <v>181</v>
      </c>
      <c r="E26" s="273"/>
      <c r="F26" s="273" t="s">
        <v>180</v>
      </c>
      <c r="G26" s="273"/>
      <c r="H26" s="273"/>
      <c r="I26" s="273"/>
      <c r="J26" s="85"/>
    </row>
    <row r="27" spans="1:12" x14ac:dyDescent="0.25">
      <c r="A27" s="267"/>
      <c r="B27" s="275"/>
      <c r="C27" s="275"/>
      <c r="D27" s="55" t="s">
        <v>159</v>
      </c>
      <c r="E27" s="55" t="s">
        <v>179</v>
      </c>
      <c r="F27" s="55" t="s">
        <v>164</v>
      </c>
      <c r="G27" s="55" t="s">
        <v>165</v>
      </c>
      <c r="H27" s="55" t="s">
        <v>182</v>
      </c>
      <c r="I27" s="55" t="s">
        <v>167</v>
      </c>
      <c r="J27" s="85"/>
    </row>
    <row r="28" spans="1:12" ht="45" customHeight="1" x14ac:dyDescent="0.25">
      <c r="A28" s="55" t="s">
        <v>188</v>
      </c>
      <c r="B28" s="55">
        <v>3</v>
      </c>
      <c r="C28" s="55" t="s">
        <v>178</v>
      </c>
      <c r="D28" s="55">
        <v>14.1</v>
      </c>
      <c r="E28" s="55">
        <v>0</v>
      </c>
      <c r="F28" s="55">
        <v>0</v>
      </c>
      <c r="G28" s="55">
        <v>10</v>
      </c>
      <c r="H28" s="55">
        <v>0</v>
      </c>
      <c r="I28" s="55">
        <v>0.2</v>
      </c>
    </row>
    <row r="29" spans="1:12" ht="49.5" customHeight="1" x14ac:dyDescent="0.25">
      <c r="A29" s="55" t="s">
        <v>189</v>
      </c>
      <c r="B29" s="55">
        <v>3</v>
      </c>
      <c r="C29" s="55" t="s">
        <v>178</v>
      </c>
      <c r="D29" s="55">
        <v>14.3</v>
      </c>
      <c r="E29" s="55">
        <v>0</v>
      </c>
      <c r="F29" s="55">
        <v>0</v>
      </c>
      <c r="G29" s="55">
        <v>10</v>
      </c>
      <c r="H29" s="55">
        <v>0</v>
      </c>
      <c r="I29" s="55">
        <v>0.2</v>
      </c>
    </row>
    <row r="30" spans="1:12" ht="47.25" customHeight="1" x14ac:dyDescent="0.25">
      <c r="B30" s="91" t="s">
        <v>233</v>
      </c>
      <c r="C30" s="28" t="s">
        <v>236</v>
      </c>
    </row>
    <row r="31" spans="1:12" x14ac:dyDescent="0.25">
      <c r="A31" s="101" t="s">
        <v>191</v>
      </c>
      <c r="B31" s="84">
        <f>D28*B3+E28*D3+$F28*$C$10+$G28*C12+$H28*C14+$I28*$C$15</f>
        <v>13953.75</v>
      </c>
      <c r="C31" s="106">
        <f>B31/10/1000*1.5</f>
        <v>2.0930625000000003</v>
      </c>
      <c r="D31" s="103"/>
    </row>
    <row r="32" spans="1:12" x14ac:dyDescent="0.25">
      <c r="A32" s="101" t="s">
        <v>192</v>
      </c>
      <c r="B32" s="84">
        <f>D29*B3+E29*D3+$F29*$C$10+$G29*C12+$H29*C14+$I29*$C$15</f>
        <v>13991.25</v>
      </c>
      <c r="C32" s="106">
        <f>B32/10/1000*1.5</f>
        <v>2.0986875</v>
      </c>
      <c r="D32" s="103"/>
    </row>
    <row r="34" spans="1:9" x14ac:dyDescent="0.25">
      <c r="A34" s="307" t="s">
        <v>245</v>
      </c>
      <c r="B34" s="307"/>
      <c r="C34" s="307"/>
      <c r="D34" s="307"/>
      <c r="E34" s="307"/>
      <c r="F34" s="307"/>
      <c r="G34" s="307"/>
      <c r="H34" s="307"/>
      <c r="I34" s="307"/>
    </row>
    <row r="35" spans="1:9" x14ac:dyDescent="0.25">
      <c r="A35" s="266" t="s">
        <v>173</v>
      </c>
      <c r="B35" s="274" t="s">
        <v>176</v>
      </c>
      <c r="C35" s="274" t="s">
        <v>177</v>
      </c>
      <c r="D35" s="273" t="s">
        <v>181</v>
      </c>
      <c r="E35" s="273"/>
      <c r="F35" s="273" t="s">
        <v>180</v>
      </c>
      <c r="G35" s="273"/>
      <c r="H35" s="273"/>
      <c r="I35" s="273"/>
    </row>
    <row r="36" spans="1:9" x14ac:dyDescent="0.25">
      <c r="A36" s="267"/>
      <c r="B36" s="275"/>
      <c r="C36" s="275"/>
      <c r="D36" s="55" t="s">
        <v>159</v>
      </c>
      <c r="E36" s="55" t="s">
        <v>179</v>
      </c>
      <c r="F36" s="55" t="s">
        <v>164</v>
      </c>
      <c r="G36" s="55" t="s">
        <v>165</v>
      </c>
      <c r="H36" s="55" t="s">
        <v>182</v>
      </c>
      <c r="I36" s="55" t="s">
        <v>167</v>
      </c>
    </row>
    <row r="37" spans="1:9" x14ac:dyDescent="0.25">
      <c r="A37" s="55" t="s">
        <v>194</v>
      </c>
      <c r="B37" s="55">
        <v>4</v>
      </c>
      <c r="C37" s="55" t="s">
        <v>193</v>
      </c>
      <c r="D37" s="55">
        <v>2.64</v>
      </c>
      <c r="E37" s="55">
        <v>0</v>
      </c>
      <c r="F37" s="55">
        <v>0</v>
      </c>
      <c r="G37" s="55">
        <v>1</v>
      </c>
      <c r="H37" s="55">
        <v>0</v>
      </c>
      <c r="I37" s="55">
        <v>0.2</v>
      </c>
    </row>
    <row r="38" spans="1:9" ht="45" x14ac:dyDescent="0.25">
      <c r="A38" s="89"/>
      <c r="B38" s="91" t="s">
        <v>233</v>
      </c>
      <c r="C38" s="28" t="s">
        <v>236</v>
      </c>
      <c r="D38" s="89"/>
      <c r="E38" s="89"/>
      <c r="F38" s="89"/>
      <c r="G38" s="89"/>
      <c r="H38" s="89"/>
      <c r="I38" s="89"/>
    </row>
    <row r="39" spans="1:9" x14ac:dyDescent="0.25">
      <c r="A39" s="101" t="s">
        <v>191</v>
      </c>
      <c r="B39" s="84">
        <f>D37*B4+E37*D4+$F37*$C$10+$G37*C11+$H37*C13+$I37*$C$15</f>
        <v>3620</v>
      </c>
      <c r="C39" s="106">
        <f>B39/1000*1.5</f>
        <v>5.43</v>
      </c>
      <c r="D39" s="89"/>
      <c r="E39" s="89"/>
      <c r="F39" s="89"/>
      <c r="G39" s="89"/>
      <c r="H39" s="89"/>
      <c r="I39" s="89"/>
    </row>
    <row r="41" spans="1:9" x14ac:dyDescent="0.25">
      <c r="A41" s="307" t="s">
        <v>246</v>
      </c>
      <c r="B41" s="307"/>
      <c r="C41" s="307"/>
      <c r="D41" s="307"/>
      <c r="E41" s="307"/>
      <c r="F41" s="307"/>
      <c r="G41" s="307"/>
      <c r="H41" s="307"/>
      <c r="I41" s="307"/>
    </row>
    <row r="42" spans="1:9" x14ac:dyDescent="0.25">
      <c r="A42" s="266" t="s">
        <v>173</v>
      </c>
      <c r="B42" s="274" t="s">
        <v>176</v>
      </c>
      <c r="C42" s="274" t="s">
        <v>177</v>
      </c>
      <c r="D42" s="273" t="s">
        <v>181</v>
      </c>
      <c r="E42" s="273"/>
      <c r="F42" s="273" t="s">
        <v>180</v>
      </c>
      <c r="G42" s="273"/>
      <c r="H42" s="273"/>
      <c r="I42" s="273"/>
    </row>
    <row r="43" spans="1:9" x14ac:dyDescent="0.25">
      <c r="A43" s="267"/>
      <c r="B43" s="275"/>
      <c r="C43" s="275"/>
      <c r="D43" s="55" t="s">
        <v>159</v>
      </c>
      <c r="E43" s="55" t="s">
        <v>179</v>
      </c>
      <c r="F43" s="55" t="s">
        <v>164</v>
      </c>
      <c r="G43" s="55" t="s">
        <v>165</v>
      </c>
      <c r="H43" s="55" t="s">
        <v>182</v>
      </c>
      <c r="I43" s="55" t="s">
        <v>167</v>
      </c>
    </row>
    <row r="44" spans="1:9" ht="45" x14ac:dyDescent="0.25">
      <c r="A44" s="55" t="s">
        <v>196</v>
      </c>
      <c r="B44" s="55">
        <v>4</v>
      </c>
      <c r="C44" s="55" t="s">
        <v>195</v>
      </c>
      <c r="D44" s="55">
        <v>5.14</v>
      </c>
      <c r="E44" s="55">
        <v>0</v>
      </c>
      <c r="F44" s="55">
        <v>0</v>
      </c>
      <c r="G44" s="55">
        <v>0</v>
      </c>
      <c r="H44" s="55">
        <v>0</v>
      </c>
      <c r="I44" s="55">
        <v>0.1</v>
      </c>
    </row>
    <row r="45" spans="1:9" ht="45" x14ac:dyDescent="0.25">
      <c r="A45" s="55" t="s">
        <v>197</v>
      </c>
      <c r="B45" s="55">
        <v>3</v>
      </c>
      <c r="C45" s="55" t="s">
        <v>195</v>
      </c>
      <c r="D45" s="55">
        <v>4.33</v>
      </c>
      <c r="E45" s="55">
        <v>0</v>
      </c>
      <c r="F45" s="55">
        <v>0</v>
      </c>
      <c r="G45" s="55">
        <v>0</v>
      </c>
      <c r="H45" s="55">
        <v>0</v>
      </c>
      <c r="I45" s="55">
        <v>0.1</v>
      </c>
    </row>
    <row r="46" spans="1:9" ht="45" x14ac:dyDescent="0.25">
      <c r="A46" s="89"/>
      <c r="B46" s="54" t="s">
        <v>233</v>
      </c>
      <c r="C46" s="107" t="s">
        <v>235</v>
      </c>
      <c r="D46" s="89"/>
      <c r="E46" s="89"/>
      <c r="F46" s="89"/>
      <c r="G46" s="89"/>
      <c r="H46" s="89"/>
      <c r="I46" s="89"/>
    </row>
    <row r="47" spans="1:9" x14ac:dyDescent="0.25">
      <c r="A47" s="92" t="s">
        <v>198</v>
      </c>
      <c r="B47" s="104">
        <f>D44*B4+E44*D4+$F44*$C$10+$G44*C11+$H44*C13+$I44*$C$15</f>
        <v>1515</v>
      </c>
      <c r="C47" s="106">
        <f>B47/2/1000*1.5</f>
        <v>1.13625</v>
      </c>
      <c r="D47" s="89"/>
      <c r="E47" s="89"/>
      <c r="F47" s="89"/>
      <c r="G47" s="89"/>
      <c r="H47" s="89"/>
      <c r="I47" s="89"/>
    </row>
    <row r="48" spans="1:9" x14ac:dyDescent="0.25">
      <c r="A48" s="92" t="s">
        <v>199</v>
      </c>
      <c r="B48" s="104">
        <f>D45*B3+E45*D3+$F45*$C$10+$G45*C12+$H45*C14+$I45*$C$15</f>
        <v>1041.875</v>
      </c>
      <c r="C48" s="106">
        <f>B48/2/1000*1.5</f>
        <v>0.78140625000000008</v>
      </c>
      <c r="D48" s="89"/>
      <c r="E48" s="89"/>
      <c r="F48" s="89"/>
      <c r="G48" s="89"/>
      <c r="H48" s="89"/>
      <c r="I48" s="89"/>
    </row>
    <row r="50" spans="1:9" x14ac:dyDescent="0.25">
      <c r="A50" s="307" t="s">
        <v>242</v>
      </c>
      <c r="B50" s="307"/>
      <c r="C50" s="307"/>
      <c r="D50" s="307"/>
      <c r="E50" s="307"/>
      <c r="F50" s="307"/>
      <c r="G50" s="307"/>
      <c r="H50" s="307"/>
      <c r="I50" s="307"/>
    </row>
    <row r="51" spans="1:9" x14ac:dyDescent="0.25">
      <c r="A51" s="266" t="s">
        <v>173</v>
      </c>
      <c r="B51" s="274" t="s">
        <v>176</v>
      </c>
      <c r="C51" s="274" t="s">
        <v>177</v>
      </c>
      <c r="D51" s="273" t="s">
        <v>181</v>
      </c>
      <c r="E51" s="273"/>
      <c r="F51" s="273" t="s">
        <v>180</v>
      </c>
      <c r="G51" s="273"/>
      <c r="H51" s="273"/>
      <c r="I51" s="273"/>
    </row>
    <row r="52" spans="1:9" x14ac:dyDescent="0.25">
      <c r="A52" s="267"/>
      <c r="B52" s="275"/>
      <c r="C52" s="275"/>
      <c r="D52" s="55" t="s">
        <v>159</v>
      </c>
      <c r="E52" s="55" t="s">
        <v>179</v>
      </c>
      <c r="F52" s="55" t="s">
        <v>164</v>
      </c>
      <c r="G52" s="55" t="s">
        <v>165</v>
      </c>
      <c r="H52" s="55" t="s">
        <v>182</v>
      </c>
      <c r="I52" s="55" t="s">
        <v>167</v>
      </c>
    </row>
    <row r="53" spans="1:9" ht="30" x14ac:dyDescent="0.25">
      <c r="A53" s="55" t="s">
        <v>200</v>
      </c>
      <c r="B53" s="55">
        <v>4</v>
      </c>
      <c r="C53" s="55" t="s">
        <v>202</v>
      </c>
      <c r="D53" s="55">
        <v>0.48099999999999998</v>
      </c>
      <c r="E53" s="55">
        <v>0</v>
      </c>
      <c r="F53" s="55">
        <v>0</v>
      </c>
      <c r="G53" s="55">
        <v>0</v>
      </c>
      <c r="H53" s="55">
        <v>0</v>
      </c>
      <c r="I53" s="55">
        <v>0</v>
      </c>
    </row>
    <row r="54" spans="1:9" ht="30" x14ac:dyDescent="0.25">
      <c r="A54" s="55" t="s">
        <v>201</v>
      </c>
      <c r="B54" s="55">
        <v>3</v>
      </c>
      <c r="C54" s="55" t="s">
        <v>202</v>
      </c>
      <c r="D54" s="55">
        <v>1.19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</row>
    <row r="55" spans="1:9" ht="45" x14ac:dyDescent="0.25">
      <c r="A55" s="89"/>
      <c r="B55" s="54" t="s">
        <v>233</v>
      </c>
      <c r="C55" s="107" t="s">
        <v>240</v>
      </c>
      <c r="D55" s="89"/>
      <c r="E55" s="89"/>
      <c r="F55" s="89"/>
      <c r="G55" s="89"/>
      <c r="H55" s="89"/>
      <c r="I55" s="89"/>
    </row>
    <row r="56" spans="1:9" x14ac:dyDescent="0.25">
      <c r="A56" s="92" t="s">
        <v>198</v>
      </c>
      <c r="B56" s="104">
        <f>D53*B4+E53*D4+$F53*$C$10+$G53*C11+$H53*C13+$I53*$C$15</f>
        <v>120.25</v>
      </c>
      <c r="C56" s="106">
        <f>B56*5/1000*1.5</f>
        <v>0.90187499999999998</v>
      </c>
      <c r="D56" s="89"/>
      <c r="E56" s="89"/>
      <c r="F56" s="89"/>
      <c r="G56" s="89"/>
      <c r="H56" s="89"/>
      <c r="I56" s="89"/>
    </row>
    <row r="57" spans="1:9" x14ac:dyDescent="0.25">
      <c r="A57" s="92" t="s">
        <v>199</v>
      </c>
      <c r="B57" s="104">
        <f>D54*B3+E54*D3+$F54*$C$10+$G54*C12+$H54*C14+$I54*$C$15</f>
        <v>223.125</v>
      </c>
      <c r="C57" s="106">
        <f>B57*5/1000*1.5</f>
        <v>1.6734375000000001</v>
      </c>
      <c r="D57" s="89"/>
      <c r="E57" s="89"/>
      <c r="F57" s="89"/>
      <c r="G57" s="89"/>
      <c r="H57" s="89"/>
      <c r="I57" s="89"/>
    </row>
    <row r="59" spans="1:9" x14ac:dyDescent="0.25">
      <c r="A59" s="307" t="s">
        <v>247</v>
      </c>
      <c r="B59" s="307"/>
      <c r="C59" s="307"/>
      <c r="D59" s="307"/>
      <c r="E59" s="307"/>
      <c r="F59" s="307"/>
      <c r="G59" s="307"/>
      <c r="H59" s="307"/>
      <c r="I59" s="307"/>
    </row>
    <row r="60" spans="1:9" x14ac:dyDescent="0.25">
      <c r="A60" s="266" t="s">
        <v>173</v>
      </c>
      <c r="B60" s="274" t="s">
        <v>176</v>
      </c>
      <c r="C60" s="274" t="s">
        <v>177</v>
      </c>
      <c r="D60" s="273" t="s">
        <v>181</v>
      </c>
      <c r="E60" s="273"/>
      <c r="F60" s="273" t="s">
        <v>180</v>
      </c>
      <c r="G60" s="273"/>
      <c r="H60" s="273"/>
      <c r="I60" s="273"/>
    </row>
    <row r="61" spans="1:9" x14ac:dyDescent="0.25">
      <c r="A61" s="267"/>
      <c r="B61" s="275"/>
      <c r="C61" s="275"/>
      <c r="D61" s="55" t="s">
        <v>159</v>
      </c>
      <c r="E61" s="55" t="s">
        <v>179</v>
      </c>
      <c r="F61" s="55" t="s">
        <v>164</v>
      </c>
      <c r="G61" s="55" t="s">
        <v>165</v>
      </c>
      <c r="H61" s="55" t="s">
        <v>182</v>
      </c>
      <c r="I61" s="55" t="s">
        <v>167</v>
      </c>
    </row>
    <row r="62" spans="1:9" ht="60" x14ac:dyDescent="0.25">
      <c r="A62" s="55" t="s">
        <v>203</v>
      </c>
      <c r="B62" s="55">
        <v>4</v>
      </c>
      <c r="C62" s="55" t="s">
        <v>205</v>
      </c>
      <c r="D62" s="55">
        <v>7.81</v>
      </c>
      <c r="E62" s="55">
        <v>0</v>
      </c>
      <c r="F62" s="55">
        <v>0.5</v>
      </c>
      <c r="G62" s="55">
        <v>0</v>
      </c>
      <c r="H62" s="55">
        <v>0</v>
      </c>
      <c r="I62" s="55">
        <v>0</v>
      </c>
    </row>
    <row r="63" spans="1:9" ht="60" x14ac:dyDescent="0.25">
      <c r="A63" s="55" t="s">
        <v>204</v>
      </c>
      <c r="B63" s="55">
        <v>4</v>
      </c>
      <c r="C63" s="55" t="s">
        <v>205</v>
      </c>
      <c r="D63" s="55">
        <v>7.52</v>
      </c>
      <c r="E63" s="55">
        <v>0</v>
      </c>
      <c r="F63" s="55">
        <v>1</v>
      </c>
      <c r="G63" s="55">
        <v>0</v>
      </c>
      <c r="H63" s="55">
        <v>0</v>
      </c>
      <c r="I63" s="55">
        <v>0</v>
      </c>
    </row>
    <row r="64" spans="1:9" ht="30" x14ac:dyDescent="0.25">
      <c r="A64" s="89"/>
      <c r="B64" s="91" t="s">
        <v>233</v>
      </c>
      <c r="C64" s="28" t="s">
        <v>238</v>
      </c>
      <c r="D64" s="89"/>
      <c r="E64" s="89"/>
      <c r="F64" s="89"/>
      <c r="G64" s="89"/>
      <c r="H64" s="89"/>
      <c r="I64" s="89"/>
    </row>
    <row r="65" spans="1:9" x14ac:dyDescent="0.25">
      <c r="A65" s="92" t="s">
        <v>198</v>
      </c>
      <c r="B65" s="104">
        <f>D62*B4+E62*D4+$F62*$C$10+$G62*C11+$H62*C13+$I62*$C$15</f>
        <v>21952.5</v>
      </c>
      <c r="C65" s="106">
        <f>B65/1000*1.5</f>
        <v>32.928750000000001</v>
      </c>
      <c r="D65" s="89"/>
      <c r="E65" s="89"/>
      <c r="F65" s="89"/>
      <c r="G65" s="89"/>
      <c r="H65" s="89"/>
      <c r="I65" s="89"/>
    </row>
    <row r="66" spans="1:9" x14ac:dyDescent="0.25">
      <c r="A66" s="92" t="s">
        <v>199</v>
      </c>
      <c r="B66" s="104">
        <f>D63*B4+E63*D4+$F63*$C$10+$G63*C12+$H63*C14+$I63*$C$15</f>
        <v>41880</v>
      </c>
      <c r="C66" s="106">
        <f>B66/1000*1.5</f>
        <v>62.820000000000007</v>
      </c>
      <c r="D66" s="89"/>
      <c r="E66" s="89"/>
      <c r="F66" s="89"/>
      <c r="G66" s="89"/>
      <c r="H66" s="89"/>
      <c r="I66" s="89"/>
    </row>
    <row r="68" spans="1:9" x14ac:dyDescent="0.25">
      <c r="A68" s="307" t="s">
        <v>248</v>
      </c>
      <c r="B68" s="307"/>
      <c r="C68" s="307"/>
      <c r="D68" s="307"/>
      <c r="E68" s="307"/>
      <c r="F68" s="307"/>
      <c r="G68" s="307"/>
      <c r="H68" s="307"/>
      <c r="I68" s="307"/>
    </row>
    <row r="69" spans="1:9" x14ac:dyDescent="0.25">
      <c r="A69" s="266" t="s">
        <v>173</v>
      </c>
      <c r="B69" s="274" t="s">
        <v>176</v>
      </c>
      <c r="C69" s="274" t="s">
        <v>177</v>
      </c>
      <c r="D69" s="273" t="s">
        <v>181</v>
      </c>
      <c r="E69" s="273"/>
      <c r="F69" s="273" t="s">
        <v>180</v>
      </c>
      <c r="G69" s="273"/>
      <c r="H69" s="273"/>
      <c r="I69" s="273"/>
    </row>
    <row r="70" spans="1:9" x14ac:dyDescent="0.25">
      <c r="A70" s="267"/>
      <c r="B70" s="275"/>
      <c r="C70" s="275"/>
      <c r="D70" s="55" t="s">
        <v>159</v>
      </c>
      <c r="E70" s="55" t="s">
        <v>179</v>
      </c>
      <c r="F70" s="55" t="s">
        <v>164</v>
      </c>
      <c r="G70" s="55" t="s">
        <v>165</v>
      </c>
      <c r="H70" s="55" t="s">
        <v>182</v>
      </c>
      <c r="I70" s="55" t="s">
        <v>167</v>
      </c>
    </row>
    <row r="71" spans="1:9" ht="45" x14ac:dyDescent="0.25">
      <c r="A71" s="55" t="s">
        <v>206</v>
      </c>
      <c r="B71" s="55">
        <v>4</v>
      </c>
      <c r="C71" s="55" t="s">
        <v>207</v>
      </c>
      <c r="D71" s="93">
        <v>0.60599999999999998</v>
      </c>
      <c r="E71" s="55">
        <v>0</v>
      </c>
      <c r="F71" s="55">
        <v>0</v>
      </c>
      <c r="G71" s="55">
        <v>0</v>
      </c>
      <c r="H71" s="93">
        <v>0</v>
      </c>
      <c r="I71" s="55">
        <v>0</v>
      </c>
    </row>
    <row r="72" spans="1:9" x14ac:dyDescent="0.25">
      <c r="A72" s="89"/>
      <c r="B72" s="89"/>
      <c r="C72" s="67">
        <v>1</v>
      </c>
      <c r="D72" s="89"/>
      <c r="E72" s="89"/>
      <c r="F72" s="89"/>
      <c r="G72" s="89"/>
      <c r="H72" s="89"/>
      <c r="I72" s="89"/>
    </row>
    <row r="73" spans="1:9" x14ac:dyDescent="0.25">
      <c r="A73" s="307" t="s">
        <v>249</v>
      </c>
      <c r="B73" s="307"/>
      <c r="C73" s="307"/>
      <c r="D73" s="307"/>
      <c r="E73" s="307"/>
      <c r="F73" s="307"/>
      <c r="G73" s="307"/>
      <c r="H73" s="307"/>
      <c r="I73" s="307"/>
    </row>
    <row r="74" spans="1:9" x14ac:dyDescent="0.25">
      <c r="A74" s="266" t="s">
        <v>173</v>
      </c>
      <c r="B74" s="274" t="s">
        <v>176</v>
      </c>
      <c r="C74" s="274" t="s">
        <v>177</v>
      </c>
      <c r="D74" s="273" t="s">
        <v>181</v>
      </c>
      <c r="E74" s="273"/>
      <c r="F74" s="273" t="s">
        <v>180</v>
      </c>
      <c r="G74" s="273"/>
      <c r="H74" s="273"/>
      <c r="I74" s="273"/>
    </row>
    <row r="75" spans="1:9" x14ac:dyDescent="0.25">
      <c r="A75" s="267"/>
      <c r="B75" s="275"/>
      <c r="C75" s="275"/>
      <c r="D75" s="55" t="s">
        <v>159</v>
      </c>
      <c r="E75" s="55" t="s">
        <v>179</v>
      </c>
      <c r="F75" s="55" t="s">
        <v>164</v>
      </c>
      <c r="G75" s="55" t="s">
        <v>165</v>
      </c>
      <c r="H75" s="55" t="s">
        <v>182</v>
      </c>
      <c r="I75" s="55" t="s">
        <v>167</v>
      </c>
    </row>
    <row r="76" spans="1:9" ht="30" x14ac:dyDescent="0.25">
      <c r="A76" s="55" t="s">
        <v>213</v>
      </c>
      <c r="B76" s="55">
        <v>4</v>
      </c>
      <c r="C76" s="55" t="s">
        <v>212</v>
      </c>
      <c r="D76" s="55">
        <v>1.1599999999999999</v>
      </c>
      <c r="E76" s="55">
        <v>0</v>
      </c>
      <c r="F76" s="55">
        <v>0</v>
      </c>
      <c r="G76" s="55">
        <v>0</v>
      </c>
      <c r="H76" s="93">
        <v>0</v>
      </c>
      <c r="I76" s="55">
        <v>0</v>
      </c>
    </row>
    <row r="77" spans="1:9" x14ac:dyDescent="0.25">
      <c r="C77" s="98">
        <v>2</v>
      </c>
      <c r="D77" s="98">
        <f>C77*D76/10</f>
        <v>0.23199999999999998</v>
      </c>
    </row>
    <row r="78" spans="1:9" x14ac:dyDescent="0.25">
      <c r="A78" s="307" t="s">
        <v>250</v>
      </c>
      <c r="B78" s="307"/>
      <c r="C78" s="307"/>
      <c r="D78" s="307"/>
      <c r="E78" s="307"/>
      <c r="F78" s="307"/>
      <c r="G78" s="307"/>
      <c r="H78" s="307"/>
      <c r="I78" s="307"/>
    </row>
    <row r="79" spans="1:9" x14ac:dyDescent="0.25">
      <c r="A79" s="266" t="s">
        <v>173</v>
      </c>
      <c r="B79" s="274" t="s">
        <v>176</v>
      </c>
      <c r="C79" s="274" t="s">
        <v>177</v>
      </c>
      <c r="D79" s="273" t="s">
        <v>181</v>
      </c>
      <c r="E79" s="273"/>
      <c r="F79" s="273" t="s">
        <v>180</v>
      </c>
      <c r="G79" s="273"/>
      <c r="H79" s="273"/>
      <c r="I79" s="273"/>
    </row>
    <row r="80" spans="1:9" x14ac:dyDescent="0.25">
      <c r="A80" s="267"/>
      <c r="B80" s="275"/>
      <c r="C80" s="275"/>
      <c r="D80" s="55" t="s">
        <v>159</v>
      </c>
      <c r="E80" s="55" t="s">
        <v>179</v>
      </c>
      <c r="F80" s="55" t="s">
        <v>164</v>
      </c>
      <c r="G80" s="55" t="s">
        <v>165</v>
      </c>
      <c r="H80" s="55" t="s">
        <v>182</v>
      </c>
      <c r="I80" s="55" t="s">
        <v>167</v>
      </c>
    </row>
    <row r="81" spans="1:9" ht="30" x14ac:dyDescent="0.25">
      <c r="A81" s="55" t="s">
        <v>214</v>
      </c>
      <c r="B81" s="55">
        <v>4</v>
      </c>
      <c r="C81" s="55" t="s">
        <v>215</v>
      </c>
      <c r="D81" s="55">
        <v>0.77800000000000002</v>
      </c>
      <c r="E81" s="55">
        <v>0</v>
      </c>
      <c r="F81" s="55">
        <v>0</v>
      </c>
      <c r="G81" s="55">
        <v>0</v>
      </c>
      <c r="H81" s="93">
        <v>0</v>
      </c>
      <c r="I81" s="55">
        <v>0</v>
      </c>
    </row>
    <row r="82" spans="1:9" x14ac:dyDescent="0.25">
      <c r="C82" s="67">
        <v>2</v>
      </c>
      <c r="D82" s="99">
        <f>C82*D81/10</f>
        <v>0.15560000000000002</v>
      </c>
    </row>
    <row r="83" spans="1:9" x14ac:dyDescent="0.25">
      <c r="A83" s="307" t="s">
        <v>251</v>
      </c>
      <c r="B83" s="307"/>
      <c r="C83" s="307"/>
      <c r="D83" s="307"/>
      <c r="E83" s="307"/>
      <c r="F83" s="307"/>
      <c r="G83" s="307"/>
      <c r="H83" s="307"/>
      <c r="I83" s="307"/>
    </row>
    <row r="84" spans="1:9" x14ac:dyDescent="0.25">
      <c r="A84" s="266" t="s">
        <v>173</v>
      </c>
      <c r="B84" s="274" t="s">
        <v>176</v>
      </c>
      <c r="C84" s="274" t="s">
        <v>177</v>
      </c>
      <c r="D84" s="273" t="s">
        <v>181</v>
      </c>
      <c r="E84" s="273"/>
      <c r="F84" s="273" t="s">
        <v>180</v>
      </c>
      <c r="G84" s="273"/>
      <c r="H84" s="273"/>
      <c r="I84" s="273"/>
    </row>
    <row r="85" spans="1:9" x14ac:dyDescent="0.25">
      <c r="A85" s="267"/>
      <c r="B85" s="275"/>
      <c r="C85" s="275"/>
      <c r="D85" s="55" t="s">
        <v>159</v>
      </c>
      <c r="E85" s="55" t="s">
        <v>179</v>
      </c>
      <c r="F85" s="55" t="s">
        <v>164</v>
      </c>
      <c r="G85" s="55" t="s">
        <v>165</v>
      </c>
      <c r="H85" s="55" t="s">
        <v>182</v>
      </c>
      <c r="I85" s="55" t="s">
        <v>167</v>
      </c>
    </row>
    <row r="86" spans="1:9" ht="30" x14ac:dyDescent="0.25">
      <c r="A86" s="55" t="s">
        <v>216</v>
      </c>
      <c r="B86" s="55">
        <v>4</v>
      </c>
      <c r="C86" s="55" t="s">
        <v>217</v>
      </c>
      <c r="D86" s="55">
        <v>4.68</v>
      </c>
      <c r="E86" s="55">
        <v>0</v>
      </c>
      <c r="F86" s="55">
        <v>0</v>
      </c>
      <c r="G86" s="55">
        <v>0</v>
      </c>
      <c r="H86" s="93">
        <v>0</v>
      </c>
      <c r="I86" s="55">
        <v>0</v>
      </c>
    </row>
    <row r="87" spans="1:9" x14ac:dyDescent="0.25">
      <c r="C87" s="67">
        <v>1</v>
      </c>
      <c r="D87" s="67">
        <f>D86/10</f>
        <v>0.46799999999999997</v>
      </c>
    </row>
    <row r="88" spans="1:9" s="89" customFormat="1" x14ac:dyDescent="0.25">
      <c r="A88" s="307" t="s">
        <v>222</v>
      </c>
      <c r="B88" s="307"/>
      <c r="C88" s="307"/>
      <c r="D88" s="307"/>
      <c r="E88" s="307"/>
      <c r="F88" s="307"/>
      <c r="G88" s="307"/>
      <c r="H88" s="307"/>
      <c r="I88" s="307"/>
    </row>
    <row r="89" spans="1:9" s="89" customFormat="1" x14ac:dyDescent="0.25">
      <c r="A89" s="266" t="s">
        <v>173</v>
      </c>
      <c r="B89" s="274" t="s">
        <v>176</v>
      </c>
      <c r="C89" s="274" t="s">
        <v>177</v>
      </c>
      <c r="D89" s="273" t="s">
        <v>181</v>
      </c>
      <c r="E89" s="273"/>
      <c r="F89" s="273" t="s">
        <v>180</v>
      </c>
      <c r="G89" s="273"/>
      <c r="H89" s="273"/>
      <c r="I89" s="273"/>
    </row>
    <row r="90" spans="1:9" s="89" customFormat="1" x14ac:dyDescent="0.25">
      <c r="A90" s="267"/>
      <c r="B90" s="275"/>
      <c r="C90" s="275"/>
      <c r="D90" s="91" t="s">
        <v>159</v>
      </c>
      <c r="E90" s="91" t="s">
        <v>179</v>
      </c>
      <c r="F90" s="91" t="s">
        <v>164</v>
      </c>
      <c r="G90" s="91" t="s">
        <v>165</v>
      </c>
      <c r="H90" s="91" t="s">
        <v>182</v>
      </c>
      <c r="I90" s="91" t="s">
        <v>167</v>
      </c>
    </row>
    <row r="91" spans="1:9" s="89" customFormat="1" ht="30" x14ac:dyDescent="0.25">
      <c r="A91" s="91" t="s">
        <v>221</v>
      </c>
      <c r="B91" s="91">
        <v>4</v>
      </c>
      <c r="C91" s="91" t="s">
        <v>223</v>
      </c>
      <c r="D91" s="91">
        <v>0.78700000000000003</v>
      </c>
      <c r="E91" s="91">
        <v>0</v>
      </c>
      <c r="F91" s="91">
        <v>0</v>
      </c>
      <c r="G91" s="91">
        <v>0</v>
      </c>
      <c r="H91" s="93">
        <v>0</v>
      </c>
      <c r="I91" s="91">
        <v>0</v>
      </c>
    </row>
    <row r="92" spans="1:9" s="89" customFormat="1" x14ac:dyDescent="0.25">
      <c r="C92" s="67">
        <v>2</v>
      </c>
      <c r="D92" s="67">
        <f>C92*D91/10</f>
        <v>0.15740000000000001</v>
      </c>
    </row>
    <row r="93" spans="1:9" s="89" customFormat="1" x14ac:dyDescent="0.25">
      <c r="A93" s="307" t="s">
        <v>224</v>
      </c>
      <c r="B93" s="307"/>
      <c r="C93" s="307"/>
      <c r="D93" s="307"/>
      <c r="E93" s="307"/>
      <c r="F93" s="307"/>
      <c r="G93" s="307"/>
      <c r="H93" s="307"/>
      <c r="I93" s="307"/>
    </row>
    <row r="94" spans="1:9" s="89" customFormat="1" x14ac:dyDescent="0.25">
      <c r="A94" s="266" t="s">
        <v>173</v>
      </c>
      <c r="B94" s="274" t="s">
        <v>176</v>
      </c>
      <c r="C94" s="274" t="s">
        <v>177</v>
      </c>
      <c r="D94" s="273" t="s">
        <v>181</v>
      </c>
      <c r="E94" s="273"/>
      <c r="F94" s="273" t="s">
        <v>180</v>
      </c>
      <c r="G94" s="273"/>
      <c r="H94" s="273"/>
      <c r="I94" s="273"/>
    </row>
    <row r="95" spans="1:9" s="89" customFormat="1" x14ac:dyDescent="0.25">
      <c r="A95" s="267"/>
      <c r="B95" s="275"/>
      <c r="C95" s="275"/>
      <c r="D95" s="91" t="s">
        <v>159</v>
      </c>
      <c r="E95" s="91" t="s">
        <v>179</v>
      </c>
      <c r="F95" s="91" t="s">
        <v>164</v>
      </c>
      <c r="G95" s="91" t="s">
        <v>165</v>
      </c>
      <c r="H95" s="91" t="s">
        <v>182</v>
      </c>
      <c r="I95" s="91" t="s">
        <v>167</v>
      </c>
    </row>
    <row r="96" spans="1:9" s="89" customFormat="1" x14ac:dyDescent="0.25">
      <c r="A96" s="91" t="s">
        <v>227</v>
      </c>
      <c r="B96" s="91">
        <v>4</v>
      </c>
      <c r="C96" s="91" t="s">
        <v>225</v>
      </c>
      <c r="D96" s="91">
        <v>0.67700000000000005</v>
      </c>
      <c r="E96" s="91">
        <v>0</v>
      </c>
      <c r="F96" s="91">
        <v>0</v>
      </c>
      <c r="G96" s="91">
        <v>0</v>
      </c>
      <c r="H96" s="93">
        <v>0</v>
      </c>
      <c r="I96" s="91">
        <v>0</v>
      </c>
    </row>
    <row r="97" spans="1:9" s="89" customFormat="1" x14ac:dyDescent="0.25">
      <c r="C97" s="67">
        <v>2</v>
      </c>
      <c r="D97" s="67">
        <f>C97*D96/10</f>
        <v>0.13540000000000002</v>
      </c>
    </row>
    <row r="98" spans="1:9" s="89" customFormat="1" x14ac:dyDescent="0.25">
      <c r="A98" s="307" t="s">
        <v>226</v>
      </c>
      <c r="B98" s="307"/>
      <c r="C98" s="307"/>
      <c r="D98" s="307"/>
      <c r="E98" s="307"/>
      <c r="F98" s="307"/>
      <c r="G98" s="307"/>
      <c r="H98" s="307"/>
      <c r="I98" s="307"/>
    </row>
    <row r="99" spans="1:9" s="89" customFormat="1" x14ac:dyDescent="0.25">
      <c r="A99" s="266" t="s">
        <v>173</v>
      </c>
      <c r="B99" s="274" t="s">
        <v>176</v>
      </c>
      <c r="C99" s="274" t="s">
        <v>177</v>
      </c>
      <c r="D99" s="273" t="s">
        <v>181</v>
      </c>
      <c r="E99" s="273"/>
      <c r="F99" s="273" t="s">
        <v>180</v>
      </c>
      <c r="G99" s="273"/>
      <c r="H99" s="273"/>
      <c r="I99" s="273"/>
    </row>
    <row r="100" spans="1:9" s="89" customFormat="1" x14ac:dyDescent="0.25">
      <c r="A100" s="267"/>
      <c r="B100" s="275"/>
      <c r="C100" s="275"/>
      <c r="D100" s="91" t="s">
        <v>159</v>
      </c>
      <c r="E100" s="91" t="s">
        <v>179</v>
      </c>
      <c r="F100" s="91" t="s">
        <v>164</v>
      </c>
      <c r="G100" s="91" t="s">
        <v>165</v>
      </c>
      <c r="H100" s="91" t="s">
        <v>182</v>
      </c>
      <c r="I100" s="91" t="s">
        <v>167</v>
      </c>
    </row>
    <row r="101" spans="1:9" s="89" customFormat="1" ht="30" x14ac:dyDescent="0.25">
      <c r="A101" s="91" t="s">
        <v>228</v>
      </c>
      <c r="B101" s="91">
        <v>4</v>
      </c>
      <c r="C101" s="91" t="s">
        <v>229</v>
      </c>
      <c r="D101" s="91">
        <v>0.57999999999999996</v>
      </c>
      <c r="E101" s="91">
        <v>0</v>
      </c>
      <c r="F101" s="91">
        <v>0</v>
      </c>
      <c r="G101" s="91">
        <v>0</v>
      </c>
      <c r="H101" s="93">
        <v>0</v>
      </c>
      <c r="I101" s="91">
        <v>0</v>
      </c>
    </row>
    <row r="102" spans="1:9" s="89" customFormat="1" ht="15.75" thickBot="1" x14ac:dyDescent="0.3">
      <c r="C102" s="67">
        <v>2</v>
      </c>
      <c r="D102" s="67">
        <f>C102*D101/10</f>
        <v>0.11599999999999999</v>
      </c>
    </row>
    <row r="103" spans="1:9" s="89" customFormat="1" ht="15.75" thickBot="1" x14ac:dyDescent="0.3">
      <c r="A103" s="311" t="s">
        <v>218</v>
      </c>
      <c r="B103" s="312"/>
      <c r="C103" s="100"/>
      <c r="D103" s="100"/>
      <c r="E103" s="100"/>
      <c r="F103" s="100"/>
      <c r="G103" s="100"/>
      <c r="H103" s="100"/>
      <c r="I103" s="100"/>
    </row>
    <row r="104" spans="1:9" s="89" customFormat="1" ht="30" x14ac:dyDescent="0.25">
      <c r="A104" s="87"/>
      <c r="B104" s="87" t="s">
        <v>233</v>
      </c>
      <c r="C104" s="28" t="s">
        <v>241</v>
      </c>
      <c r="D104" s="87"/>
      <c r="E104" s="87"/>
      <c r="F104" s="87"/>
      <c r="G104" s="87"/>
      <c r="H104" s="87"/>
      <c r="I104" s="87"/>
    </row>
    <row r="105" spans="1:9" x14ac:dyDescent="0.25">
      <c r="A105" s="25" t="s">
        <v>219</v>
      </c>
      <c r="B105" s="108">
        <f>(D102+D97+D92+D87+D82+D77+D71)*B4+C102*K13+C97*J13+C92*I13+C87*H13+C82*G13+C77*F13+C72*E13</f>
        <v>2161.6</v>
      </c>
      <c r="C105" s="106">
        <f>B105/1000*1.5</f>
        <v>3.2423999999999999</v>
      </c>
    </row>
    <row r="107" spans="1:9" x14ac:dyDescent="0.25">
      <c r="A107" s="307" t="s">
        <v>322</v>
      </c>
      <c r="B107" s="307"/>
      <c r="C107" s="307"/>
      <c r="D107" s="307"/>
      <c r="E107" s="307"/>
      <c r="F107" s="307"/>
      <c r="G107" s="307"/>
      <c r="H107" s="307"/>
      <c r="I107" s="307"/>
    </row>
    <row r="108" spans="1:9" x14ac:dyDescent="0.25">
      <c r="A108" s="266" t="s">
        <v>173</v>
      </c>
      <c r="B108" s="274" t="s">
        <v>176</v>
      </c>
      <c r="C108" s="274" t="s">
        <v>177</v>
      </c>
      <c r="D108" s="273" t="s">
        <v>181</v>
      </c>
      <c r="E108" s="273"/>
      <c r="F108" s="273" t="s">
        <v>180</v>
      </c>
      <c r="G108" s="273"/>
      <c r="H108" s="273"/>
      <c r="I108" s="273"/>
    </row>
    <row r="109" spans="1:9" x14ac:dyDescent="0.25">
      <c r="A109" s="267"/>
      <c r="B109" s="275"/>
      <c r="C109" s="275"/>
      <c r="D109" s="230" t="s">
        <v>159</v>
      </c>
      <c r="E109" s="230" t="s">
        <v>179</v>
      </c>
      <c r="F109" s="230" t="s">
        <v>164</v>
      </c>
      <c r="G109" s="230" t="s">
        <v>165</v>
      </c>
      <c r="H109" s="230" t="s">
        <v>182</v>
      </c>
      <c r="I109" s="230" t="s">
        <v>167</v>
      </c>
    </row>
    <row r="110" spans="1:9" ht="45" x14ac:dyDescent="0.25">
      <c r="A110" s="230" t="s">
        <v>323</v>
      </c>
      <c r="B110" s="230">
        <v>2</v>
      </c>
      <c r="C110" s="230" t="s">
        <v>324</v>
      </c>
      <c r="D110" s="230">
        <v>1.02</v>
      </c>
      <c r="E110" s="230">
        <v>0</v>
      </c>
      <c r="F110" s="230">
        <v>0</v>
      </c>
      <c r="G110" s="230">
        <v>0</v>
      </c>
      <c r="H110" s="230">
        <v>0</v>
      </c>
      <c r="I110" s="230">
        <v>0.4</v>
      </c>
    </row>
    <row r="111" spans="1:9" ht="60" x14ac:dyDescent="0.25">
      <c r="A111" s="230" t="s">
        <v>325</v>
      </c>
      <c r="B111" s="230">
        <v>2</v>
      </c>
      <c r="C111" s="230" t="s">
        <v>326</v>
      </c>
      <c r="D111" s="230">
        <v>4.4400000000000004</v>
      </c>
      <c r="E111" s="230">
        <v>0</v>
      </c>
      <c r="F111" s="230">
        <v>0</v>
      </c>
      <c r="G111" s="230">
        <v>0</v>
      </c>
      <c r="H111" s="230">
        <v>0</v>
      </c>
      <c r="I111" s="230">
        <v>0.4</v>
      </c>
    </row>
    <row r="112" spans="1:9" ht="60" x14ac:dyDescent="0.25">
      <c r="A112" s="85"/>
      <c r="B112" s="230" t="s">
        <v>233</v>
      </c>
      <c r="C112" s="107" t="s">
        <v>329</v>
      </c>
      <c r="D112" s="229"/>
      <c r="E112" s="85"/>
      <c r="F112" s="85"/>
      <c r="G112" s="85"/>
      <c r="H112" s="85"/>
      <c r="I112" s="85"/>
    </row>
    <row r="113" spans="1:9" x14ac:dyDescent="0.25">
      <c r="A113" s="101" t="s">
        <v>327</v>
      </c>
      <c r="B113" s="104">
        <f>D110*B1+$I110*$C$15</f>
        <v>1063.4375</v>
      </c>
      <c r="C113" s="105">
        <f>B113/1000*1.5</f>
        <v>1.5951562500000001</v>
      </c>
      <c r="D113" s="145"/>
      <c r="E113" s="85"/>
      <c r="F113" s="85"/>
      <c r="G113" s="85"/>
      <c r="H113" s="85"/>
      <c r="I113" s="85"/>
    </row>
    <row r="114" spans="1:9" x14ac:dyDescent="0.25">
      <c r="A114" s="101" t="s">
        <v>328</v>
      </c>
      <c r="B114" s="104">
        <f>D111*B1+$I111*$C$15</f>
        <v>1544.375</v>
      </c>
      <c r="C114" s="105">
        <f>B114/10/1000*1.5</f>
        <v>0.23165625000000001</v>
      </c>
      <c r="D114" s="145"/>
      <c r="E114" s="85"/>
      <c r="F114" s="85"/>
      <c r="G114" s="85"/>
      <c r="H114" s="85"/>
      <c r="I114" s="85"/>
    </row>
  </sheetData>
  <mergeCells count="92">
    <mergeCell ref="A103:B103"/>
    <mergeCell ref="C94:C95"/>
    <mergeCell ref="D94:E94"/>
    <mergeCell ref="F94:I94"/>
    <mergeCell ref="A98:I98"/>
    <mergeCell ref="A99:A100"/>
    <mergeCell ref="B99:B100"/>
    <mergeCell ref="C99:C100"/>
    <mergeCell ref="D99:E99"/>
    <mergeCell ref="F99:I99"/>
    <mergeCell ref="A16:I16"/>
    <mergeCell ref="A8:C8"/>
    <mergeCell ref="A17:A18"/>
    <mergeCell ref="B17:B18"/>
    <mergeCell ref="C17:C18"/>
    <mergeCell ref="D17:E17"/>
    <mergeCell ref="F17:I17"/>
    <mergeCell ref="A11:A12"/>
    <mergeCell ref="B11:B12"/>
    <mergeCell ref="A13:A14"/>
    <mergeCell ref="B13:B14"/>
    <mergeCell ref="A25:I25"/>
    <mergeCell ref="A26:A27"/>
    <mergeCell ref="B26:B27"/>
    <mergeCell ref="C26:C27"/>
    <mergeCell ref="D26:E26"/>
    <mergeCell ref="F26:I26"/>
    <mergeCell ref="A34:I34"/>
    <mergeCell ref="A35:A36"/>
    <mergeCell ref="B35:B36"/>
    <mergeCell ref="C35:C36"/>
    <mergeCell ref="D35:E35"/>
    <mergeCell ref="F35:I35"/>
    <mergeCell ref="A41:I41"/>
    <mergeCell ref="A42:A43"/>
    <mergeCell ref="B42:B43"/>
    <mergeCell ref="C42:C43"/>
    <mergeCell ref="D42:E42"/>
    <mergeCell ref="F42:I42"/>
    <mergeCell ref="A50:I50"/>
    <mergeCell ref="A51:A52"/>
    <mergeCell ref="B51:B52"/>
    <mergeCell ref="C51:C52"/>
    <mergeCell ref="D51:E51"/>
    <mergeCell ref="F51:I51"/>
    <mergeCell ref="A59:I59"/>
    <mergeCell ref="A60:A61"/>
    <mergeCell ref="B60:B61"/>
    <mergeCell ref="C60:C61"/>
    <mergeCell ref="D60:E60"/>
    <mergeCell ref="F60:I60"/>
    <mergeCell ref="A68:I68"/>
    <mergeCell ref="A69:A70"/>
    <mergeCell ref="B69:B70"/>
    <mergeCell ref="C69:C70"/>
    <mergeCell ref="D69:E69"/>
    <mergeCell ref="F69:I69"/>
    <mergeCell ref="A73:I73"/>
    <mergeCell ref="A74:A75"/>
    <mergeCell ref="B74:B75"/>
    <mergeCell ref="C74:C75"/>
    <mergeCell ref="D74:E74"/>
    <mergeCell ref="F74:I74"/>
    <mergeCell ref="F84:I84"/>
    <mergeCell ref="A78:I78"/>
    <mergeCell ref="A79:A80"/>
    <mergeCell ref="B79:B80"/>
    <mergeCell ref="C79:C80"/>
    <mergeCell ref="D79:E79"/>
    <mergeCell ref="F79:I79"/>
    <mergeCell ref="A93:I93"/>
    <mergeCell ref="A94:A95"/>
    <mergeCell ref="B94:B95"/>
    <mergeCell ref="T1:V1"/>
    <mergeCell ref="T2:V2"/>
    <mergeCell ref="A88:I88"/>
    <mergeCell ref="A89:A90"/>
    <mergeCell ref="B89:B90"/>
    <mergeCell ref="C89:C90"/>
    <mergeCell ref="D89:E89"/>
    <mergeCell ref="F89:I89"/>
    <mergeCell ref="A83:I83"/>
    <mergeCell ref="A84:A85"/>
    <mergeCell ref="B84:B85"/>
    <mergeCell ref="C84:C85"/>
    <mergeCell ref="D84:E84"/>
    <mergeCell ref="A107:I107"/>
    <mergeCell ref="A108:A109"/>
    <mergeCell ref="B108:B109"/>
    <mergeCell ref="C108:C109"/>
    <mergeCell ref="D108:E108"/>
    <mergeCell ref="F108:I108"/>
  </mergeCells>
  <pageMargins left="0.7" right="0.7" top="0.75" bottom="0.75" header="0.3" footer="0.3"/>
  <pageSetup paperSize="9" scale="2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Диаграммы</vt:lpstr>
      </vt:variant>
      <vt:variant>
        <vt:i4>6</vt:i4>
      </vt:variant>
    </vt:vector>
  </HeadingPairs>
  <TitlesOfParts>
    <vt:vector size="15" baseType="lpstr">
      <vt:lpstr>типовая конструкция</vt:lpstr>
      <vt:lpstr>облегченная конструкция</vt:lpstr>
      <vt:lpstr>Неисправности Колеи(КБ-65)</vt:lpstr>
      <vt:lpstr>рельсы</vt:lpstr>
      <vt:lpstr>Шпалы (2)</vt:lpstr>
      <vt:lpstr>Шпалы</vt:lpstr>
      <vt:lpstr>скрепления</vt:lpstr>
      <vt:lpstr>балласт</vt:lpstr>
      <vt:lpstr>Единичные ставки+критерии</vt:lpstr>
      <vt:lpstr>Диаграмма1</vt:lpstr>
      <vt:lpstr>Выход рельсов</vt:lpstr>
      <vt:lpstr>выход Шпал_Скреплений, шт_км</vt:lpstr>
      <vt:lpstr>Пр,П,Ур</vt:lpstr>
      <vt:lpstr>Ширина колеи</vt:lpstr>
      <vt:lpstr>Индекс предотказа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Суслов</dc:creator>
  <cp:lastModifiedBy>Баляева Алена Александровна</cp:lastModifiedBy>
  <cp:lastPrinted>2018-10-10T12:11:28Z</cp:lastPrinted>
  <dcterms:created xsi:type="dcterms:W3CDTF">2018-08-06T13:04:05Z</dcterms:created>
  <dcterms:modified xsi:type="dcterms:W3CDTF">2019-01-24T12:06:38Z</dcterms:modified>
</cp:coreProperties>
</file>